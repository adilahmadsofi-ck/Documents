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857DD45-3904-4BB0-8E82-535D5BB19997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14" i="7" l="1"/>
  <c r="A515" i="7"/>
  <c r="A516" i="7"/>
  <c r="A517" i="7"/>
  <c r="A518" i="7"/>
  <c r="A519" i="7"/>
  <c r="A520" i="7"/>
  <c r="H793" i="4"/>
  <c r="H794" i="4"/>
  <c r="H795" i="4"/>
  <c r="H796" i="4"/>
  <c r="H797" i="4"/>
  <c r="H798" i="4"/>
  <c r="H799" i="4"/>
  <c r="H800" i="4"/>
  <c r="A793" i="4"/>
  <c r="A794" i="4"/>
  <c r="A795" i="4"/>
  <c r="A796" i="4"/>
  <c r="A797" i="4"/>
  <c r="A798" i="4"/>
  <c r="A799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791" i="4"/>
  <c r="H790" i="4"/>
  <c r="H789" i="4"/>
  <c r="H792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791" i="4"/>
  <c r="A790" i="4"/>
  <c r="A789" i="4"/>
  <c r="A792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2" i="4"/>
  <c r="H539" i="4"/>
  <c r="H540" i="4"/>
  <c r="H541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645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4" i="4"/>
  <c r="H735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753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735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728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645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624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2" i="4"/>
  <c r="A540" i="4"/>
  <c r="A541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33" i="4"/>
  <c r="A346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<sst xmlns="http://schemas.openxmlformats.org/spreadsheetml/2006/main" count="27144" uniqueCount="10887">
  <si>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</si>
  <si>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</si>
  <si>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</si>
  <si>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</si>
  <si>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</si>
  <si>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</si>
  <si>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</si>
  <si>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</si>
  <si>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</si>
  <si>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</si>
  <si>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</si>
  <si>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</si>
  <si>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</si>
  <si>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</si>
  <si>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</si>
  <si>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</si>
  <si>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</si>
  <si>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</si>
  <si>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</si>
  <si>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</si>
  <si>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</si>
  <si>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</si>
  <si>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</si>
  <si>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</si>
  <si>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</si>
  <si>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</si>
  <si>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</si>
  <si>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</si>
  <si>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</si>
  <si>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</si>
  <si>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</si>
  <si>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</si>
  <si>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</si>
  <si>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</si>
  <si>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</si>
  <si>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</si>
  <si>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</si>
  <si>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</si>
  <si>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</si>
  <si>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</si>
  <si>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</si>
  <si>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</si>
  <si>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</si>
  <si>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</si>
  <si>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</si>
  <si>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</si>
  <si>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</si>
  <si>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</si>
  <si>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</si>
  <si>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</si>
  <si>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</si>
  <si>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</si>
  <si>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</si>
  <si>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</si>
  <si>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</si>
  <si>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</si>
  <si>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</si>
  <si>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</si>
  <si>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</si>
  <si>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</si>
  <si>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</si>
  <si>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</si>
  <si>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</si>
  <si>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</si>
  <si>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</si>
  <si>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</si>
  <si>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</si>
  <si>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</si>
  <si>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</si>
  <si>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</si>
  <si>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</si>
  <si>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</si>
  <si>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</si>
  <si>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</si>
  <si>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</si>
  <si>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</si>
  <si>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</si>
  <si>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</si>
  <si>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</si>
  <si>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</si>
  <si>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</si>
  <si>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</si>
  <si>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</si>
  <si>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</si>
  <si>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</si>
  <si>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</si>
  <si>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</si>
  <si>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</si>
  <si>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</si>
  <si>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</si>
  <si>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</si>
  <si>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</si>
  <si>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</si>
  <si>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</si>
  <si>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</si>
  <si>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</si>
  <si>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</si>
  <si>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</si>
  <si>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</si>
  <si>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</si>
  <si>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</si>
  <si>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</si>
  <si>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</si>
  <si>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</si>
  <si>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</si>
  <si>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</si>
  <si>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</si>
  <si>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</si>
  <si>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</si>
  <si>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</si>
  <si>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</si>
  <si>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</si>
  <si>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</si>
  <si>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</si>
  <si>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</si>
  <si>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</si>
  <si>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</si>
  <si>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</si>
  <si>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</si>
  <si>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</si>
  <si>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</si>
  <si>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</si>
  <si>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</si>
  <si>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</si>
  <si>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</si>
  <si>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</si>
  <si>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</si>
  <si>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</si>
  <si>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</si>
  <si>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</si>
  <si>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</si>
  <si>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</si>
  <si>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</si>
  <si>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</si>
  <si>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</si>
  <si>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</si>
  <si>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</si>
  <si>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</si>
  <si>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</si>
  <si>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</si>
  <si>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</si>
  <si>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</si>
  <si>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</si>
  <si>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</si>
  <si>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</si>
  <si>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</si>
  <si>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</si>
  <si>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</si>
  <si>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</si>
  <si>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</si>
  <si>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</si>
  <si>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</si>
  <si>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</si>
  <si>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</si>
  <si>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</si>
  <si>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</si>
  <si>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</si>
  <si>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</si>
  <si>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</si>
  <si>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</si>
  <si>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</si>
  <si>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</si>
  <si>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</si>
  <si>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</si>
  <si>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</si>
  <si>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</si>
  <si>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</si>
  <si>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</si>
  <si>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</si>
  <si>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</si>
  <si>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</si>
  <si>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</si>
  <si>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</si>
  <si>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</si>
  <si>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</si>
  <si>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</si>
  <si>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</si>
  <si>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</si>
  <si>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</si>
  <si>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</si>
  <si>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</si>
  <si>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</si>
  <si>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</si>
  <si>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</si>
  <si>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</si>
  <si>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</si>
  <si>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</si>
  <si>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</si>
  <si>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</si>
  <si>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</si>
  <si>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</si>
  <si>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</si>
  <si>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</si>
  <si>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</si>
  <si>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</si>
  <si>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</si>
  <si>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</si>
  <si>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</si>
  <si>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</si>
  <si>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</si>
  <si>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</si>
  <si>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</si>
  <si>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</si>
  <si>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</si>
  <si>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</si>
  <si>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</si>
  <si>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</si>
  <si>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</si>
  <si>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</si>
  <si>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</si>
  <si>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</si>
  <si>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</si>
  <si>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</si>
  <si>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</si>
  <si>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</si>
  <si>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</si>
  <si>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</si>
  <si>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</si>
  <si>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</si>
  <si>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</si>
  <si>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</si>
  <si>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</si>
  <si>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</si>
  <si>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</si>
  <si>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</si>
  <si>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</si>
  <si>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</si>
  <si>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</si>
  <si>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</si>
  <si>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</si>
  <si>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</si>
  <si>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</si>
  <si>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</si>
  <si>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</si>
  <si>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</si>
  <si>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</si>
  <si>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</si>
  <si>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</si>
  <si>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</si>
  <si>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</si>
  <si>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</si>
  <si>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</si>
  <si>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</si>
  <si>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</si>
  <si>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</si>
  <si>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</si>
  <si>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</si>
  <si>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</si>
  <si>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</si>
  <si>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</si>
  <si>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</si>
  <si>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</si>
  <si>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</si>
  <si>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</si>
  <si>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</si>
  <si>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</si>
  <si>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</si>
  <si>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</si>
  <si>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</si>
  <si>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</si>
  <si>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</si>
  <si>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</si>
  <si>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</si>
  <si>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</si>
  <si>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</si>
  <si>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</si>
  <si>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</si>
  <si>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</si>
  <si>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</si>
  <si>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</si>
  <si>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</si>
  <si>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</si>
  <si>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</si>
  <si>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</si>
  <si>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</si>
  <si>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</si>
  <si>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</si>
  <si>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</si>
  <si>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</si>
  <si>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</si>
  <si>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</si>
  <si>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</si>
  <si>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</si>
  <si>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</si>
  <si>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</si>
  <si>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</si>
  <si>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</si>
  <si>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</si>
  <si>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</si>
  <si>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</si>
  <si>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</si>
  <si>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</si>
  <si>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</si>
  <si>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</si>
  <si>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</si>
  <si>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</si>
  <si>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</si>
  <si>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</si>
  <si>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</si>
  <si>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</si>
  <si>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</si>
  <si>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</si>
  <si>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</si>
  <si>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</si>
  <si>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</si>
  <si>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</si>
  <si>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</si>
  <si>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</si>
  <si>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</si>
  <si>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</si>
  <si>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</si>
  <si>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</si>
  <si>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</si>
  <si>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</si>
  <si>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</si>
  <si>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</si>
  <si>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</si>
  <si>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</si>
  <si>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</si>
  <si>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</si>
  <si>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</si>
  <si>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</si>
  <si>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</si>
  <si>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</si>
  <si>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</si>
  <si>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</si>
  <si>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</si>
  <si>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</si>
  <si>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</si>
  <si>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</si>
  <si>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</si>
  <si>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</si>
  <si>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</si>
  <si>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</si>
  <si>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</si>
  <si>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</si>
  <si>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</si>
  <si>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</si>
  <si>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</si>
  <si>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</si>
  <si>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</si>
  <si>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</si>
  <si>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</si>
  <si>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</si>
  <si>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</si>
  <si>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</si>
  <si>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</si>
  <si>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</si>
  <si>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</si>
  <si>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</si>
  <si>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</si>
  <si>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</si>
  <si>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</si>
  <si>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</si>
  <si>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</si>
  <si>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</si>
  <si>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</si>
  <si>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</si>
  <si>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</si>
  <si>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</si>
  <si>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</si>
  <si>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</si>
  <si>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</si>
  <si>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</si>
  <si>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</si>
  <si>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</si>
  <si>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</si>
  <si>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</si>
  <si>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</si>
  <si>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</si>
  <si>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</si>
  <si>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</si>
  <si>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</si>
  <si>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</si>
  <si>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</si>
  <si>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</si>
  <si>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</si>
  <si>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</si>
  <si>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</si>
  <si>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</si>
  <si>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</si>
  <si>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</si>
  <si>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</si>
  <si>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</si>
  <si>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</si>
  <si>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</si>
  <si>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</si>
  <si>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</si>
  <si>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</si>
  <si>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</si>
  <si>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</si>
  <si>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</si>
  <si>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</si>
  <si>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</si>
  <si>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</si>
  <si>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</si>
  <si>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</si>
  <si>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</si>
  <si>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</si>
  <si>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</si>
  <si>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</si>
  <si>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</si>
  <si>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</si>
  <si>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</si>
  <si>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</si>
  <si>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</si>
  <si>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</si>
  <si>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</si>
  <si>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</si>
  <si>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</si>
  <si>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</si>
  <si>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</si>
  <si>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</si>
  <si>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</si>
  <si>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</si>
  <si>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</si>
  <si>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</si>
  <si>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</si>
  <si>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</si>
  <si>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</si>
  <si>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</si>
  <si>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</si>
  <si>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</si>
  <si>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</si>
  <si>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</si>
  <si>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</si>
  <si>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</si>
  <si>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</si>
  <si>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</si>
  <si>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</si>
  <si>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</si>
  <si>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</si>
  <si>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</si>
  <si>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</si>
  <si>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</si>
  <si>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</si>
  <si>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</si>
  <si>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</si>
  <si>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</si>
  <si>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</si>
  <si>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</si>
  <si>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</si>
  <si>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</si>
  <si>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</si>
  <si>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</si>
  <si>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</si>
  <si>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</si>
  <si>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</si>
  <si>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</si>
  <si>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</si>
  <si>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</si>
  <si>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</si>
  <si>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</si>
  <si>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</si>
  <si>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</si>
  <si>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</si>
  <si>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</si>
  <si>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</si>
  <si>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</si>
  <si>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</si>
  <si>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</si>
  <si>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</si>
  <si>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</si>
  <si>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</si>
  <si>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</si>
  <si>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</si>
  <si>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</si>
  <si>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</si>
  <si>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</si>
  <si>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</si>
  <si>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</si>
  <si>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</si>
  <si>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</si>
  <si>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</si>
  <si>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</si>
  <si>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</si>
  <si>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</si>
  <si>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</si>
  <si>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</si>
  <si>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</si>
  <si>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</si>
  <si>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</si>
  <si>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</si>
  <si>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</si>
  <si>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</si>
  <si>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</si>
  <si>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</si>
  <si>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</si>
  <si>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</si>
  <si>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</si>
  <si>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</si>
  <si>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</si>
  <si>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</si>
  <si>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</si>
  <si>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</si>
  <si>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</si>
  <si>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</si>
  <si>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</si>
  <si>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</si>
  <si>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</si>
  <si>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</si>
  <si>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</si>
  <si>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</si>
  <si>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</si>
  <si>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</si>
  <si>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</si>
  <si>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</si>
  <si>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</si>
  <si>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</si>
  <si>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</si>
  <si>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</si>
  <si>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</si>
  <si>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</si>
  <si>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</si>
  <si>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</si>
  <si>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</si>
  <si>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</si>
  <si>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</si>
  <si>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</si>
  <si>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</si>
  <si>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</si>
  <si>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</si>
  <si>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</si>
  <si>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</si>
  <si>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</si>
  <si>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</si>
  <si>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</si>
  <si>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</si>
  <si>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</si>
  <si>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</si>
  <si>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</si>
  <si>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</si>
  <si>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</si>
  <si>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</si>
  <si>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</si>
  <si>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</si>
  <si>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</si>
  <si>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</si>
  <si>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</si>
  <si>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</si>
  <si>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</si>
  <si>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</si>
  <si>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</si>
  <si>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</si>
  <si>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</si>
  <si>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</si>
  <si>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</si>
  <si>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</si>
  <si>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</si>
  <si>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</si>
  <si>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</si>
  <si>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</si>
  <si>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</si>
  <si>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</si>
  <si>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</si>
  <si>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</si>
  <si>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</si>
  <si>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</si>
  <si>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</si>
  <si>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</si>
  <si>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</si>
  <si>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</si>
  <si>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</si>
  <si>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</si>
  <si>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</si>
  <si>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</si>
  <si>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</si>
  <si>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</si>
  <si>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</si>
  <si>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</si>
  <si>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</si>
  <si>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</si>
  <si>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</si>
  <si>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</si>
  <si>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</si>
  <si>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</si>
  <si>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</si>
  <si>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</si>
  <si>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</si>
  <si>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</si>
  <si>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</si>
  <si>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</si>
  <si>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</si>
  <si>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</si>
  <si>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</si>
  <si>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</si>
  <si>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</si>
  <si>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</si>
  <si>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</si>
  <si>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</si>
  <si>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</si>
  <si>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</si>
  <si>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</si>
  <si>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</si>
  <si>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</si>
  <si>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</si>
  <si>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</si>
  <si>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</si>
  <si>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</si>
  <si>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</si>
  <si>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</si>
  <si>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</si>
  <si>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</si>
  <si>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</si>
  <si>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</si>
  <si>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</si>
  <si>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</si>
  <si>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</si>
  <si>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</si>
  <si>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</si>
  <si>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</si>
  <si>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</si>
  <si>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</si>
  <si>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</si>
  <si>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</si>
  <si>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</si>
  <si>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</si>
  <si>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</si>
  <si>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</si>
  <si>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</si>
  <si>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</si>
  <si>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</si>
  <si>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</si>
  <si>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</si>
  <si>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</si>
  <si>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</si>
  <si>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</si>
  <si>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</si>
  <si>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</si>
  <si>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</si>
  <si>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</si>
  <si>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</si>
  <si>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</si>
  <si>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</si>
  <si>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</si>
  <si>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</si>
  <si>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</si>
  <si>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</si>
  <si>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</si>
  <si>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</si>
  <si>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</si>
  <si>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</si>
  <si>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</si>
  <si>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</si>
  <si>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</si>
  <si>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</si>
  <si>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</si>
  <si>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</si>
  <si>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</si>
  <si>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</si>
  <si>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</si>
  <si>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</si>
  <si>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</si>
  <si>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</si>
  <si>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</si>
  <si>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</si>
  <si>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</si>
  <si>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</si>
  <si>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</si>
  <si>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</si>
  <si>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</si>
  <si>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</si>
  <si>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</si>
  <si>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</si>
  <si>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</si>
  <si>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</si>
  <si>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</si>
  <si>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</si>
  <si>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</si>
  <si>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</si>
  <si>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</si>
  <si>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</si>
  <si>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</si>
  <si>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</si>
  <si>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</si>
  <si>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</si>
  <si>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</si>
  <si>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</si>
  <si>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</si>
  <si>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</si>
  <si>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</si>
  <si>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</si>
  <si>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</si>
  <si>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</si>
  <si>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</si>
  <si>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</si>
  <si>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</si>
  <si>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</si>
  <si>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</si>
  <si>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</si>
  <si>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</si>
  <si>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</si>
  <si>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</si>
  <si>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</si>
  <si>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</si>
  <si>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</si>
  <si>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</si>
  <si>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</si>
  <si>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</si>
  <si>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</si>
  <si>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</si>
  <si>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</si>
  <si>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</si>
  <si>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</si>
  <si>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</si>
  <si>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</si>
  <si>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</si>
  <si>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</si>
  <si>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</si>
  <si>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</si>
  <si>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</si>
  <si>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</si>
  <si>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</si>
  <si>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</si>
  <si>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</si>
  <si>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</si>
  <si>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</si>
  <si>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</si>
  <si>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</si>
  <si>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</si>
  <si>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</si>
  <si>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</si>
  <si>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</si>
  <si>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</si>
  <si>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</si>
  <si>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</si>
  <si>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</si>
  <si>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</si>
  <si>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</si>
  <si>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</si>
  <si>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</si>
  <si>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</si>
  <si>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</si>
  <si>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</si>
  <si>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</si>
  <si>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</si>
  <si>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</si>
  <si>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</si>
  <si>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</si>
  <si>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</si>
  <si>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</si>
  <si>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</si>
  <si>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</si>
  <si>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</si>
  <si>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</si>
  <si>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</si>
  <si>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</si>
  <si>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</si>
  <si>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</si>
  <si>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</si>
  <si>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</si>
  <si>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</si>
  <si>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</si>
  <si>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</si>
  <si>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</si>
  <si>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</si>
  <si>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</si>
  <si>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</si>
  <si>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</si>
  <si>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</si>
  <si>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</si>
  <si>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</si>
  <si>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</si>
  <si>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</si>
  <si>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</si>
  <si>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</si>
  <si>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</si>
  <si>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</si>
  <si>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</si>
  <si>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</si>
  <si>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</si>
  <si>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</si>
  <si>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</si>
  <si>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</si>
  <si>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</si>
  <si>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</si>
  <si>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</si>
  <si>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</si>
  <si>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</si>
  <si>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</si>
  <si>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</si>
  <si>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</si>
  <si>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</si>
  <si>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</si>
  <si>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</si>
  <si>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</si>
  <si>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</si>
  <si>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</si>
  <si>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</si>
  <si>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</si>
  <si>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</si>
  <si>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</si>
  <si>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</si>
  <si>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</si>
  <si>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</si>
  <si>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</si>
  <si>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</si>
  <si>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</si>
  <si>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</si>
  <si>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</si>
  <si>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</si>
  <si>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</si>
  <si>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</si>
  <si>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</si>
  <si>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</si>
  <si>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</si>
  <si>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</si>
  <si>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</si>
  <si>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</si>
  <si>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</si>
  <si>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</si>
  <si>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</si>
  <si>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</si>
  <si>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</si>
  <si>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</si>
  <si>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</si>
  <si>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</si>
  <si>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</si>
  <si>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</si>
  <si>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</si>
  <si>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</si>
  <si>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</si>
  <si>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</si>
  <si>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</si>
  <si>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</si>
  <si>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</si>
  <si>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</si>
  <si>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</si>
  <si>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</si>
  <si>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</si>
  <si>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</si>
  <si>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</si>
  <si>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</si>
  <si>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</si>
  <si>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</si>
  <si>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</si>
  <si>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</si>
  <si>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</si>
  <si>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</si>
  <si>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</si>
  <si>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</si>
  <si>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</si>
  <si>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</si>
  <si>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</si>
  <si>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</si>
  <si>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</si>
  <si>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</si>
  <si>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</si>
  <si>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</si>
  <si>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</si>
  <si>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</si>
  <si>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</si>
  <si>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</si>
  <si>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</si>
  <si>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</si>
  <si>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</si>
  <si>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</si>
  <si>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</si>
  <si>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</si>
  <si>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</si>
  <si>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</si>
  <si>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</si>
  <si>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</si>
  <si>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</si>
  <si>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</si>
  <si>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</si>
  <si>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</si>
  <si>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</si>
  <si>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</si>
  <si>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</si>
  <si>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</si>
  <si>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</si>
  <si>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</si>
  <si>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</si>
  <si>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</si>
  <si>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</si>
  <si>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</si>
  <si>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</si>
  <si>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</si>
  <si>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</si>
  <si>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</si>
  <si>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</si>
  <si>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</si>
  <si>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</si>
  <si>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</si>
  <si>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</si>
  <si>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</si>
  <si>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</si>
  <si>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</si>
  <si>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</si>
  <si>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</si>
  <si>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</si>
  <si>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</si>
  <si>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</si>
  <si>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</si>
  <si>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</si>
  <si>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</si>
  <si>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</si>
  <si>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</si>
  <si>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</si>
  <si>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</si>
  <si>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</si>
  <si>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</si>
  <si>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</si>
  <si>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</si>
  <si>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</si>
  <si>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</si>
  <si>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</si>
  <si>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</si>
  <si>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</si>
  <si>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</si>
  <si>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</si>
  <si>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</si>
  <si>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</si>
  <si>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</si>
  <si>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</si>
  <si>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</si>
  <si>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</si>
  <si>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</si>
  <si>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</si>
  <si>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</si>
  <si>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</si>
  <si>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</si>
  <si>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</si>
  <si>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</si>
  <si>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</si>
  <si>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</si>
  <si>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</si>
  <si>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</si>
  <si>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</si>
  <si>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</si>
  <si>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</si>
  <si>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</si>
  <si>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</si>
  <si>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</si>
  <si>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</si>
  <si>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</si>
  <si>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</si>
  <si>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</si>
  <si>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</si>
  <si>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</si>
  <si>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</si>
  <si>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</si>
  <si>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</si>
  <si>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</si>
  <si>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</si>
  <si>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</si>
  <si>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</si>
  <si>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</si>
  <si>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</si>
  <si>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</si>
  <si>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</si>
  <si>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</si>
  <si>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</si>
  <si>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</si>
  <si>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</si>
  <si>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</si>
  <si>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</si>
  <si>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</si>
  <si>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</si>
  <si>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</si>
  <si>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</si>
  <si>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</si>
  <si>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</si>
  <si>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</si>
  <si>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</si>
  <si>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</si>
  <si>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</si>
  <si>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</si>
  <si>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</si>
  <si>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</si>
  <si>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</si>
  <si>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</si>
  <si>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</si>
  <si>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</si>
  <si>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</si>
  <si>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</si>
  <si>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</si>
  <si>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</si>
  <si>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</si>
  <si>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</si>
  <si>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</si>
  <si>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</si>
  <si>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</si>
  <si>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</si>
  <si>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</si>
  <si>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</si>
  <si>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</si>
  <si>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</si>
  <si>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</si>
  <si>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</si>
  <si>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</si>
  <si>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</si>
  <si>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</si>
  <si>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</si>
  <si>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</si>
  <si>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</si>
  <si>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</si>
  <si>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</si>
  <si>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</si>
  <si>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</si>
  <si>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</si>
  <si>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</si>
  <si>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</si>
  <si>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</si>
  <si>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</si>
  <si>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</si>
  <si>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</si>
  <si>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</si>
  <si>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</si>
  <si>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</si>
  <si>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</si>
  <si>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</si>
  <si>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</si>
  <si>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</si>
  <si>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</si>
  <si>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</si>
  <si>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</si>
  <si>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</si>
  <si>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</si>
  <si>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</si>
  <si>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</si>
  <si>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</si>
  <si>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</si>
  <si>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</si>
  <si>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</si>
  <si>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</si>
  <si>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</si>
  <si>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</si>
  <si>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</si>
  <si>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</si>
  <si>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</si>
  <si>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</si>
  <si>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</si>
  <si>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</si>
  <si>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</si>
  <si>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</si>
  <si>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</si>
  <si>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</si>
  <si>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</si>
  <si>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</si>
  <si>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</si>
  <si>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</si>
  <si>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</si>
  <si>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</si>
  <si>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</si>
  <si>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</si>
  <si>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</si>
  <si>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</si>
  <si>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</si>
  <si>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</si>
  <si>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</si>
  <si>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</si>
  <si>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</si>
  <si>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</si>
  <si>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</si>
  <si>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</si>
  <si>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</si>
  <si>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</si>
  <si>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</si>
  <si>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</si>
  <si>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</si>
  <si>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</si>
  <si>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</si>
  <si>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</si>
  <si>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</si>
  <si>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</si>
  <si>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</si>
  <si>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</si>
  <si>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</si>
  <si>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</si>
  <si>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</si>
  <si>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</si>
  <si>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</si>
  <si>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</si>
  <si>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</si>
  <si>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</si>
  <si>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</si>
  <si>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</si>
  <si>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</si>
  <si>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</si>
  <si>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</si>
  <si>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</si>
  <si>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</si>
  <si>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</si>
  <si>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</si>
  <si>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</si>
  <si>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</si>
  <si>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</si>
  <si>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</si>
  <si>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</si>
  <si>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</si>
  <si>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</si>
  <si>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</si>
  <si>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</si>
  <si>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</si>
  <si>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</si>
  <si>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</si>
  <si>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</si>
  <si>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</si>
  <si>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</si>
  <si>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</si>
  <si>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</si>
  <si>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</si>
  <si>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</si>
  <si>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</si>
  <si>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</si>
  <si>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</si>
  <si>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</si>
  <si>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</si>
  <si>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</si>
  <si>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</si>
  <si>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</si>
  <si>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</si>
  <si>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</si>
  <si>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</si>
  <si>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</si>
  <si>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</si>
  <si>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</si>
  <si>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</si>
  <si>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</si>
  <si>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</si>
  <si>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</si>
  <si>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</si>
  <si>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</si>
  <si>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</si>
  <si>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</si>
  <si>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</si>
  <si>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</si>
  <si>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</si>
  <si>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</si>
  <si>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</si>
  <si>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</si>
  <si>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</si>
  <si>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</si>
  <si>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</si>
  <si>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</si>
  <si>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</si>
  <si>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</si>
  <si>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</si>
  <si>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</si>
  <si>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</si>
  <si>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</si>
  <si>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</si>
  <si>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</si>
  <si>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</si>
  <si>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</si>
  <si>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</si>
  <si>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</si>
  <si>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</si>
  <si>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</si>
  <si>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</si>
  <si>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</si>
  <si>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</si>
  <si>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</si>
  <si>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</si>
  <si>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</si>
  <si>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</si>
  <si>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</si>
  <si>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</si>
  <si>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</si>
  <si>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</si>
  <si>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</si>
  <si>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</si>
  <si>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</si>
  <si>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</si>
  <si>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</si>
  <si>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</si>
  <si>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</si>
  <si>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</si>
  <si>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</si>
  <si>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</si>
  <si>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</si>
  <si>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</si>
  <si>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</si>
  <si>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</si>
  <si>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</si>
  <si>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</si>
  <si>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</si>
  <si>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</si>
  <si>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</si>
  <si>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</si>
  <si>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</si>
  <si>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</si>
  <si>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</si>
  <si>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</si>
  <si>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</si>
  <si>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</si>
  <si>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</si>
  <si>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</si>
  <si>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</si>
  <si>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</si>
  <si>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</si>
  <si>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</si>
  <si>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</si>
  <si>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</si>
  <si>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</si>
  <si>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</si>
  <si>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</si>
  <si>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</si>
  <si>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</si>
  <si>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</si>
  <si>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</si>
  <si>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</si>
  <si>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</si>
  <si>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</si>
  <si>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</si>
  <si>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</si>
  <si>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</si>
  <si>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</si>
  <si>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</si>
  <si>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</si>
  <si>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</si>
  <si>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</si>
  <si>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</si>
  <si>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</si>
  <si>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</si>
  <si>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</si>
  <si>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</si>
  <si>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</si>
  <si>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</si>
  <si>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</si>
  <si>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</si>
  <si>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</si>
  <si>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</si>
  <si>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</si>
  <si>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</si>
  <si>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</si>
  <si>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</si>
  <si>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</si>
  <si>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</si>
  <si>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</si>
  <si>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</si>
  <si>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</si>
  <si>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</si>
  <si>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</si>
  <si>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</si>
  <si>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</si>
  <si>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</si>
  <si>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</si>
  <si>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</si>
  <si>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</si>
  <si>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</si>
  <si>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</si>
  <si>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</si>
  <si>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</si>
  <si>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</si>
  <si>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</si>
  <si>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</si>
  <si>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</si>
  <si>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</si>
  <si>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</si>
  <si>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</si>
  <si>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</si>
  <si>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</si>
  <si>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</si>
  <si>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</si>
  <si>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</si>
  <si>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</si>
  <si>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</si>
  <si>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</si>
  <si>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</si>
  <si>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</si>
  <si>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</si>
  <si>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</si>
  <si>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</si>
  <si>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</si>
  <si>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</si>
  <si>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</si>
  <si>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</si>
  <si>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</si>
  <si>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</si>
  <si>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</si>
  <si>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</si>
  <si>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</si>
  <si>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</si>
  <si>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</si>
  <si>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</si>
  <si>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</si>
  <si>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</si>
  <si>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</si>
  <si>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</si>
  <si>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</si>
  <si>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</si>
  <si>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</si>
  <si>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</si>
  <si>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</si>
  <si>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</si>
  <si>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</si>
  <si>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</si>
  <si>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</si>
  <si>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</si>
  <si>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</si>
  <si>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</si>
  <si>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</si>
  <si>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</si>
  <si>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</si>
  <si>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</si>
  <si>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</si>
  <si>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</si>
  <si>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</si>
  <si>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</si>
  <si>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</si>
  <si>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</si>
  <si>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</si>
  <si>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</si>
  <si>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</si>
  <si>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</si>
  <si>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</si>
  <si>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</si>
  <si>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</si>
  <si>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</si>
  <si>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</si>
  <si>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</si>
  <si>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</si>
  <si>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</si>
  <si>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</si>
  <si>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</si>
  <si>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</si>
  <si>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</si>
  <si>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</si>
  <si>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</si>
  <si>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</si>
  <si>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</si>
  <si>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</si>
  <si>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</si>
  <si>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</si>
  <si>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</si>
  <si>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</si>
  <si>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</si>
  <si>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</si>
  <si>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</si>
  <si>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</si>
  <si>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</si>
  <si>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</si>
  <si>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</si>
  <si>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</si>
  <si>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</si>
  <si>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</si>
  <si>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</si>
  <si>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</si>
  <si>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</si>
  <si>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</si>
  <si>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</si>
  <si>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</si>
  <si>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</si>
  <si>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</si>
  <si>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</si>
  <si>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</si>
  <si>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</si>
  <si>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</si>
  <si>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</si>
  <si>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</si>
  <si>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</si>
  <si>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</si>
  <si>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</si>
  <si>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</si>
  <si>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</si>
  <si>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</si>
  <si>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</si>
  <si>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</si>
  <si>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</si>
  <si>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</si>
  <si>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</si>
  <si>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</si>
  <si>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</si>
  <si>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</si>
  <si>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</si>
  <si>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</si>
  <si>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</si>
  <si>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</si>
  <si>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</si>
  <si>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</si>
  <si>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</si>
  <si>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</si>
  <si>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</si>
  <si>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</si>
  <si>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</si>
  <si>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</si>
  <si>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</si>
  <si>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</si>
  <si>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</si>
  <si>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</si>
  <si>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</si>
  <si>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</si>
  <si>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</si>
  <si>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</si>
  <si>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</si>
  <si>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</si>
  <si>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</si>
  <si>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</si>
  <si>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</si>
  <si>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</si>
  <si>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</si>
  <si>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</si>
  <si>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</si>
  <si>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</si>
  <si>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</si>
  <si>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</si>
  <si>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</si>
  <si>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</si>
  <si>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</si>
  <si>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</si>
  <si>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</si>
  <si>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</si>
  <si>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</si>
  <si>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</si>
  <si>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</si>
  <si>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</si>
  <si>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</si>
  <si>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</si>
  <si>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</si>
  <si>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</si>
  <si>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</si>
  <si>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</si>
  <si>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</si>
  <si>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</si>
  <si>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</si>
  <si>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</si>
  <si>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</si>
  <si>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</si>
  <si>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</si>
  <si>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</si>
  <si>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</si>
  <si>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</si>
  <si>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</si>
  <si>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</si>
  <si>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</si>
  <si>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</si>
  <si>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</si>
  <si>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</si>
  <si>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</si>
  <si>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</si>
  <si>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</si>
  <si>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</si>
  <si>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</si>
  <si>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</si>
  <si>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</si>
  <si>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</si>
  <si>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</si>
  <si>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</si>
  <si>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</si>
  <si>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</si>
  <si>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</si>
  <si>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</si>
  <si>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</si>
  <si>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</si>
  <si>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</si>
  <si>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</si>
  <si>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</si>
  <si>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</si>
  <si>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</si>
  <si>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</si>
  <si>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</si>
  <si>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</si>
  <si>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</si>
  <si>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</si>
  <si>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</si>
  <si>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</si>
  <si>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</si>
  <si>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</si>
  <si>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</si>
  <si>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</si>
  <si>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</si>
  <si>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</si>
  <si>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</si>
  <si>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</si>
  <si>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</si>
  <si>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</si>
  <si>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</si>
  <si>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</si>
  <si>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</si>
  <si>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</si>
  <si>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</si>
  <si>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</si>
  <si>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</si>
  <si>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</si>
  <si>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</si>
  <si>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</si>
  <si>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</si>
  <si>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</si>
  <si>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</si>
  <si>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</si>
  <si>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</si>
  <si>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</si>
  <si>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</si>
  <si>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</si>
  <si>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</si>
  <si>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</si>
  <si>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</si>
  <si>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</si>
  <si>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</si>
  <si>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</si>
  <si>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</si>
  <si>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</si>
  <si>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</si>
  <si>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</si>
  <si>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</si>
  <si>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</si>
  <si>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</si>
  <si>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</si>
  <si>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</si>
  <si>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</si>
  <si>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</si>
  <si>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</si>
  <si>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</si>
  <si>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</si>
  <si>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</si>
  <si>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</si>
  <si>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</si>
  <si>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</si>
  <si>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</si>
  <si>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</si>
  <si>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</si>
  <si>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</si>
  <si>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</si>
  <si>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</si>
  <si>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</si>
  <si>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</si>
  <si>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</si>
  <si>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</si>
  <si>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</si>
  <si>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</si>
  <si>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</si>
  <si>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</si>
  <si>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</si>
  <si>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</si>
  <si>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</si>
  <si>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</si>
  <si>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</si>
  <si>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</si>
  <si>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</si>
  <si>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</si>
  <si>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</si>
  <si>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</si>
  <si>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</si>
  <si>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</si>
  <si>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</si>
  <si>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</si>
  <si>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</si>
  <si>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</si>
  <si>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</si>
  <si>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</si>
  <si>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</si>
  <si>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</si>
  <si>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</si>
  <si>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</si>
  <si>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</si>
  <si>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</si>
  <si>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</si>
  <si>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</si>
  <si>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</si>
  <si>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</si>
  <si>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</si>
  <si>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</si>
  <si>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</si>
  <si>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</si>
  <si>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</si>
  <si>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</si>
  <si>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</si>
  <si>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</si>
  <si>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</si>
  <si>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</si>
  <si>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</si>
  <si>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</si>
  <si>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</si>
  <si>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</si>
  <si>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</si>
  <si>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</si>
  <si>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</si>
  <si>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</si>
  <si>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</si>
  <si>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</si>
  <si>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</si>
  <si>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</si>
  <si>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</si>
  <si>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</si>
  <si>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</si>
  <si>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</si>
  <si>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</si>
  <si>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</si>
  <si>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</si>
  <si>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</si>
  <si>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</si>
  <si>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</si>
  <si>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</si>
  <si>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</si>
  <si>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</si>
  <si>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</si>
  <si>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</si>
  <si>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</si>
  <si>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</si>
  <si>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</si>
  <si>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</si>
  <si>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</si>
  <si>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</si>
  <si>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</si>
  <si>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</si>
  <si>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</si>
  <si>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</si>
  <si>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</si>
  <si>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</si>
  <si>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</si>
  <si>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</si>
  <si>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</si>
  <si>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</si>
  <si>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</si>
  <si>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</si>
  <si>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</si>
  <si>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</si>
  <si>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</si>
  <si>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</si>
  <si>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</si>
  <si>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</si>
  <si>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</si>
  <si>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</si>
  <si>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</si>
  <si>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</si>
  <si>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</si>
  <si>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</si>
  <si>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</si>
  <si>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</si>
  <si>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</si>
  <si>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</si>
  <si>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</si>
  <si>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</si>
  <si>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</si>
  <si>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</si>
  <si>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</si>
  <si>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</si>
  <si>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</si>
  <si>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</si>
  <si>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</si>
  <si>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</si>
  <si>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</si>
  <si>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</si>
  <si>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</si>
  <si>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</si>
  <si>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</si>
  <si>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</si>
  <si>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</si>
  <si>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</si>
  <si>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</si>
  <si>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</si>
  <si>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</si>
  <si>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</si>
  <si>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</si>
  <si>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</si>
  <si>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</si>
  <si>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</si>
  <si>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</si>
  <si>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</si>
  <si>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</si>
  <si>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</si>
  <si>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</si>
  <si>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</si>
  <si>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</si>
  <si>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</si>
  <si>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</si>
  <si>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</si>
  <si>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</si>
  <si>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</si>
  <si>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</si>
  <si>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</si>
  <si>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</si>
  <si>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</si>
  <si>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</si>
  <si>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</si>
  <si>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</si>
  <si>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</si>
  <si>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</si>
  <si>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</si>
  <si>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</si>
  <si>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</si>
  <si>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</si>
  <si>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</si>
  <si>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</si>
  <si>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</si>
  <si>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</si>
  <si>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</si>
  <si>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</si>
  <si>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</si>
  <si>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</si>
  <si>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</si>
  <si>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</si>
  <si>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</si>
  <si>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</si>
  <si>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</si>
  <si>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</si>
  <si>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</si>
  <si>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</si>
  <si>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</si>
  <si>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</si>
  <si>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</si>
  <si>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</si>
  <si>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</si>
  <si>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</si>
  <si>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</si>
  <si>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</si>
  <si>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</si>
  <si>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</si>
  <si>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</si>
  <si>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</si>
  <si>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</si>
  <si>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</si>
  <si>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</si>
  <si>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</si>
  <si>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</si>
  <si>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</si>
  <si>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</si>
  <si>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</si>
  <si>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</si>
  <si>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</si>
  <si>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</si>
  <si>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</si>
  <si>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</si>
  <si>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</si>
  <si>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</si>
  <si>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</si>
  <si>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</si>
  <si>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</si>
  <si>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</si>
  <si>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</si>
  <si>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</si>
  <si>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</si>
  <si>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</si>
  <si>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</si>
  <si>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</si>
  <si>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</si>
  <si>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</si>
  <si>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</si>
  <si>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</si>
  <si>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</si>
  <si>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</si>
  <si>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</si>
  <si>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</si>
  <si>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</si>
  <si>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</si>
  <si>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</si>
  <si>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</si>
  <si>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</si>
  <si>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</si>
  <si>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</si>
  <si>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</si>
  <si>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</si>
  <si>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</si>
  <si>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</si>
  <si>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</si>
  <si>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</si>
  <si>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</si>
  <si>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</si>
  <si>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</si>
  <si>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</si>
  <si>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</si>
  <si>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</si>
  <si>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</si>
  <si>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</si>
  <si>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</si>
  <si>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</si>
  <si>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</si>
  <si>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</si>
  <si>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</si>
  <si>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</si>
  <si>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</si>
  <si>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</si>
  <si>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</si>
  <si>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</si>
  <si>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</si>
  <si>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</si>
  <si>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</si>
  <si>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</si>
  <si>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</si>
  <si>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</si>
  <si>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</si>
  <si>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</si>
  <si>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</si>
  <si>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</si>
  <si>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</si>
  <si>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</si>
  <si>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</si>
  <si>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</si>
  <si>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</si>
  <si>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</si>
  <si>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</si>
  <si>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</si>
  <si>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</si>
  <si>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</si>
  <si>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</si>
  <si>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</si>
  <si>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</si>
  <si>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</si>
  <si>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</si>
  <si>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</si>
  <si>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</si>
  <si>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</si>
  <si>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</si>
  <si>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</si>
  <si>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</si>
  <si>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</si>
  <si>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</si>
  <si>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</si>
  <si>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</si>
  <si>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</si>
  <si>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</si>
  <si>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</si>
  <si>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</si>
  <si>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</si>
  <si>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</si>
  <si>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</si>
  <si>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</si>
  <si>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</si>
  <si>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</si>
  <si>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</si>
  <si>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</si>
  <si>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</si>
  <si>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</si>
  <si>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</si>
  <si>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</si>
  <si>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</si>
  <si>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</si>
  <si>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</si>
  <si>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</si>
  <si>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</si>
  <si>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</si>
  <si>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</si>
  <si>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</si>
  <si>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</si>
  <si>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</si>
  <si>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</si>
  <si>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</si>
  <si>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</si>
  <si>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</si>
  <si>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</si>
  <si>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</si>
  <si>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</si>
  <si>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</si>
  <si>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</si>
  <si>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</si>
  <si>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</si>
  <si>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</si>
  <si>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</si>
  <si>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</si>
  <si>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</si>
  <si>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</si>
  <si>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</si>
  <si>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</si>
  <si>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</si>
  <si>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</si>
  <si>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</si>
  <si>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</si>
  <si>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</si>
  <si>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</si>
  <si>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</si>
  <si>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</si>
  <si>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</si>
  <si>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</si>
  <si>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</si>
  <si>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</si>
  <si>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</si>
  <si>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</si>
  <si>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</si>
  <si>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</si>
  <si>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</si>
  <si>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</si>
  <si>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</si>
  <si>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</si>
  <si>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</si>
  <si>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</si>
  <si>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</si>
  <si>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</si>
  <si>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</si>
  <si>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</si>
  <si>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</si>
  <si>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</si>
  <si>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</si>
  <si>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</si>
  <si>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</si>
  <si>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</si>
  <si>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</si>
  <si>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</si>
  <si>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</si>
  <si>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</si>
  <si>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</si>
  <si>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</si>
  <si>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</si>
  <si>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</si>
  <si>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</si>
  <si>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</si>
  <si>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</si>
  <si>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</si>
  <si>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</si>
  <si>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</si>
  <si>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</si>
  <si>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</si>
  <si>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</si>
  <si>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</si>
  <si>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</si>
  <si>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</si>
  <si>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</si>
  <si>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</si>
  <si>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</si>
  <si>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</si>
  <si>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</si>
  <si>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</si>
  <si>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</si>
  <si>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</si>
  <si>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</si>
  <si>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</si>
  <si>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</si>
  <si>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</si>
  <si>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</si>
  <si>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</si>
  <si>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</si>
  <si>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</si>
  <si>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</si>
  <si>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</si>
  <si>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</si>
  <si>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</si>
  <si>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</si>
  <si>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</si>
  <si>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</si>
  <si>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</si>
  <si>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</si>
  <si>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</si>
  <si>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</si>
  <si>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</si>
  <si>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</si>
  <si>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</si>
  <si>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</si>
  <si>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</si>
  <si>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</si>
  <si>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</si>
  <si>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</si>
  <si>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</si>
  <si>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</si>
  <si>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</si>
  <si>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</si>
  <si>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</si>
  <si>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</si>
  <si>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</si>
  <si>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</si>
  <si>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</si>
  <si>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</si>
  <si>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</si>
  <si>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</si>
  <si>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</si>
  <si>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</si>
  <si>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</si>
  <si>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</si>
  <si>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</si>
  <si>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</si>
  <si>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</si>
  <si>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</si>
  <si>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</si>
  <si>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</si>
  <si>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</si>
  <si>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</si>
  <si>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</si>
  <si>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</si>
  <si>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</si>
  <si>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</si>
  <si>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</si>
  <si>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</si>
  <si>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</si>
  <si>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</si>
  <si>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</si>
  <si>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</si>
  <si>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</si>
  <si>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</si>
  <si>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</si>
  <si>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</si>
  <si>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</si>
  <si>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</si>
  <si>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</si>
  <si>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</si>
  <si>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</si>
  <si>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</si>
  <si>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</si>
  <si>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</si>
  <si>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</si>
  <si>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</si>
  <si>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</si>
  <si>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</si>
  <si>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</si>
  <si>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</si>
  <si>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</si>
  <si>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</si>
  <si>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</si>
  <si>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</si>
  <si>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</si>
  <si>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</si>
  <si>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</si>
  <si>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</si>
  <si>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</si>
  <si>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</si>
  <si>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</si>
  <si>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</si>
  <si>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</si>
  <si>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</si>
  <si>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</si>
  <si>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</si>
  <si>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</si>
  <si>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</si>
  <si>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</si>
  <si>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</si>
  <si>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</si>
  <si>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</si>
  <si>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</si>
  <si>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</si>
  <si>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</si>
  <si>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</si>
  <si>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</si>
  <si>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</si>
  <si>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</si>
  <si>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</si>
  <si>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</si>
  <si>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</si>
  <si>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</si>
  <si>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</si>
  <si>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</si>
  <si>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</si>
  <si>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</si>
  <si>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</si>
  <si>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</si>
  <si>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</si>
  <si>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</si>
  <si>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</si>
  <si>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</si>
  <si>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</si>
  <si>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</si>
  <si>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</si>
  <si>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</si>
  <si>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</si>
  <si>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</si>
  <si>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</si>
  <si>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</si>
  <si>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</si>
  <si>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</si>
  <si>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</si>
  <si>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</si>
  <si>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</si>
  <si>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</si>
  <si>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</si>
  <si>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</si>
  <si>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</si>
  <si>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</si>
  <si>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</si>
  <si>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</si>
  <si>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</si>
  <si>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</si>
  <si>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</si>
  <si>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</si>
  <si>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</si>
  <si>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</si>
  <si>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</si>
  <si>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</si>
  <si>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</si>
  <si>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</si>
  <si>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</si>
  <si>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</si>
  <si>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</si>
  <si>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</si>
  <si>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</si>
  <si>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</si>
  <si>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</si>
  <si>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</si>
  <si>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</si>
  <si>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</si>
  <si>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</si>
  <si>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</si>
  <si>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</si>
  <si>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</si>
  <si>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</si>
  <si>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</si>
  <si>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</si>
  <si>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</si>
  <si>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</si>
  <si>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</si>
  <si>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</si>
  <si>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</si>
  <si>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</si>
  <si>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</si>
  <si>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</si>
  <si>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</si>
  <si>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</si>
  <si>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</si>
  <si>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</si>
  <si>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</si>
  <si>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</si>
  <si>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</si>
  <si>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</si>
  <si>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</si>
  <si>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</si>
  <si>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</si>
  <si>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</si>
  <si>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</si>
  <si>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</si>
  <si>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</si>
  <si>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</si>
  <si>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</si>
  <si>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</si>
  <si>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</si>
  <si>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</si>
  <si>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</si>
  <si>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</si>
  <si>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</si>
  <si>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</si>
  <si>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</si>
  <si>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</si>
  <si>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</si>
  <si>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</si>
  <si>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</si>
  <si>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</si>
  <si>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</si>
  <si>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</si>
  <si>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</si>
  <si>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</si>
  <si>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</si>
  <si>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</si>
  <si>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</si>
  <si>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</si>
  <si>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</si>
  <si>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</si>
  <si>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</si>
  <si>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</si>
  <si>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</si>
  <si>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</si>
  <si>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</si>
  <si>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</si>
  <si>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</si>
  <si>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</si>
  <si>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</si>
  <si>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</si>
  <si>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</si>
  <si>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</si>
  <si>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</si>
  <si>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</si>
  <si>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</si>
  <si>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</si>
  <si>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</si>
  <si>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</si>
  <si>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</si>
  <si>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</si>
  <si>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</si>
  <si>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</si>
  <si>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</si>
  <si>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</si>
  <si>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</si>
  <si>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</si>
  <si>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</si>
  <si>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</si>
  <si>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</si>
  <si>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</si>
  <si>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</si>
  <si>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</si>
  <si>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</si>
  <si>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</si>
  <si>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</si>
  <si>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</si>
  <si>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</si>
  <si>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</si>
  <si>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</si>
  <si>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</si>
  <si>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</si>
  <si>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</si>
  <si>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</si>
  <si>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</si>
  <si>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</si>
  <si>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</si>
  <si>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</si>
  <si>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</si>
  <si>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</si>
  <si>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</si>
  <si>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</si>
  <si>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</si>
  <si>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</si>
  <si>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</si>
  <si>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</si>
  <si>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</si>
  <si>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</si>
  <si>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</si>
  <si>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</si>
  <si>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</si>
  <si>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</si>
  <si>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</si>
  <si>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</si>
  <si>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</si>
  <si>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</si>
  <si>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</si>
  <si>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</si>
  <si>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</si>
  <si>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</si>
  <si>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</si>
  <si>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</si>
  <si>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</si>
  <si>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</si>
  <si>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</si>
  <si>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</si>
  <si>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</si>
  <si>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</si>
  <si>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</si>
  <si>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</si>
  <si>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</si>
  <si>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</si>
  <si>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</si>
  <si>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</si>
  <si>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</si>
  <si>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</si>
  <si>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</si>
  <si>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</si>
  <si>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</si>
  <si>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</si>
  <si>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</si>
  <si>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</si>
  <si>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</si>
  <si>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</si>
  <si>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</si>
  <si>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</si>
  <si>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</si>
  <si>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</si>
  <si>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</si>
  <si>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</si>
  <si>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</si>
  <si>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</si>
  <si>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</si>
  <si>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</si>
  <si>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</si>
  <si>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</si>
  <si>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</si>
  <si>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</si>
  <si>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</si>
  <si>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</si>
  <si>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</si>
  <si>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</si>
  <si>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</si>
  <si>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</si>
  <si>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</si>
  <si>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</si>
  <si>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</si>
  <si>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</si>
  <si>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</si>
  <si>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</si>
  <si>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</si>
  <si>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</si>
  <si>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</si>
  <si>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</si>
  <si>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</si>
  <si>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</si>
  <si>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</si>
  <si>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</si>
  <si>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</si>
  <si>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</si>
  <si>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</si>
  <si>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</si>
  <si>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</si>
  <si>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</si>
  <si>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</si>
  <si>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</si>
  <si>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</si>
  <si>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</si>
  <si>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</si>
  <si>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</si>
  <si>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</si>
  <si>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</si>
  <si>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</si>
  <si>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</si>
  <si>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</si>
  <si>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</si>
  <si>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</si>
  <si>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</si>
  <si>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</si>
  <si>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</si>
  <si>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</si>
  <si>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</si>
  <si>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</si>
  <si>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</si>
  <si>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</si>
  <si>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</si>
  <si>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</si>
  <si>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</si>
  <si>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</si>
  <si>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</si>
  <si>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</si>
  <si>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</si>
  <si>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</si>
  <si>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</si>
  <si>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</si>
  <si>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</si>
  <si>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</si>
  <si>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</si>
  <si>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</si>
  <si>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</si>
  <si>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</si>
  <si>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</si>
  <si>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</si>
  <si>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</si>
  <si>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</si>
  <si>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</si>
  <si>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</si>
  <si>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</si>
  <si>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</si>
  <si>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</si>
  <si>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</si>
  <si>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</si>
  <si>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</si>
  <si>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</si>
  <si>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</si>
  <si>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</si>
  <si>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</si>
  <si>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</si>
  <si>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</si>
  <si>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</si>
  <si>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</si>
  <si>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</si>
  <si>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</si>
  <si>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</si>
  <si>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</si>
  <si>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</si>
  <si>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</si>
  <si>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</si>
  <si>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</si>
  <si>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</si>
  <si>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</si>
  <si>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</si>
  <si>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</si>
  <si>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</si>
  <si>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</si>
  <si>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</si>
  <si>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</si>
  <si>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</si>
  <si>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</si>
  <si>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</si>
  <si>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</si>
  <si>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</si>
  <si>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</si>
  <si>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</si>
  <si>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</si>
  <si>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</si>
  <si>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</si>
  <si>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</si>
  <si>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</si>
  <si>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</si>
  <si>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</si>
  <si>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</si>
  <si>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</si>
  <si>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</si>
  <si>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</si>
  <si>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</si>
  <si>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</si>
  <si>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</si>
  <si>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</si>
  <si>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</si>
  <si>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</si>
  <si>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</si>
  <si>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</si>
  <si>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</si>
  <si>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</si>
  <si>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</si>
  <si>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</si>
  <si>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</si>
  <si>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</si>
  <si>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</si>
  <si>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</si>
  <si>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</si>
  <si>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</si>
  <si>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</si>
  <si>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</si>
  <si>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</si>
  <si>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</si>
  <si>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</si>
  <si>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</si>
  <si>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</si>
  <si>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</si>
  <si>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</si>
  <si>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</si>
  <si>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</si>
  <si>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</si>
  <si>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</si>
  <si>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</si>
  <si>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</si>
  <si>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</si>
  <si>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</si>
  <si>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</si>
  <si>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</si>
  <si>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</si>
  <si>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</si>
  <si>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</si>
  <si>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</si>
  <si>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</si>
  <si>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</si>
  <si>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</si>
  <si>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</si>
  <si>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</si>
  <si>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</si>
  <si>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</si>
  <si>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</si>
  <si>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</si>
  <si>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</si>
  <si>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</si>
  <si>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</si>
  <si>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</si>
  <si>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</si>
  <si>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</si>
  <si>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</si>
  <si>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</si>
  <si>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</si>
  <si>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</si>
  <si>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</si>
  <si>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</si>
  <si>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</si>
  <si>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</si>
  <si>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</si>
  <si>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</si>
  <si>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</si>
  <si>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</si>
  <si>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</si>
  <si>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</si>
  <si>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</si>
  <si>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</si>
  <si>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</si>
  <si>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</si>
  <si>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</si>
  <si>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</si>
  <si>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</si>
  <si>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</si>
  <si>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</si>
  <si>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</si>
  <si>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</si>
  <si>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</si>
  <si>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</si>
  <si>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</si>
  <si>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</si>
  <si>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</si>
  <si>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</si>
  <si>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</si>
  <si>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</si>
  <si>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</si>
  <si>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</si>
  <si>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</si>
  <si>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</si>
  <si>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</si>
  <si>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</si>
  <si>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</si>
  <si>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</si>
  <si>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</si>
  <si>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</si>
  <si>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</si>
  <si>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</si>
  <si>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</si>
  <si>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</si>
  <si>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</si>
  <si>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</si>
  <si>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</si>
  <si>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</si>
  <si>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</si>
  <si>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</si>
  <si>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</si>
  <si>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</si>
  <si>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</si>
  <si>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</si>
  <si>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</si>
  <si>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</si>
  <si>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</si>
  <si>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</si>
  <si>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</si>
  <si>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</si>
  <si>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</si>
  <si>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</si>
  <si>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</si>
  <si>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</si>
  <si>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</si>
  <si>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</si>
  <si>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</si>
  <si>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</si>
  <si>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</si>
  <si>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</si>
  <si>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</si>
  <si>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</si>
  <si>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</si>
  <si>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</si>
  <si>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</si>
  <si>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</si>
  <si>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</si>
  <si>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</si>
  <si>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</si>
  <si>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</si>
  <si>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</si>
  <si>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</si>
  <si>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</si>
  <si>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</si>
  <si>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</si>
  <si>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</si>
  <si>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</si>
  <si>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</si>
  <si>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</si>
  <si>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</si>
  <si>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</si>
  <si>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</si>
  <si>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</si>
  <si>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</si>
  <si>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</si>
  <si>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</si>
  <si>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</si>
  <si>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</si>
  <si>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</si>
  <si>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</si>
  <si>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</si>
  <si>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</si>
  <si>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</si>
  <si>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</si>
  <si>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</si>
  <si>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</si>
  <si>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</si>
  <si>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</si>
  <si>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</si>
  <si>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</si>
  <si>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</si>
  <si>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</si>
  <si>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</si>
  <si>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</si>
  <si>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</si>
  <si>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</si>
  <si>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</si>
  <si>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</si>
  <si>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</si>
  <si>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</si>
  <si>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</si>
  <si>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</si>
  <si>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</si>
  <si>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</si>
  <si>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</si>
  <si>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</si>
  <si>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</si>
  <si>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</si>
  <si>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</si>
  <si>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</si>
  <si>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</si>
  <si>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</si>
  <si>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</si>
  <si>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</si>
  <si>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</si>
  <si>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</si>
  <si>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</si>
  <si>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</si>
  <si>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</si>
  <si>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</si>
  <si>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</si>
  <si>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</si>
  <si>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</si>
  <si>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</si>
  <si>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</si>
  <si>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</si>
  <si>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</si>
  <si>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</si>
  <si>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</si>
  <si>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</si>
  <si>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</si>
  <si>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</si>
  <si>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</si>
  <si>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</si>
  <si>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</si>
  <si>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</si>
  <si>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</si>
  <si>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</si>
  <si>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</si>
  <si>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</si>
  <si>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</si>
  <si>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</si>
  <si>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</si>
  <si>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</si>
  <si>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</si>
  <si>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</si>
  <si>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</si>
  <si>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</si>
  <si>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</si>
  <si>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</si>
  <si>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</si>
  <si>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</si>
  <si>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</si>
  <si>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</si>
  <si>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</si>
  <si>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</si>
  <si>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</si>
  <si>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</si>
  <si>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</si>
  <si>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</si>
  <si>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</si>
  <si>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</si>
  <si>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</si>
  <si>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</si>
  <si>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</si>
  <si>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</si>
  <si>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</si>
  <si>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</si>
  <si>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</si>
  <si>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</si>
  <si>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</si>
  <si>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</si>
  <si>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</si>
  <si>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</si>
  <si>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</si>
  <si>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</si>
  <si>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</si>
  <si>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</si>
  <si>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</si>
  <si>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</si>
  <si>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</si>
  <si>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</si>
  <si>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</si>
  <si>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</si>
  <si>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</si>
  <si>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</si>
  <si>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</si>
  <si>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</si>
  <si>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</si>
  <si>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</si>
  <si>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</si>
  <si>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</si>
  <si>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</si>
  <si>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</si>
  <si>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</si>
  <si>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</si>
  <si>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</si>
  <si>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</si>
  <si>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</si>
  <si>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</si>
  <si>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</si>
  <si>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</si>
  <si>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</si>
  <si>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</si>
  <si>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</si>
  <si>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</si>
  <si>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</si>
  <si>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</si>
  <si>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</si>
  <si>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</si>
  <si>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</si>
  <si>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</si>
  <si>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</si>
  <si>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</si>
  <si>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</si>
  <si>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</si>
  <si>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</si>
  <si>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</si>
  <si>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</si>
  <si>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</si>
  <si>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</si>
  <si>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</si>
  <si>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</si>
  <si>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</si>
  <si>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</si>
  <si>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</si>
  <si>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</si>
  <si>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</si>
  <si>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</si>
  <si>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</si>
  <si>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</si>
  <si>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</si>
  <si>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</si>
  <si>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</si>
  <si>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</si>
  <si>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</si>
  <si>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</si>
  <si>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</si>
  <si>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</si>
  <si>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</si>
  <si>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</si>
  <si>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</si>
  <si>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</si>
  <si>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</si>
  <si>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</si>
  <si>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</si>
  <si>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</si>
  <si>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</si>
  <si>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</si>
  <si>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</si>
  <si>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</si>
  <si>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</si>
  <si>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</si>
  <si>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</si>
  <si>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</si>
  <si>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</si>
  <si>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</si>
  <si>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</si>
  <si>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</si>
  <si>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</si>
  <si>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</si>
  <si>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</si>
  <si>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</si>
  <si>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</si>
  <si>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</si>
  <si>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</si>
  <si>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</si>
  <si>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</si>
  <si>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</si>
  <si>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</si>
  <si>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</si>
  <si>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</si>
  <si>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</si>
  <si>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</si>
  <si>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</si>
  <si>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</si>
  <si>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</si>
  <si>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</si>
  <si>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</si>
  <si>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</si>
  <si>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</si>
  <si>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</si>
  <si>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</si>
  <si>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</si>
  <si>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</si>
  <si>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</si>
  <si>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</si>
  <si>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</si>
  <si>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</si>
  <si>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</si>
  <si>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</si>
  <si>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</si>
  <si>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</si>
  <si>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</si>
  <si>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</si>
  <si>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</si>
  <si>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</si>
  <si>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</si>
  <si>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</si>
  <si>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</si>
  <si>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</si>
  <si>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</si>
  <si>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</si>
  <si>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</si>
  <si>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</si>
  <si>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</si>
  <si>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</si>
  <si>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</si>
  <si>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</si>
  <si>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</si>
  <si>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</si>
  <si>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</si>
  <si>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</si>
  <si>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</si>
  <si>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</si>
  <si>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</si>
  <si>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</si>
  <si>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</si>
  <si>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</si>
  <si>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</si>
  <si>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</si>
  <si>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</si>
  <si>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</si>
  <si>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</si>
  <si>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</si>
  <si>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</si>
  <si>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</si>
  <si>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</si>
  <si>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</si>
  <si>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</si>
  <si>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</si>
  <si>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</si>
  <si>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</si>
  <si>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</si>
  <si>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</si>
  <si>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</si>
  <si>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</si>
  <si>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</si>
  <si>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</si>
  <si>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</si>
  <si>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</si>
  <si>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</si>
  <si>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</si>
  <si>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</si>
  <si>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</si>
  <si>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</si>
  <si>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</si>
  <si>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</si>
  <si>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</si>
  <si>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</si>
  <si>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</si>
  <si>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</si>
  <si>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</si>
  <si>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</si>
  <si>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</si>
  <si>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</si>
  <si>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</si>
  <si>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</si>
  <si>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</si>
  <si>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</si>
  <si>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</si>
  <si>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</si>
  <si>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</si>
  <si>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</si>
  <si>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</si>
  <si>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</si>
  <si>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</si>
  <si>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</si>
  <si>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</si>
  <si>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</si>
  <si>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</si>
  <si>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</si>
  <si>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</si>
  <si>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</si>
  <si>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</si>
  <si>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</si>
  <si>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</si>
  <si>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</si>
  <si>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</si>
  <si>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</si>
  <si>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</si>
  <si>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</si>
  <si>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</si>
  <si>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</si>
  <si>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</si>
  <si>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</si>
  <si>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</si>
  <si>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</si>
  <si>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</si>
  <si>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</si>
  <si>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</si>
  <si>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</si>
  <si>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</si>
  <si>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</si>
  <si>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</si>
  <si>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</si>
  <si>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</si>
  <si>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</si>
  <si>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</si>
  <si>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</si>
  <si>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</si>
  <si>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</si>
  <si>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</si>
  <si>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</si>
  <si>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</si>
  <si>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</si>
  <si>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</si>
  <si>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</si>
  <si>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</si>
  <si>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</si>
  <si>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</si>
  <si>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</si>
  <si>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</si>
  <si>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</si>
  <si>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</si>
  <si>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</si>
  <si>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</si>
  <si>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</si>
  <si>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</si>
  <si>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</si>
  <si>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</si>
  <si>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</si>
  <si>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</si>
  <si>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</si>
  <si>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</si>
  <si>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</si>
  <si>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</si>
  <si>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</si>
  <si>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</si>
  <si>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</si>
  <si>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</si>
  <si>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</si>
  <si>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</si>
  <si>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</si>
  <si>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</si>
  <si>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</si>
  <si>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</si>
  <si>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</si>
  <si>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</si>
  <si>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</si>
  <si>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</si>
  <si>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</si>
  <si>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</si>
  <si>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</si>
  <si>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</si>
  <si>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</si>
  <si>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</si>
  <si>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</si>
  <si>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</si>
  <si>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</si>
  <si>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</si>
  <si>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</si>
  <si>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</si>
  <si>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</si>
  <si>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</si>
  <si>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</si>
  <si>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</si>
  <si>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</si>
  <si>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</si>
  <si>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</si>
  <si>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</si>
  <si>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</si>
  <si>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</si>
  <si>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</si>
  <si>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</si>
  <si>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</si>
  <si>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</si>
  <si>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</si>
  <si>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</si>
  <si>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</si>
  <si>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</si>
  <si>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</si>
  <si>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</si>
  <si>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</si>
  <si>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</si>
  <si>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</si>
  <si>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</si>
  <si>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</si>
  <si>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</si>
  <si>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</si>
  <si>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</si>
  <si>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</si>
  <si>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</si>
  <si>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</si>
  <si>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</si>
  <si>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</si>
  <si>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</si>
  <si>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</si>
  <si>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</si>
  <si>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</si>
  <si>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</si>
  <si>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</si>
  <si>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</si>
  <si>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</si>
  <si>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</si>
  <si>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</si>
  <si>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</si>
  <si>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</si>
  <si>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</si>
  <si>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</si>
  <si>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</si>
  <si>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</si>
  <si>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</si>
  <si>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</si>
  <si>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</si>
  <si>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</si>
  <si>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</si>
  <si>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</si>
  <si>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</si>
  <si>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</si>
  <si>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</si>
  <si>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</si>
  <si>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</si>
  <si>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</si>
  <si>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</si>
  <si>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</si>
  <si>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</si>
  <si>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</si>
  <si>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</si>
  <si>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</si>
  <si>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</si>
  <si>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</si>
  <si>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</si>
  <si>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</si>
  <si>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</si>
  <si>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</si>
  <si>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</si>
  <si>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</si>
  <si>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</si>
  <si>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</si>
  <si>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</si>
  <si>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</si>
  <si>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</si>
  <si>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</si>
  <si>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</si>
  <si>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</si>
  <si>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</si>
  <si>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</si>
  <si>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</si>
  <si>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</si>
  <si>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</si>
  <si>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</si>
  <si>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</si>
  <si>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</si>
  <si>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</si>
  <si>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</si>
  <si>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</si>
  <si>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</si>
  <si>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</si>
  <si>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</si>
  <si>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</si>
  <si>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</si>
  <si>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</si>
  <si>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</si>
  <si>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</si>
  <si>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</si>
  <si>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</si>
  <si>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</si>
  <si>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</si>
  <si>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</si>
  <si>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</si>
  <si>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</si>
  <si>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</si>
  <si>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</si>
  <si>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</si>
  <si>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</si>
  <si>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</si>
  <si>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</si>
  <si>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</si>
  <si>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</si>
  <si>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</si>
  <si>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</si>
  <si>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</si>
  <si>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</si>
  <si>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</si>
  <si>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</si>
  <si>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</si>
  <si>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</si>
  <si>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</si>
  <si>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</si>
  <si>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</si>
  <si>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</si>
  <si>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</si>
  <si>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</si>
  <si>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</si>
  <si>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</si>
  <si>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</si>
  <si>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</si>
  <si>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</si>
  <si>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</si>
  <si>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</si>
  <si>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</si>
  <si>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</si>
  <si>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</si>
  <si>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</si>
  <si>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</si>
  <si>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</si>
  <si>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</si>
  <si>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</si>
  <si>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</si>
  <si>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</si>
  <si>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</si>
  <si>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</si>
  <si>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</si>
  <si>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</si>
  <si>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</si>
  <si>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</si>
  <si>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</si>
  <si>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</si>
  <si>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</si>
  <si>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</si>
  <si>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</si>
  <si>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</si>
  <si>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</si>
  <si>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</si>
  <si>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</si>
  <si>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</si>
  <si>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</si>
  <si>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</si>
  <si>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</si>
  <si>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</si>
  <si>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</si>
  <si>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</si>
  <si>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</si>
  <si>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</si>
  <si>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</si>
  <si>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</si>
  <si>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</si>
  <si>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</si>
  <si>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</si>
  <si>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</si>
  <si>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</si>
  <si>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</si>
  <si>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</si>
  <si>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</si>
  <si>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</si>
  <si>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</si>
  <si>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</si>
  <si>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</si>
  <si>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</si>
  <si>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</si>
  <si>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</si>
  <si>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</si>
  <si>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</si>
  <si>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</si>
  <si>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</si>
  <si>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</si>
  <si>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</si>
  <si>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</si>
  <si>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</si>
  <si>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</si>
  <si>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</si>
  <si>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</si>
  <si>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</si>
  <si>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</si>
  <si>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</si>
  <si>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</si>
  <si>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</si>
  <si>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</si>
  <si>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</si>
  <si>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</si>
  <si>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</si>
  <si>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</si>
  <si>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</si>
  <si>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</si>
  <si>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</si>
  <si>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</si>
  <si>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</si>
  <si>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</si>
  <si>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</si>
  <si>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</si>
  <si>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</si>
  <si>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</si>
  <si>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</si>
  <si>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</si>
  <si>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</si>
  <si>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</si>
  <si>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</si>
  <si>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</si>
  <si>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</si>
  <si>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</si>
  <si>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</si>
  <si>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</si>
  <si>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</si>
  <si>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</si>
  <si>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</si>
  <si>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</si>
  <si>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</si>
  <si>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</si>
  <si>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</si>
  <si>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</si>
  <si>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</si>
  <si>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</si>
  <si>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</si>
  <si>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</si>
  <si>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</si>
  <si>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</si>
  <si>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</si>
  <si>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</si>
  <si>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</si>
  <si>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</si>
  <si>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</si>
  <si>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</si>
  <si>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</si>
  <si>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</si>
  <si>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</si>
  <si>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</si>
  <si>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</si>
  <si>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</si>
  <si>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</si>
  <si>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</si>
  <si>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</si>
  <si>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</si>
  <si>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</si>
  <si>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</si>
  <si>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</si>
  <si>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</si>
  <si>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</si>
  <si>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</si>
  <si>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</si>
  <si>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</si>
  <si>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</si>
  <si>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</si>
  <si>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</si>
  <si>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</si>
  <si>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</si>
  <si>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</si>
  <si>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</si>
  <si>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</si>
  <si>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</si>
  <si>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</si>
  <si>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</si>
  <si>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</si>
  <si>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</si>
  <si>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</si>
  <si>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</si>
  <si>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</si>
  <si>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</si>
  <si>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</si>
  <si>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</si>
  <si>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</si>
  <si>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</si>
  <si>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</si>
  <si>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</si>
  <si>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</si>
  <si>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</si>
  <si>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</si>
  <si>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</si>
  <si>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</si>
  <si>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</si>
  <si>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</si>
  <si>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</si>
  <si>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</si>
  <si>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</si>
  <si>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</si>
  <si>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</si>
  <si>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</si>
  <si>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</si>
  <si>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</si>
  <si>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</si>
  <si>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</si>
  <si>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</si>
  <si>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</si>
  <si>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</si>
  <si>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</si>
  <si>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</si>
  <si>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</si>
  <si>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</si>
  <si>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</si>
  <si>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</si>
  <si>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</si>
  <si>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</si>
  <si>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</si>
  <si>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</si>
  <si>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</si>
  <si>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</si>
  <si>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</si>
  <si>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</si>
  <si>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</si>
  <si>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</si>
  <si>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</si>
  <si>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</si>
  <si>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</si>
  <si>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</si>
  <si>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</si>
  <si>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</si>
  <si>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</si>
  <si>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</si>
  <si>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</si>
  <si>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</si>
  <si>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</si>
  <si>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</si>
  <si>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</si>
  <si>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</si>
  <si>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</si>
  <si>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</si>
  <si>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</si>
  <si>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</si>
  <si>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</si>
  <si>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</si>
  <si>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</si>
  <si>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</si>
  <si>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</si>
  <si>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</si>
  <si>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</si>
  <si>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</si>
  <si>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</si>
  <si>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</si>
  <si>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</si>
  <si>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</si>
  <si>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</si>
  <si>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</si>
  <si>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</si>
  <si>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</si>
  <si>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</si>
  <si>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</si>
  <si>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</si>
  <si>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</si>
  <si>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</si>
  <si>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</si>
  <si>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</si>
  <si>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</si>
  <si>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</si>
  <si>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</si>
  <si>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</si>
  <si>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</si>
  <si>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</si>
  <si>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</si>
  <si>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</si>
  <si>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</si>
  <si>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</si>
  <si>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</si>
  <si>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</si>
  <si>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</si>
  <si>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</si>
  <si>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</si>
  <si>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</si>
  <si>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</si>
  <si>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</si>
  <si>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</si>
  <si>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</si>
  <si>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</si>
  <si>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</si>
  <si>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</si>
  <si>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</si>
  <si>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</si>
  <si>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</si>
  <si>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</si>
  <si>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</si>
  <si>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</si>
  <si>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</si>
  <si>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</si>
  <si>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</si>
  <si>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</si>
  <si>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</si>
  <si>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</si>
  <si>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</si>
  <si>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</si>
  <si>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</si>
  <si>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</si>
  <si>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</si>
  <si>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</si>
  <si>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</si>
  <si>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</si>
  <si>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</si>
  <si>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</si>
  <si>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</si>
  <si>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</si>
  <si>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</si>
  <si>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</si>
  <si>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</si>
  <si>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</si>
  <si>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</si>
  <si>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</si>
  <si>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</si>
  <si>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</si>
  <si>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</si>
  <si>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</si>
  <si>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</si>
  <si>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</si>
  <si>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</si>
  <si>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</si>
  <si>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</si>
  <si>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</si>
  <si>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</si>
  <si>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</si>
  <si>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</si>
  <si>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</si>
  <si>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</si>
  <si>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</si>
  <si>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</si>
  <si>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</si>
  <si>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</si>
  <si>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</si>
  <si>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</si>
  <si>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</si>
  <si>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</si>
  <si>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</si>
  <si>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</si>
  <si>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</si>
  <si>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</si>
  <si>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</si>
  <si>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</si>
  <si>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</si>
  <si>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</si>
  <si>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</si>
  <si>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</si>
  <si>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</si>
  <si>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</si>
  <si>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</si>
  <si>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</si>
  <si>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</si>
  <si>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</si>
  <si>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</si>
  <si>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</si>
  <si>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</si>
  <si>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</si>
  <si>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</si>
  <si>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</si>
  <si>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</si>
  <si>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</si>
  <si>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</si>
  <si>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</si>
  <si>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</si>
  <si>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</si>
  <si>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</si>
  <si>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</si>
  <si>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</si>
  <si>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</si>
  <si>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</si>
  <si>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</si>
  <si>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</si>
  <si>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</si>
  <si>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</si>
  <si>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</si>
  <si>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</si>
  <si>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</si>
  <si>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</si>
  <si>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</si>
  <si>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</si>
  <si>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</si>
  <si>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</si>
  <si>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</si>
  <si>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</si>
  <si>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</si>
  <si>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</si>
  <si>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</si>
  <si>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</si>
  <si>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</si>
  <si>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</si>
  <si>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</si>
  <si>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</si>
  <si>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</si>
  <si>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</si>
  <si>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</si>
  <si>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</si>
  <si>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</si>
  <si>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</si>
  <si>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</si>
  <si>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</si>
  <si>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</si>
  <si>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</si>
  <si>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</si>
  <si>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</si>
  <si>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</si>
  <si>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</si>
  <si>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</si>
  <si>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</si>
  <si>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</si>
  <si>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</si>
  <si>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</si>
  <si>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</si>
  <si>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</si>
  <si>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</si>
  <si>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</si>
  <si>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</si>
  <si>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</si>
  <si>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</si>
  <si>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</si>
  <si>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</si>
  <si>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</si>
  <si>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</si>
  <si>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</si>
  <si>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</si>
  <si>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</si>
  <si>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</si>
  <si>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</si>
  <si>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</si>
  <si>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</si>
  <si>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</si>
  <si>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</si>
  <si>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</si>
  <si>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</si>
  <si>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</si>
  <si>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</si>
  <si>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</si>
  <si>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</si>
  <si>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</si>
  <si>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</si>
  <si>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</si>
  <si>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</si>
  <si>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</si>
  <si>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</si>
  <si>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</si>
  <si>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</si>
  <si>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</si>
  <si>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</si>
  <si>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</si>
  <si>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</si>
  <si>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</si>
  <si>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</si>
  <si>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</si>
  <si>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</si>
  <si>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</si>
  <si>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</si>
  <si>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</si>
  <si>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</si>
  <si>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</si>
  <si>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</si>
  <si>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</si>
  <si>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</si>
  <si>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</si>
  <si>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</si>
  <si>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</si>
  <si>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</si>
  <si>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</si>
  <si>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</si>
  <si>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</si>
  <si>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</si>
  <si>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</si>
  <si>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</si>
  <si>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</si>
  <si>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</si>
  <si>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</si>
  <si>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</si>
  <si>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</si>
  <si>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</si>
  <si>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</si>
  <si>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</si>
  <si>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</si>
  <si>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</si>
  <si>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</si>
  <si>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</si>
  <si>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</si>
  <si>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</si>
  <si>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</si>
  <si>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</si>
  <si>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</si>
  <si>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</si>
  <si>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</si>
  <si>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</si>
  <si>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</si>
  <si>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</si>
  <si>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</si>
  <si>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</si>
  <si>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</si>
  <si>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</si>
  <si>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</si>
  <si>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</si>
  <si>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</si>
  <si>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</si>
  <si>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</si>
  <si>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</si>
  <si>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</si>
  <si>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</si>
  <si>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</si>
  <si>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</si>
  <si>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</si>
  <si>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</si>
  <si>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</si>
  <si>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</si>
  <si>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</si>
  <si>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</si>
  <si>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</si>
  <si>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</si>
  <si>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</si>
  <si>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</si>
  <si>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</si>
  <si>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</si>
  <si>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</si>
  <si>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</si>
  <si>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</si>
  <si>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</si>
  <si>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</si>
  <si>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</si>
  <si>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</si>
  <si>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</si>
  <si>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</si>
  <si>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</si>
  <si>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</si>
  <si>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</si>
  <si>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</si>
  <si>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</si>
  <si>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</si>
  <si>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</si>
  <si>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</si>
  <si>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</si>
  <si>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</si>
  <si>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</si>
  <si>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</si>
  <si>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</si>
  <si>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</si>
  <si>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</si>
  <si>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</si>
  <si>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</si>
  <si>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</si>
  <si>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</si>
  <si>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</si>
  <si>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</si>
  <si>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</si>
  <si>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</si>
  <si>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</si>
  <si>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</si>
  <si>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</si>
  <si>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</si>
  <si>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</si>
  <si>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</si>
  <si>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</si>
  <si>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</si>
  <si>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</si>
  <si>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</si>
  <si>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</si>
  <si>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</si>
  <si>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</si>
  <si>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</si>
  <si>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</si>
  <si>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</si>
  <si>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</si>
  <si>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</si>
  <si>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</si>
  <si>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</si>
  <si>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</si>
  <si>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</si>
  <si>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</si>
  <si>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</si>
  <si>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</si>
  <si>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</si>
  <si>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</si>
  <si>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</si>
  <si>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</si>
  <si>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</si>
  <si>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</si>
  <si>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</si>
  <si>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</si>
  <si>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</si>
  <si>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</si>
  <si>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</si>
  <si>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</si>
  <si>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</si>
  <si>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</si>
  <si>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</si>
  <si>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</si>
  <si>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</si>
  <si>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</si>
  <si>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</si>
  <si>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</si>
  <si>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</si>
  <si>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</si>
  <si>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</si>
  <si>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</si>
  <si>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</si>
  <si>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</si>
  <si>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</si>
  <si>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</si>
  <si>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</si>
  <si>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</si>
  <si>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</si>
  <si>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</si>
  <si>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</si>
  <si>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</si>
  <si>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</si>
  <si>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</si>
  <si>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</si>
  <si>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</si>
  <si>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</si>
  <si>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</si>
  <si>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</si>
  <si>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</si>
  <si>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</si>
  <si>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</si>
  <si>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</si>
  <si>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</si>
  <si>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</si>
  <si>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</si>
  <si>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</si>
  <si>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</si>
  <si>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</si>
  <si>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</si>
  <si>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</si>
  <si>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</si>
  <si>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</si>
  <si>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</si>
  <si>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</si>
  <si>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</si>
  <si>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</si>
  <si>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</si>
  <si>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</si>
  <si>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</si>
  <si>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</si>
  <si>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</si>
  <si>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</si>
  <si>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</si>
  <si>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</si>
  <si>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</si>
  <si>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</si>
  <si>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</si>
  <si>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</si>
  <si>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</si>
  <si>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</si>
  <si>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</si>
  <si>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</si>
  <si>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</si>
  <si>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</si>
  <si>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</si>
  <si>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</si>
  <si>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</si>
  <si>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</si>
  <si>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</si>
  <si>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</si>
  <si>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</si>
  <si>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</si>
  <si>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</si>
  <si>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</si>
  <si>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</si>
  <si>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</si>
  <si>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</si>
  <si>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</si>
  <si>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</si>
  <si>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</si>
  <si>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</si>
  <si>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</si>
  <si>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</si>
  <si>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</si>
  <si>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</si>
  <si>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</si>
  <si>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</si>
  <si>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</si>
  <si>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</si>
  <si>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</si>
  <si>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</si>
  <si>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</si>
  <si>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</si>
  <si>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</si>
  <si>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</si>
  <si>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</si>
  <si>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</si>
  <si>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</si>
  <si>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</si>
  <si>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</si>
  <si>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</si>
  <si>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</si>
  <si>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</si>
  <si>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</si>
  <si>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</si>
  <si>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</si>
  <si>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</si>
  <si>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</si>
  <si>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</si>
  <si>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</si>
  <si>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</si>
  <si>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</si>
  <si>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</si>
  <si>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</si>
  <si>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</si>
  <si>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</si>
  <si>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</si>
  <si>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</si>
  <si>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</si>
  <si>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</si>
  <si>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</si>
  <si>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</si>
  <si>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</si>
  <si>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</si>
  <si>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</si>
  <si>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</si>
  <si>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</si>
  <si>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</si>
  <si>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</si>
  <si>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</si>
  <si>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</si>
  <si>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</si>
  <si>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</si>
  <si>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</si>
  <si>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</si>
  <si>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</si>
  <si>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</si>
  <si>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</si>
  <si>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</si>
  <si>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</si>
  <si>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</si>
  <si>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</si>
  <si>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</si>
  <si>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</si>
  <si>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</si>
  <si>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</si>
  <si>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</si>
  <si>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</si>
  <si>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</si>
  <si>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</si>
  <si>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</si>
  <si>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</si>
  <si>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</si>
  <si>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</si>
  <si>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</si>
  <si>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</si>
  <si>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</si>
  <si>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</si>
  <si>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</si>
  <si>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</si>
  <si>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</si>
  <si>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</si>
  <si>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</si>
  <si>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</si>
  <si>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</si>
  <si>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</si>
  <si>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</si>
  <si>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</si>
  <si>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</si>
  <si>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</si>
  <si>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</si>
  <si>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</si>
  <si>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</si>
  <si>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</si>
  <si>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</si>
  <si>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</si>
  <si>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</si>
  <si>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</si>
  <si>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</si>
  <si>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</si>
  <si>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</si>
  <si>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</si>
  <si>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</si>
  <si>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</si>
  <si>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</si>
  <si>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</si>
  <si>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</si>
  <si>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</si>
  <si>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</si>
  <si>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</si>
  <si>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</si>
  <si>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</si>
  <si>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</si>
  <si>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</si>
  <si>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</si>
  <si>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</si>
  <si>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</si>
  <si>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</si>
  <si>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</si>
  <si>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</si>
  <si>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</si>
  <si>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</si>
  <si>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</si>
  <si>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</si>
  <si>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</si>
  <si>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</si>
  <si>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</si>
  <si>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</si>
  <si>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</si>
  <si>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</si>
  <si>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</si>
  <si>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</si>
  <si>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</si>
  <si>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</si>
  <si>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</si>
  <si>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</si>
  <si>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</si>
  <si>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</si>
  <si>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</si>
  <si>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</si>
  <si>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</si>
  <si>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</si>
  <si>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</si>
  <si>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</si>
  <si>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</si>
  <si>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</si>
  <si>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</si>
  <si>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</si>
  <si>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</si>
  <si>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</si>
  <si>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</si>
  <si>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</si>
  <si>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</si>
  <si>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</si>
  <si>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</si>
  <si>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</si>
  <si>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</si>
  <si>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</si>
  <si>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</si>
  <si>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</si>
  <si>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</si>
  <si>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</si>
  <si>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</si>
  <si>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</si>
  <si>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</si>
  <si>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</si>
  <si>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</si>
  <si>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</si>
  <si>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</si>
  <si>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</si>
  <si>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</si>
  <si>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</si>
  <si>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</si>
  <si>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</si>
  <si>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</si>
  <si>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</si>
  <si>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</si>
  <si>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</si>
  <si>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</si>
  <si>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</si>
  <si>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</si>
  <si>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</si>
  <si>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</si>
  <si>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</si>
  <si>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</si>
  <si>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</si>
  <si>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</si>
  <si>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</si>
  <si>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</si>
  <si>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</si>
  <si>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</si>
  <si>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</si>
  <si>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</si>
  <si>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</si>
  <si>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</si>
  <si>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</si>
  <si>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</si>
  <si>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</si>
  <si>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</si>
  <si>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</si>
  <si>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</si>
  <si>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</si>
  <si>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</si>
  <si>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</si>
  <si>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</si>
  <si>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</si>
  <si>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</si>
  <si>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</si>
  <si>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</si>
  <si>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</si>
  <si>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</si>
  <si>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</si>
  <si>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</si>
  <si>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</si>
  <si>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</si>
  <si>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</si>
  <si>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</si>
  <si>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</si>
  <si>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</si>
  <si>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</si>
  <si>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</si>
  <si>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</si>
  <si>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</si>
  <si>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</si>
  <si>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</si>
  <si>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</si>
  <si>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</si>
  <si>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</si>
  <si>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</si>
  <si>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</si>
  <si>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</si>
  <si>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</si>
  <si>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</si>
  <si>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</si>
  <si>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</si>
  <si>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</si>
  <si>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</si>
  <si>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</si>
  <si>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</si>
  <si>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</si>
  <si>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</si>
  <si>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</si>
  <si>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</si>
  <si>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</si>
  <si>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</si>
  <si>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</si>
  <si>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</si>
  <si>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</si>
  <si>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</si>
  <si>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</si>
  <si>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</si>
  <si>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</si>
  <si>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</si>
  <si>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</si>
  <si>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</si>
  <si>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</si>
  <si>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</si>
  <si>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</si>
  <si>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</si>
  <si>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</si>
  <si>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</si>
  <si>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</si>
  <si>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</si>
  <si>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</si>
  <si>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</si>
  <si>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</si>
  <si>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</si>
  <si>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</si>
  <si>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</si>
  <si>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</si>
  <si>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</si>
  <si>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</si>
  <si>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</si>
  <si>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</si>
  <si>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</si>
  <si>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</si>
  <si>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</si>
  <si>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</si>
  <si>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</si>
  <si>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</si>
  <si>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</si>
  <si>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</si>
  <si>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</si>
  <si>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</si>
  <si>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</si>
  <si>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</si>
  <si>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</si>
  <si>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</si>
  <si>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</si>
  <si>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</si>
  <si>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</si>
  <si>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</si>
  <si>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</si>
  <si>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</si>
  <si>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</si>
  <si>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</si>
  <si>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</si>
  <si>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</si>
  <si>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</si>
  <si>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</si>
  <si>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</si>
  <si>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</si>
  <si>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</si>
  <si>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</si>
  <si>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</si>
  <si>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</si>
  <si>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</si>
  <si>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</si>
  <si>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</si>
  <si>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</si>
  <si>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</si>
  <si>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</si>
  <si>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</si>
  <si>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</si>
  <si>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</si>
  <si>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</si>
  <si>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</si>
  <si>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</si>
  <si>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</si>
  <si>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</si>
  <si>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</si>
  <si>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</si>
  <si>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</si>
  <si>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</si>
  <si>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</si>
  <si>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</si>
  <si>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</si>
  <si>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</si>
  <si>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</si>
  <si>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</si>
  <si>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</si>
  <si>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</si>
  <si>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</si>
  <si>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</si>
  <si>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</si>
  <si>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</si>
  <si>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</si>
  <si>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</si>
  <si>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</si>
  <si>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</si>
  <si>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</si>
  <si>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</si>
  <si>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</si>
  <si>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</si>
  <si>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</si>
  <si>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</si>
  <si>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</si>
  <si>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</si>
  <si>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</si>
  <si>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</si>
  <si>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</si>
  <si>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</si>
  <si>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</si>
  <si>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</si>
  <si>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</si>
  <si>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</si>
  <si>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</si>
  <si>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</si>
  <si>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</si>
  <si>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</si>
  <si>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</si>
  <si>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</si>
  <si>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</si>
  <si>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</si>
  <si>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</si>
  <si>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</si>
  <si>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</si>
  <si>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</si>
  <si>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</si>
  <si>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</si>
  <si>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</si>
  <si>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</si>
  <si>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</si>
  <si>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</si>
  <si>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</si>
  <si>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</si>
  <si>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</si>
  <si>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</si>
  <si>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</si>
  <si>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</si>
  <si>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</si>
  <si>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</si>
  <si>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</si>
  <si>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</si>
  <si>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</si>
  <si>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</si>
  <si>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</si>
  <si>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</si>
  <si>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</si>
  <si>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</si>
  <si>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</si>
  <si>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</si>
  <si>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</si>
  <si>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</si>
  <si>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</si>
  <si>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</si>
  <si>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</si>
  <si>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</si>
  <si>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</si>
  <si>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</si>
  <si>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</si>
  <si>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</si>
  <si>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</si>
  <si>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</si>
  <si>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</si>
  <si>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</si>
  <si>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</si>
  <si>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</si>
  <si>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</si>
  <si>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</si>
  <si>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</si>
  <si>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</si>
  <si>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</si>
  <si>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</si>
  <si>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</si>
  <si>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</si>
  <si>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</si>
  <si>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</si>
  <si>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</si>
  <si>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</si>
  <si>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</si>
  <si>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</si>
  <si>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</si>
  <si>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</si>
  <si>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</si>
  <si>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</si>
  <si>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</si>
  <si>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</si>
  <si>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</si>
  <si>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</si>
  <si>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</si>
  <si>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</si>
  <si>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</si>
  <si>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</si>
  <si>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</si>
  <si>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</si>
  <si>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</si>
  <si>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</si>
  <si>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</si>
  <si>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</si>
  <si>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</si>
  <si>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</si>
  <si>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</si>
  <si>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</si>
  <si>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</si>
  <si>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</si>
  <si>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</si>
  <si>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</si>
  <si>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</si>
  <si>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</si>
  <si>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</si>
  <si>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</si>
  <si>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</si>
  <si>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</si>
  <si>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</si>
  <si>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</si>
  <si>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</si>
  <si>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</si>
  <si>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</si>
  <si>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</si>
  <si>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</si>
  <si>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</si>
  <si>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</si>
  <si>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</si>
  <si>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</si>
  <si>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</si>
  <si>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</si>
  <si>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</si>
  <si>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</si>
  <si>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</si>
  <si>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</si>
  <si>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</si>
  <si>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</si>
  <si>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</si>
  <si>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</si>
  <si>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</si>
  <si>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</si>
  <si>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</si>
  <si>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</si>
  <si>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</si>
  <si>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</si>
  <si>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</si>
  <si>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</si>
  <si>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</si>
  <si>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</si>
  <si>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</si>
  <si>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</si>
  <si>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</si>
  <si>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</si>
  <si>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</si>
  <si>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</si>
  <si>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</si>
  <si>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</si>
  <si>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</si>
  <si>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</si>
  <si>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</si>
  <si>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</si>
  <si>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</si>
  <si>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</si>
  <si>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</si>
  <si>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</si>
  <si>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</si>
  <si>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</si>
  <si>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</si>
  <si>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</si>
  <si>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</si>
  <si>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</si>
  <si>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</si>
  <si>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</si>
  <si>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</si>
  <si>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</si>
  <si>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</si>
  <si>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</si>
  <si>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</si>
  <si>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</si>
  <si>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</si>
  <si>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</si>
  <si>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</si>
  <si>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</si>
  <si>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</si>
  <si>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</si>
  <si>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</si>
  <si>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</si>
  <si>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</si>
  <si>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</si>
  <si>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</si>
  <si>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</si>
  <si>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</si>
  <si>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</si>
  <si>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</si>
  <si>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</si>
  <si>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</si>
  <si>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</si>
  <si>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</si>
  <si>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</si>
  <si>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</si>
  <si>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</si>
  <si>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</si>
  <si>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</si>
  <si>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</si>
  <si>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</si>
  <si>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</si>
  <si>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</si>
  <si>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</si>
  <si>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</si>
  <si>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</si>
  <si>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</si>
  <si>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</si>
  <si>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</si>
  <si>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</si>
  <si>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</si>
  <si>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</si>
  <si>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</si>
  <si>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</si>
  <si>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</si>
  <si>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</si>
  <si>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</si>
  <si>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</si>
  <si>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</si>
  <si>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</si>
  <si>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</si>
  <si>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</si>
  <si>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</si>
  <si>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</si>
  <si>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</si>
  <si>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</si>
  <si>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</si>
  <si>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</si>
  <si>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</si>
  <si>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</si>
  <si>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</si>
  <si>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</si>
  <si>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</si>
  <si>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</si>
  <si>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</si>
  <si>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</si>
  <si>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</si>
  <si>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</si>
  <si>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</si>
  <si>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</si>
  <si>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</si>
  <si>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</si>
  <si>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</si>
  <si>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</si>
  <si>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</si>
  <si>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</si>
  <si>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</si>
  <si>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</si>
  <si>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</si>
  <si>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</si>
  <si>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</si>
  <si>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</si>
  <si>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</si>
  <si>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</si>
  <si>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</si>
  <si>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</si>
  <si>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</si>
  <si>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</si>
  <si>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</si>
  <si>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</si>
  <si>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</si>
  <si>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</si>
  <si>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</si>
  <si>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</si>
  <si>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</si>
  <si>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</si>
  <si>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</si>
  <si>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</si>
  <si>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</si>
  <si>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</si>
  <si>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</si>
  <si>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</si>
  <si>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</si>
  <si>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</si>
  <si>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</si>
  <si>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</si>
  <si>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</si>
  <si>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</si>
  <si>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</si>
  <si>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</si>
  <si>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</si>
  <si>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</si>
  <si>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</si>
  <si>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</si>
  <si>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</si>
  <si>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</si>
  <si>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</si>
  <si>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</si>
  <si>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</si>
  <si>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</si>
  <si>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</si>
  <si>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</si>
  <si>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</si>
  <si>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</si>
  <si>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</si>
  <si>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</si>
  <si>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</si>
  <si>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</si>
  <si>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</si>
  <si>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</si>
  <si>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</si>
  <si>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</si>
  <si>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</si>
  <si>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</si>
  <si>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</si>
  <si>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</si>
  <si>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</si>
  <si>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</si>
  <si>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</si>
  <si>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</si>
  <si>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</si>
  <si>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</si>
  <si>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</si>
  <si>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</si>
  <si>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</si>
  <si>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</si>
  <si>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</si>
  <si>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</si>
  <si>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</si>
  <si>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</si>
  <si>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</si>
  <si>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</si>
  <si>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</si>
  <si>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</si>
  <si>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</si>
  <si>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</si>
  <si>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</si>
  <si>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</si>
  <si>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</si>
  <si>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</si>
  <si>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</si>
  <si>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</si>
  <si>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</si>
  <si>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</si>
  <si>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</si>
  <si>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</si>
  <si>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</si>
  <si>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</si>
  <si>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</si>
  <si>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</si>
  <si>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</si>
  <si>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</si>
  <si>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</si>
  <si>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</si>
  <si>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</si>
  <si>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</si>
  <si>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</si>
  <si>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</si>
  <si>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</si>
  <si>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</si>
  <si>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</si>
  <si>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</si>
  <si>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</si>
  <si>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</si>
  <si>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</si>
  <si>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</si>
  <si>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</si>
  <si>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</si>
  <si>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</si>
  <si>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</si>
  <si>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</si>
  <si>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</si>
  <si>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</si>
  <si>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</si>
  <si>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</si>
  <si>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</si>
  <si>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</si>
  <si>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</si>
  <si>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</si>
  <si>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</si>
  <si>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</si>
  <si>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</si>
  <si>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</si>
  <si>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</si>
  <si>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</si>
  <si>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</si>
  <si>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</si>
  <si>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</si>
  <si>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</si>
  <si>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</si>
  <si>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</si>
  <si>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</si>
  <si>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</si>
  <si>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</si>
  <si>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</si>
  <si>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</si>
  <si>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</si>
  <si>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</si>
  <si>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</si>
  <si>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</si>
  <si>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</si>
  <si>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</si>
  <si>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</si>
  <si>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</si>
  <si>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</si>
  <si>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</si>
  <si>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</si>
  <si>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</si>
  <si>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</si>
  <si>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</si>
  <si>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</si>
  <si>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</si>
  <si>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</si>
  <si>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</si>
  <si>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</si>
  <si>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</si>
  <si>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</si>
  <si>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</si>
  <si>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</si>
  <si>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</si>
  <si>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</si>
  <si>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</si>
  <si>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</si>
  <si>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</si>
  <si>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</si>
  <si>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</si>
  <si>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</si>
  <si>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</si>
  <si>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</si>
  <si>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</si>
  <si>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</si>
  <si>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</si>
  <si>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</si>
  <si>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</si>
  <si>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</si>
  <si>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</si>
  <si>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</si>
  <si>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</si>
  <si>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</si>
  <si>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</si>
  <si>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</si>
  <si>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</si>
  <si>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</si>
  <si>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</si>
  <si>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</si>
  <si>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</si>
  <si>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</si>
  <si>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</si>
  <si>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</si>
  <si>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</si>
  <si>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</si>
  <si>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</si>
  <si>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</si>
  <si>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</si>
  <si>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</si>
  <si>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</si>
  <si>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</si>
  <si>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</si>
  <si>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</si>
  <si>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</si>
  <si>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</si>
  <si>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</si>
  <si>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</si>
  <si>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</si>
  <si>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</si>
  <si>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</si>
  <si>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</si>
  <si>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</si>
  <si>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</si>
  <si>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</si>
  <si>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</si>
  <si>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</si>
  <si>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</si>
  <si>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</si>
  <si>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</si>
  <si>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</si>
  <si>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</si>
  <si>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</si>
  <si>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</si>
  <si>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</si>
  <si>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</si>
  <si>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</si>
  <si>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</si>
  <si>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</si>
  <si>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</si>
  <si>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</si>
  <si>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</si>
  <si>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</si>
  <si>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</si>
  <si>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</si>
  <si>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</si>
  <si>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</si>
  <si>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</si>
  <si>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</si>
  <si>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</si>
  <si>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</si>
  <si>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</si>
  <si>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</si>
  <si>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</si>
  <si>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</si>
  <si>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</si>
  <si>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</si>
  <si>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</si>
  <si>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</si>
  <si>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</si>
  <si>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</si>
  <si>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</si>
  <si>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</si>
  <si>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</si>
  <si>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</si>
  <si>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</si>
  <si>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</si>
  <si>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</si>
  <si>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</si>
  <si>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</si>
  <si>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</si>
  <si>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</si>
  <si>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</si>
  <si>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</si>
  <si>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</si>
  <si>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</si>
  <si>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</si>
  <si>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</si>
  <si>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</si>
  <si>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</si>
  <si>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</si>
  <si>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</si>
  <si>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</si>
  <si>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</si>
  <si>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</si>
  <si>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</si>
  <si>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</si>
  <si>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</si>
  <si>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</si>
  <si>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</si>
  <si>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</si>
  <si>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</si>
  <si>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</si>
  <si>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</si>
  <si>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</si>
  <si>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</si>
  <si>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</si>
  <si>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</si>
  <si>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</si>
  <si>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</si>
  <si>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</si>
  <si>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</si>
  <si>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</si>
  <si>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</si>
  <si>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</si>
  <si>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</si>
  <si>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</si>
  <si>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</si>
  <si>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</si>
  <si>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</si>
  <si>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</si>
  <si>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</si>
  <si>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</si>
  <si>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</si>
  <si>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</si>
  <si>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</si>
  <si>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</si>
  <si>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</si>
  <si>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</si>
  <si>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</si>
  <si>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</si>
  <si>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</si>
  <si>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</si>
  <si>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</si>
  <si>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</si>
  <si>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</si>
  <si>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</si>
  <si>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</si>
  <si>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</si>
  <si>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</si>
  <si>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</si>
  <si>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</si>
  <si>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</si>
  <si>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</si>
  <si>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</si>
  <si>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</si>
  <si>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</si>
  <si>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</si>
  <si>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</si>
  <si>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</si>
  <si>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</si>
  <si>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</si>
  <si>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</si>
  <si>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</si>
  <si>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</si>
  <si>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</si>
  <si>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</si>
  <si>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</si>
  <si>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</si>
  <si>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</si>
  <si>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</si>
  <si>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</si>
  <si>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</si>
  <si>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</si>
  <si>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</si>
  <si>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</si>
  <si>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</si>
  <si>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</si>
  <si>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</si>
  <si>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</si>
  <si>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</si>
  <si>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</si>
  <si>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</si>
  <si>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</si>
  <si>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</si>
  <si>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</si>
  <si>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</si>
  <si>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</si>
  <si>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</si>
  <si>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</si>
  <si>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</si>
  <si>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</si>
  <si>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</si>
  <si>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</si>
  <si>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</si>
  <si>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</si>
  <si>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</si>
  <si>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</si>
  <si>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</si>
  <si>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</si>
  <si>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</si>
  <si>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</si>
  <si>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</si>
  <si>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</si>
  <si>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</si>
  <si>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</si>
  <si>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</si>
  <si>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</si>
  <si>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</si>
  <si>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</si>
  <si>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</si>
  <si>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</si>
  <si>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</si>
  <si>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</si>
  <si>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</si>
  <si>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</si>
  <si>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</si>
  <si>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</si>
  <si>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</si>
  <si>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</si>
  <si>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</si>
  <si>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</si>
  <si>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</si>
  <si>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</si>
  <si>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</si>
  <si>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</si>
  <si>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</si>
  <si>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</si>
  <si>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</si>
  <si>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</si>
  <si>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</si>
  <si>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</si>
  <si>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</si>
  <si>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</si>
  <si>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</si>
  <si>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</si>
  <si>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</si>
  <si>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</si>
  <si>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</si>
  <si>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</si>
  <si>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</si>
  <si>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</si>
  <si>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</si>
  <si>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</si>
  <si>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</si>
  <si>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</si>
  <si>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</si>
  <si>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</si>
  <si>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</si>
  <si>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</si>
  <si>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</si>
  <si>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</si>
  <si>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</si>
  <si>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</si>
  <si>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</si>
  <si>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</si>
  <si>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</si>
  <si>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</si>
  <si>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</si>
  <si>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</si>
  <si>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</si>
  <si>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</si>
  <si>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</si>
  <si>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</si>
  <si>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</si>
  <si>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</si>
  <si>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</si>
  <si>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</si>
  <si>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</si>
  <si>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</si>
  <si>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</si>
  <si>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</si>
  <si>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</si>
  <si>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</si>
  <si>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</si>
  <si>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</si>
  <si>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</si>
  <si>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</si>
  <si>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</si>
  <si>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</si>
  <si>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</si>
  <si>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</si>
  <si>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</si>
  <si>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</si>
  <si>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</si>
  <si>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</si>
  <si>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</si>
  <si>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</si>
  <si>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</si>
  <si>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</si>
  <si>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</si>
  <si>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</si>
  <si>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</si>
  <si>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</si>
  <si>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</si>
  <si>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</si>
  <si>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</si>
  <si>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</si>
  <si>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</si>
  <si>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</si>
  <si>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</si>
  <si>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</si>
  <si>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</si>
  <si>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</si>
  <si>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</si>
  <si>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</si>
  <si>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</si>
  <si>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</si>
  <si>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</si>
  <si>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</si>
  <si>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</si>
  <si>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</si>
  <si>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</si>
  <si>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</si>
  <si>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</si>
  <si>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</si>
  <si>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</si>
  <si>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</si>
  <si>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</si>
  <si>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</si>
  <si>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</si>
  <si>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</si>
  <si>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</si>
  <si>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</si>
  <si>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</si>
  <si>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</si>
  <si>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</si>
  <si>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</si>
  <si>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</si>
  <si>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</si>
  <si>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</si>
  <si>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</si>
  <si>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</si>
  <si>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</si>
  <si>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</si>
  <si>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</si>
  <si>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</si>
  <si>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</si>
  <si>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</si>
  <si>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</si>
  <si>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</si>
  <si>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</si>
  <si>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</si>
  <si>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</si>
  <si>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</si>
  <si>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</si>
  <si>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</si>
  <si>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</si>
  <si>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</si>
  <si>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</si>
  <si>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</si>
  <si>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</si>
  <si>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</si>
  <si>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</si>
  <si>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</si>
  <si>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</si>
  <si>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</si>
  <si>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</si>
  <si>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</si>
  <si>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</si>
  <si>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</si>
  <si>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</si>
  <si>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</si>
  <si>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</si>
  <si>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</si>
  <si>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</si>
  <si>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</si>
  <si>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</si>
  <si>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</si>
  <si>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</si>
  <si>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</si>
  <si>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</si>
  <si>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</si>
  <si>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</si>
  <si>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</si>
  <si>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</si>
  <si>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</si>
  <si>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</si>
  <si>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</si>
  <si>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</si>
  <si>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</si>
  <si>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</si>
  <si>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</si>
  <si>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</si>
  <si>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</si>
  <si>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</si>
  <si>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</si>
  <si>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</si>
  <si>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</si>
  <si>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</si>
  <si>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</si>
  <si>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</si>
  <si>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</si>
  <si>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</si>
  <si>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</si>
  <si>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</si>
  <si>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</si>
  <si>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</si>
  <si>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</si>
  <si>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</si>
  <si>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</si>
  <si>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</si>
  <si>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</si>
  <si>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</si>
  <si>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</si>
  <si>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</si>
  <si>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</si>
  <si>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</si>
  <si>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</si>
  <si>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</si>
  <si>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</si>
  <si>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</si>
  <si>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</si>
  <si>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</si>
  <si>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</si>
  <si>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</si>
  <si>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</si>
  <si>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</si>
  <si>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</si>
  <si>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</si>
  <si>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</si>
  <si>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</si>
  <si>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</si>
  <si>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</si>
  <si>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</si>
  <si>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</si>
  <si>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</si>
  <si>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</si>
  <si>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</si>
  <si>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</si>
  <si>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</si>
  <si>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</si>
  <si>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</si>
  <si>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</si>
  <si>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</si>
  <si>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</si>
  <si>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</si>
  <si>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</si>
  <si>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</si>
  <si>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</si>
  <si>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</si>
  <si>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</si>
  <si>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</si>
  <si>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</si>
  <si>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</si>
  <si>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</si>
  <si>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</si>
  <si>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</si>
  <si>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</si>
  <si>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</si>
  <si>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</si>
  <si>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</si>
  <si>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</si>
  <si>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</si>
  <si>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</si>
  <si>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</si>
  <si>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</si>
  <si>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</si>
  <si>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</si>
  <si>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</si>
  <si>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</si>
  <si>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</si>
  <si>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</si>
  <si>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</si>
  <si>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</si>
  <si>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</si>
  <si>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</si>
  <si>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</si>
  <si>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</si>
  <si>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</si>
  <si>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</si>
  <si>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</si>
  <si>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</si>
  <si>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</si>
  <si>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</si>
  <si>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</si>
  <si>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</si>
  <si>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</si>
  <si>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</si>
  <si>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</si>
  <si>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</si>
  <si>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</si>
  <si>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</si>
  <si>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</si>
  <si>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</si>
  <si>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</si>
  <si>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</si>
  <si>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</si>
  <si>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</si>
  <si>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</si>
  <si>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</si>
  <si>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</si>
  <si>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</si>
  <si>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</si>
  <si>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</si>
  <si>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</si>
  <si>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</si>
  <si>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</si>
  <si>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</si>
  <si>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</si>
  <si>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</si>
  <si>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</si>
  <si>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</si>
  <si>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</si>
  <si>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</si>
  <si>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</si>
  <si>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</si>
  <si>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</si>
  <si>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</si>
  <si>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</si>
  <si>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</si>
  <si>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</si>
  <si>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</si>
  <si>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</si>
  <si>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</si>
  <si>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</si>
  <si>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</si>
  <si>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</si>
  <si>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</si>
  <si>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</si>
  <si>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</si>
  <si>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</si>
  <si>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</si>
  <si>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</si>
  <si>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</si>
  <si>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</si>
  <si>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</si>
  <si>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</si>
  <si>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</si>
  <si>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</si>
  <si>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</si>
  <si>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</si>
  <si>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</si>
  <si>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</si>
  <si>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</si>
  <si>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</si>
  <si>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</si>
  <si>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</si>
  <si>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</si>
  <si>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</si>
  <si>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</si>
  <si>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</si>
  <si>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</si>
  <si>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</si>
  <si>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</si>
  <si>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</si>
  <si>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</si>
  <si>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</si>
  <si>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</si>
  <si>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</si>
  <si>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</si>
  <si>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</si>
  <si>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</si>
  <si>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</si>
  <si>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</si>
  <si>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</si>
  <si>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</si>
  <si>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</si>
  <si>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</si>
  <si>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</si>
  <si>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</si>
  <si>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</si>
  <si>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</si>
  <si>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</si>
  <si>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</si>
  <si>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</si>
  <si>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</si>
  <si>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</si>
  <si>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</si>
  <si>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</si>
  <si>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</si>
  <si>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</si>
  <si>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</si>
  <si>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</si>
  <si>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</si>
  <si>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</si>
  <si>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</si>
  <si>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</si>
  <si>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</si>
  <si>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</si>
  <si>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</si>
  <si>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</si>
  <si>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</si>
  <si>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</si>
  <si>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</si>
  <si>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</si>
  <si>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</si>
  <si>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</si>
  <si>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</si>
  <si>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</si>
  <si>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</si>
  <si>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</si>
  <si>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</si>
  <si>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</si>
  <si>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</si>
  <si>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</si>
  <si>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</si>
  <si>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</si>
  <si>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</si>
  <si>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</si>
  <si>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</si>
  <si>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</si>
  <si>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</si>
  <si>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</si>
  <si>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</si>
  <si>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</si>
  <si>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</si>
  <si>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</si>
  <si>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</si>
  <si>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</si>
  <si>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</si>
  <si>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</si>
  <si>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</si>
  <si>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</si>
  <si>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</si>
  <si>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</si>
  <si>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</si>
  <si>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</si>
  <si>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</si>
  <si>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</si>
  <si>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</si>
  <si>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</si>
  <si>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</si>
  <si>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</si>
  <si>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</si>
  <si>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</si>
  <si>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</si>
  <si>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</si>
  <si>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</si>
  <si>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</si>
  <si>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</si>
  <si>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</si>
  <si>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</si>
  <si>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</si>
  <si>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</si>
  <si>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</si>
  <si>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</si>
  <si>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</si>
  <si>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</si>
  <si>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</si>
  <si>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</si>
  <si>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</si>
  <si>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</si>
  <si>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</si>
  <si>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</si>
  <si>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</si>
  <si>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</si>
  <si>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</si>
  <si>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</si>
  <si>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</si>
  <si>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</si>
  <si>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</si>
  <si>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</si>
  <si>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</si>
  <si>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</si>
  <si>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</si>
  <si>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</si>
  <si>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</si>
  <si>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</si>
  <si>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</si>
  <si>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</si>
  <si>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</si>
  <si>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</si>
  <si>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</si>
  <si>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</si>
  <si>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</si>
  <si>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</si>
  <si>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</si>
  <si>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</si>
  <si>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</si>
  <si>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</si>
  <si>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</si>
  <si>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</si>
  <si>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</si>
  <si>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</si>
  <si>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</si>
  <si>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</si>
  <si>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</si>
  <si>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</si>
  <si>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</si>
  <si>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</si>
  <si>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</si>
  <si>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</si>
  <si>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</si>
  <si>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</si>
  <si>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</si>
  <si>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</si>
  <si>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</si>
  <si>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</si>
  <si>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</si>
  <si>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</si>
  <si>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</si>
  <si>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</si>
  <si>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</si>
  <si>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</si>
  <si>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</si>
  <si>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</si>
  <si>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</si>
  <si>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</si>
  <si>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</si>
  <si>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</si>
  <si>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</si>
  <si>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</si>
  <si>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</si>
  <si>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</si>
  <si>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</si>
  <si>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</si>
  <si>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</si>
  <si>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</si>
  <si>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</si>
  <si>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</si>
  <si>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</si>
  <si>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</si>
  <si>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</si>
  <si>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</si>
  <si>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</si>
  <si>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</si>
  <si>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</si>
  <si>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</si>
  <si>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</si>
  <si>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</si>
  <si>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</si>
  <si>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</si>
  <si>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</si>
  <si>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</si>
  <si>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</si>
  <si>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</si>
  <si>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</si>
  <si>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</si>
  <si>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</si>
  <si>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</si>
  <si>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</si>
  <si>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</si>
  <si>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</si>
  <si>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</si>
  <si>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</si>
  <si>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</si>
  <si>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</si>
  <si>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</si>
  <si>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</si>
  <si>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</si>
  <si>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</si>
  <si>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</si>
  <si>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</si>
  <si>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</si>
  <si>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</si>
  <si>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</si>
  <si>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</si>
  <si>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</si>
  <si>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</si>
  <si>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</si>
  <si>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</si>
  <si>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</si>
  <si>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</si>
  <si>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</si>
  <si>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</si>
  <si>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</si>
  <si>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</si>
  <si>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</si>
  <si>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</si>
  <si>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</si>
  <si>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</si>
  <si>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</si>
  <si>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</si>
  <si>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</si>
  <si>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</si>
  <si>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</si>
  <si>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</si>
  <si>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</si>
  <si>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</si>
  <si>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</si>
  <si>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</si>
  <si>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</si>
  <si>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</si>
  <si>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</si>
  <si>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</si>
  <si>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</si>
  <si>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</si>
  <si>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</si>
  <si>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</si>
  <si>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</si>
  <si>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</si>
  <si>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</si>
  <si>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</si>
  <si>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</si>
  <si>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</si>
  <si>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</si>
  <si>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</si>
  <si>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</si>
  <si>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</si>
  <si>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</si>
  <si>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</si>
  <si>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</si>
  <si>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</si>
  <si>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</si>
  <si>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</si>
  <si>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</si>
  <si>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</si>
  <si>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</si>
  <si>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</si>
  <si>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</si>
  <si>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</si>
  <si>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</si>
  <si>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</si>
  <si>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</si>
  <si>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</si>
  <si>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</si>
  <si>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</si>
  <si>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</si>
  <si>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</si>
  <si>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</si>
  <si>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</si>
  <si>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</si>
  <si>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</si>
  <si>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</si>
  <si>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</si>
  <si>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</si>
  <si>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</si>
  <si>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</si>
  <si>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</si>
  <si>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</si>
  <si>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</si>
  <si>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</si>
  <si>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</si>
  <si>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</si>
  <si>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</si>
  <si>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</si>
  <si>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</si>
  <si>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</si>
  <si>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</si>
  <si>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</si>
  <si>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</si>
  <si>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</si>
  <si>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</si>
  <si>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</si>
  <si>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</si>
  <si>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</si>
  <si>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</si>
  <si>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</si>
  <si>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</si>
  <si>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</si>
  <si>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</si>
  <si>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</si>
  <si>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</si>
  <si>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</si>
  <si>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</si>
  <si>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</si>
  <si>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</si>
  <si>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</si>
  <si>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</si>
  <si>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</si>
  <si>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</si>
  <si>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</si>
  <si>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</si>
  <si>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</si>
  <si>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</si>
  <si>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</si>
  <si>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</si>
  <si>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</si>
  <si>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</si>
  <si>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</si>
  <si>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</si>
  <si>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</si>
  <si>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</si>
  <si>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</si>
  <si>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</si>
  <si>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</si>
  <si>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</si>
  <si>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</si>
  <si>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</si>
  <si>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</si>
  <si>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</si>
  <si>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</si>
  <si>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</si>
  <si>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</si>
  <si>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</si>
  <si>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</si>
  <si>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</si>
  <si>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</si>
  <si>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</si>
  <si>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</si>
  <si>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</si>
  <si>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</si>
  <si>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</si>
  <si>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</si>
  <si>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</si>
  <si>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</si>
  <si>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</si>
  <si>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</si>
  <si>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</si>
  <si>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</si>
  <si>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</si>
  <si>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</si>
  <si>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</si>
  <si>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</si>
  <si>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</si>
  <si>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</si>
  <si>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</si>
  <si>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</si>
  <si>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</si>
  <si>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</si>
  <si>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</si>
  <si>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</si>
  <si>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</si>
  <si>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</si>
  <si>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</si>
  <si>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</si>
  <si>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</si>
  <si>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</si>
  <si>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</si>
  <si>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</si>
  <si>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</si>
  <si>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</si>
  <si>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</si>
  <si>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</si>
  <si>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</si>
  <si>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</si>
  <si>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</si>
  <si>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</si>
  <si>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</si>
  <si>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</si>
  <si>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</si>
  <si>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</si>
  <si>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</si>
  <si>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</si>
  <si>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</si>
  <si>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</si>
  <si>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</si>
  <si>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</si>
  <si>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</si>
  <si>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</si>
  <si>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</si>
  <si>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</si>
  <si>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</si>
  <si>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</si>
  <si>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</si>
  <si>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</si>
  <si>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</si>
  <si>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</si>
  <si>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</si>
  <si>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</si>
  <si>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</si>
  <si>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</si>
  <si>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</si>
  <si>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</si>
  <si>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</si>
  <si>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</si>
  <si>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</si>
  <si>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</si>
  <si>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</si>
  <si>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</si>
  <si>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</si>
  <si>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</si>
  <si>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</si>
  <si>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</si>
  <si>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</si>
  <si>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</si>
  <si>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</si>
  <si>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</si>
  <si>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</si>
  <si>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</si>
  <si>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</si>
  <si>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</si>
  <si>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</si>
  <si>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</si>
  <si>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</si>
  <si>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</si>
  <si>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</si>
  <si>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</si>
  <si>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</si>
  <si>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</si>
  <si>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</si>
  <si>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</si>
  <si>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</si>
  <si>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</si>
  <si>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</si>
  <si>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</si>
  <si>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</si>
  <si>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</si>
  <si>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</si>
  <si>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</si>
  <si>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</si>
  <si>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</si>
  <si>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</si>
  <si>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</si>
  <si>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</si>
  <si>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</si>
  <si>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</si>
  <si>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</si>
  <si>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</si>
  <si>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</si>
  <si>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</si>
  <si>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</si>
  <si>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</si>
  <si>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</si>
  <si>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</si>
  <si>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</si>
  <si>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</si>
  <si>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</si>
  <si>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</si>
  <si>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</si>
  <si>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</si>
  <si>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</si>
  <si>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</si>
  <si>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</si>
  <si>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</si>
  <si>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</si>
  <si>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</si>
  <si>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</si>
  <si>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</si>
  <si>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</si>
  <si>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</si>
  <si>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</si>
  <si>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</si>
  <si>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</si>
  <si>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</si>
  <si>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</si>
  <si>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</si>
  <si>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</si>
  <si>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</si>
  <si>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</si>
  <si>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</si>
  <si>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</si>
  <si>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</si>
  <si>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</si>
  <si>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</si>
  <si>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</si>
  <si>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</si>
  <si>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</si>
  <si>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</si>
  <si>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</si>
  <si>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</si>
  <si>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</si>
  <si>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</si>
  <si>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</si>
  <si>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</si>
  <si>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</si>
  <si>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</si>
  <si>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</si>
  <si>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</si>
  <si>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</si>
  <si>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</si>
  <si>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</si>
  <si>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</si>
  <si>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</si>
  <si>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</si>
  <si>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</si>
  <si>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</si>
  <si>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</si>
  <si>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</si>
  <si>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</si>
  <si>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</si>
  <si>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</si>
  <si>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</si>
  <si>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</si>
  <si>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</si>
  <si>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</si>
  <si>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</si>
  <si>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</si>
  <si>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</si>
  <si>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</si>
  <si>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</si>
  <si>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</si>
  <si>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</si>
  <si>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</si>
  <si>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</si>
  <si>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</si>
  <si>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</si>
  <si>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</si>
  <si>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</si>
  <si>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</si>
  <si>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</si>
  <si>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</si>
  <si>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</si>
  <si>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</si>
  <si>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</si>
  <si>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</si>
  <si>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</si>
  <si>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</si>
  <si>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</si>
  <si>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</si>
  <si>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</si>
  <si>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</si>
  <si>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</si>
  <si>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</si>
  <si>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</si>
  <si>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</si>
  <si>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</si>
  <si>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</si>
  <si>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</si>
  <si>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</si>
  <si>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</si>
  <si>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</si>
  <si>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</si>
  <si>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</si>
  <si>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</si>
  <si>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</si>
  <si>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</si>
  <si>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</si>
  <si>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</si>
  <si>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</si>
  <si>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</si>
  <si>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</si>
  <si>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</si>
  <si>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</si>
  <si>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</si>
  <si>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</si>
  <si>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</si>
  <si>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</si>
  <si>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</si>
  <si>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</si>
  <si>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</si>
  <si>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</si>
  <si>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</si>
  <si>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</si>
  <si>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</si>
  <si>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</si>
  <si>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</si>
  <si>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</si>
  <si>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</si>
  <si>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</si>
  <si>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</si>
  <si>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</si>
  <si>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</si>
  <si>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</si>
  <si>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</si>
  <si>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</si>
  <si>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</si>
  <si>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</si>
  <si>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</si>
  <si>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</si>
  <si>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</si>
  <si>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</si>
  <si>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</si>
  <si>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</si>
  <si>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</si>
  <si>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</si>
  <si>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</si>
  <si>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</si>
  <si>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</si>
  <si>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</si>
  <si>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</si>
  <si>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</si>
  <si>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</si>
  <si>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</si>
  <si>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</si>
  <si>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</si>
  <si>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</si>
  <si>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</si>
  <si>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</si>
  <si>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</si>
  <si>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</si>
  <si>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</si>
  <si>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</si>
  <si>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</si>
  <si>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</si>
  <si>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</si>
  <si>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</si>
  <si>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</si>
  <si>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</si>
  <si>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</si>
  <si>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</si>
  <si>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</si>
  <si>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</si>
  <si>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</si>
  <si>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</si>
  <si>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</si>
  <si>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</si>
  <si>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</si>
  <si>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</si>
  <si>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</si>
  <si>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</si>
  <si>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</si>
  <si>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</si>
  <si>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</si>
  <si>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</si>
  <si>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</si>
  <si>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</si>
  <si>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</si>
  <si>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</si>
  <si>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</si>
  <si>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</si>
  <si>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</si>
  <si>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</si>
  <si>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</si>
  <si>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</si>
  <si>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</si>
  <si>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</si>
  <si>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</si>
  <si>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</si>
  <si>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</si>
  <si>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</si>
  <si>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</si>
  <si>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</si>
  <si>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</si>
  <si>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</si>
  <si>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</si>
  <si>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</si>
  <si>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</si>
  <si>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</si>
  <si>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</si>
  <si>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</si>
  <si>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</si>
  <si>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</si>
  <si>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</si>
  <si>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</si>
  <si>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</si>
  <si>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</si>
  <si>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</si>
  <si>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</si>
  <si>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</si>
  <si>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</si>
  <si>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</si>
  <si>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</si>
  <si>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</si>
  <si>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</si>
  <si>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</si>
  <si>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</si>
  <si>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</si>
  <si>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</si>
  <si>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</si>
  <si>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</si>
  <si>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</si>
  <si>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</si>
  <si>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</si>
  <si>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</si>
  <si>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</si>
  <si>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</si>
  <si>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</si>
  <si>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</si>
  <si>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</si>
  <si>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</si>
  <si>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</si>
  <si>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</si>
  <si>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</si>
  <si>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</si>
  <si>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</si>
  <si>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</si>
  <si>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</si>
  <si>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</si>
  <si>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</si>
  <si>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</si>
  <si>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</si>
  <si>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</si>
  <si>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</si>
  <si>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</si>
  <si>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</si>
  <si>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</si>
  <si>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</si>
  <si>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</si>
  <si>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</si>
  <si>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</si>
  <si>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</si>
  <si>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</si>
  <si>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</si>
  <si>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</si>
  <si>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</si>
  <si>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</si>
  <si>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</si>
  <si>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</si>
  <si>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</si>
  <si>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</si>
  <si>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</si>
  <si>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</si>
  <si>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</si>
  <si>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</si>
  <si>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</si>
  <si>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</si>
  <si>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</si>
  <si>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</si>
  <si>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</si>
  <si>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</si>
  <si>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</si>
  <si>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</si>
  <si>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</si>
  <si>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</si>
  <si>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</si>
  <si>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</si>
  <si>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</si>
  <si>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</si>
  <si>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</si>
  <si>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</si>
  <si>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</si>
  <si>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</si>
  <si>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</si>
  <si>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</si>
  <si>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</si>
  <si>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</si>
  <si>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</si>
  <si>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</si>
  <si>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</si>
  <si>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</si>
  <si>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</si>
  <si>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</si>
  <si>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</si>
  <si>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</si>
  <si>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</si>
  <si>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</si>
  <si>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</si>
  <si>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</si>
  <si>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</si>
  <si>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</si>
  <si>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</si>
  <si>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</si>
  <si>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</si>
  <si>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</si>
  <si>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</si>
  <si>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</si>
  <si>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</si>
  <si>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</si>
  <si>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</si>
  <si>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</si>
  <si>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</si>
  <si>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</si>
  <si>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</si>
  <si>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</si>
  <si>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</si>
  <si>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</si>
  <si>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</si>
  <si>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</si>
  <si>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</si>
  <si>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</si>
  <si>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</si>
  <si>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</si>
  <si>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</si>
  <si>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</si>
  <si>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</si>
  <si>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</si>
  <si>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</si>
  <si>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</si>
  <si>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</si>
  <si>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</si>
  <si>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</si>
  <si>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</si>
  <si>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</si>
  <si>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</si>
  <si>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</si>
  <si>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</si>
  <si>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</si>
  <si>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</si>
  <si>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</si>
  <si>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</si>
  <si>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</si>
  <si>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</si>
  <si>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</si>
  <si>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</si>
  <si>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</si>
  <si>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</si>
  <si>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</si>
  <si>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</si>
  <si>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</si>
  <si>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</si>
  <si>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</si>
  <si>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</si>
  <si>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</si>
  <si>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</si>
  <si>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</si>
  <si>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</si>
  <si>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</si>
  <si>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</si>
  <si>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</si>
  <si>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</si>
  <si>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</si>
  <si>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</si>
  <si>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</si>
  <si>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</si>
  <si>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</si>
  <si>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</si>
  <si>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</si>
  <si>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</si>
  <si>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</si>
  <si>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</si>
  <si>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</si>
  <si>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</si>
  <si>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</si>
  <si>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</si>
  <si>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</si>
  <si>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</si>
  <si>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</si>
  <si>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</si>
  <si>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</si>
  <si>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</si>
  <si>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</si>
  <si>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</si>
  <si>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</si>
  <si>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</si>
  <si>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</si>
  <si>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</si>
  <si>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</si>
  <si>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</si>
  <si>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</si>
  <si>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</si>
  <si>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</si>
  <si>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</si>
  <si>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</si>
  <si>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</si>
  <si>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</si>
  <si>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</si>
  <si>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</si>
  <si>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</si>
  <si>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</si>
  <si>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</si>
  <si>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</si>
  <si>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</si>
  <si>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</si>
  <si>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</si>
  <si>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</si>
  <si>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</si>
  <si>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</si>
  <si>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</si>
  <si>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</si>
  <si>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</si>
  <si>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</si>
  <si>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</si>
  <si>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</si>
  <si>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</si>
  <si>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</si>
  <si>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</si>
  <si>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</si>
  <si>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</si>
  <si>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</si>
  <si>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</si>
  <si>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</si>
  <si>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</si>
  <si>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</si>
  <si>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</si>
  <si>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</si>
  <si>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</si>
  <si>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</si>
  <si>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</si>
  <si>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</si>
  <si>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</si>
  <si>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</si>
  <si>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</si>
  <si>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</si>
  <si>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</si>
  <si>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</si>
  <si>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</si>
  <si>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</si>
  <si>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</si>
  <si>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</si>
  <si>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</si>
  <si>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</si>
  <si>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</si>
  <si>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</si>
  <si>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</si>
  <si>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</si>
  <si>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</si>
  <si>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</si>
  <si>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</si>
  <si>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</si>
  <si>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</si>
  <si>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</si>
  <si>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</si>
  <si>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</si>
  <si>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</si>
  <si>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</si>
  <si>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</si>
  <si>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</si>
  <si>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</si>
  <si>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</si>
  <si>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</si>
  <si>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</si>
  <si>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</si>
  <si>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</si>
  <si>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</si>
  <si>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</si>
  <si>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</si>
  <si>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</si>
  <si>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</si>
  <si>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</si>
  <si>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</si>
  <si>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</si>
  <si>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</si>
  <si>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</si>
  <si>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</si>
  <si>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</si>
  <si>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</si>
  <si>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</si>
  <si>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</si>
  <si>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</si>
  <si>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</si>
  <si>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</si>
  <si>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</si>
  <si>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</si>
  <si>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</si>
  <si>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</si>
  <si>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</si>
  <si>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</si>
  <si>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</si>
  <si>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</si>
  <si>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</si>
  <si>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</si>
  <si>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</si>
  <si>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</si>
  <si>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</si>
  <si>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</si>
  <si>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</si>
  <si>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</si>
  <si>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</si>
  <si>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</si>
  <si>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</si>
  <si>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</si>
  <si>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</si>
  <si>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</si>
  <si>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</si>
  <si>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</si>
  <si>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</si>
  <si>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</si>
  <si>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</si>
  <si>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</si>
  <si>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</si>
  <si>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</si>
  <si>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</si>
  <si>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</si>
  <si>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</si>
  <si>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</si>
  <si>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</si>
  <si>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</si>
  <si>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</si>
  <si>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</si>
  <si>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</si>
  <si>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</si>
  <si>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</si>
  <si>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</si>
  <si>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</si>
  <si>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</si>
  <si>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</si>
  <si>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</si>
  <si>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</si>
  <si>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</si>
  <si>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</si>
  <si>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</si>
  <si>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</si>
  <si>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</si>
  <si>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</si>
  <si>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</si>
  <si>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</si>
  <si>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</si>
  <si>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</si>
  <si>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</si>
  <si>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</si>
  <si>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</si>
  <si>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</si>
  <si>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</si>
  <si>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</si>
  <si>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</si>
  <si>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</si>
  <si>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</si>
  <si>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</si>
  <si>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</si>
  <si>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</si>
  <si>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</si>
  <si>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</si>
  <si>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</si>
  <si>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</si>
  <si>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</si>
  <si>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</si>
  <si>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</si>
  <si>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</si>
  <si>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</si>
  <si>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</si>
  <si>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</si>
  <si>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</si>
  <si>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</si>
  <si>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</si>
  <si>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</si>
  <si>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</si>
  <si>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</si>
  <si>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</si>
  <si>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</si>
  <si>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</si>
  <si>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</si>
  <si>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</si>
  <si>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</si>
  <si>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</si>
  <si>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</si>
  <si>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</si>
  <si>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</si>
  <si>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</si>
  <si>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</si>
  <si>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</si>
  <si>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</si>
  <si>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</si>
  <si>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</si>
  <si>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</si>
  <si>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</si>
  <si>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</si>
  <si>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</si>
  <si>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</si>
  <si>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</si>
  <si>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</si>
  <si>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</si>
  <si>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</si>
  <si>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</si>
  <si>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</si>
  <si>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</si>
  <si>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</si>
  <si>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</si>
  <si>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</si>
  <si>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</si>
  <si>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</si>
  <si>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</si>
  <si>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</si>
  <si>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</si>
  <si>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</si>
  <si>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</si>
  <si>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</si>
  <si>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</si>
  <si>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</si>
  <si>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</si>
  <si>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</si>
  <si>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</si>
  <si>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</si>
  <si>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</si>
  <si>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</si>
  <si>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</si>
  <si>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</si>
  <si>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</si>
  <si>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</si>
  <si>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</si>
  <si>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</si>
  <si>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</si>
  <si>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</si>
  <si>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</si>
  <si>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</si>
  <si>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</si>
  <si>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</si>
  <si>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</si>
  <si>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</si>
  <si>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</si>
  <si>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</si>
  <si>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</si>
  <si>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</si>
  <si>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</si>
  <si>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</si>
  <si>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</si>
  <si>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</si>
  <si>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</si>
  <si>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</si>
  <si>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</si>
  <si>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</si>
  <si>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</si>
  <si>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</si>
  <si>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</si>
  <si>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</si>
  <si>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</si>
  <si>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</si>
  <si>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</si>
  <si>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</si>
  <si>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</si>
  <si>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</si>
  <si>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</si>
  <si>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</si>
  <si>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</si>
  <si>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</si>
  <si>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</si>
  <si>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</si>
  <si>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</si>
  <si>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</si>
  <si>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</si>
  <si>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</si>
  <si>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</si>
  <si>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</si>
  <si>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</si>
  <si>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</si>
  <si>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</si>
  <si>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</si>
  <si>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</si>
  <si>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</si>
  <si>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</si>
  <si>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</si>
  <si>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</si>
  <si>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</si>
  <si>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</si>
  <si>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</si>
  <si>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</si>
  <si>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</si>
  <si>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</si>
  <si>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</si>
  <si>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</si>
  <si>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</si>
  <si>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</si>
  <si>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</si>
  <si>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</si>
  <si>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</si>
  <si>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</si>
  <si>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</si>
  <si>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</si>
  <si>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</si>
  <si>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</si>
  <si>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</si>
  <si>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</si>
  <si>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</si>
  <si>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</si>
  <si>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</si>
  <si>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</si>
  <si>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</si>
  <si>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</si>
  <si>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</si>
  <si>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</si>
  <si>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</si>
  <si>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</si>
  <si>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</si>
  <si>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</si>
  <si>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</si>
  <si>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</si>
  <si>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</si>
  <si>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</si>
  <si>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</si>
  <si>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</si>
  <si>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</si>
  <si>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</si>
  <si>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</si>
  <si>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</si>
  <si>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</si>
  <si>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</si>
  <si>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</si>
  <si>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</si>
  <si>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</si>
  <si>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</si>
  <si>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</si>
  <si>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</si>
  <si>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</si>
  <si>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</si>
  <si>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</si>
  <si>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</si>
  <si>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</si>
  <si>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</si>
  <si>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</si>
  <si>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</si>
  <si>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</si>
  <si>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</si>
  <si>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</si>
  <si>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</si>
  <si>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</si>
  <si>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</si>
  <si>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</si>
  <si>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</si>
  <si>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</si>
  <si>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</si>
  <si>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</si>
  <si>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</si>
  <si>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</si>
  <si>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</si>
  <si>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</si>
  <si>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</si>
  <si>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</si>
  <si>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</si>
  <si>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</si>
  <si>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</si>
  <si>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</si>
  <si>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</si>
  <si>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</si>
  <si>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</si>
  <si>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</si>
  <si>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</si>
  <si>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</si>
  <si>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</si>
  <si>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</si>
  <si>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</si>
  <si>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</si>
  <si>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</si>
  <si>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</si>
  <si>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</si>
  <si>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</si>
  <si>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</si>
  <si>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</si>
  <si>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</si>
  <si>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</si>
  <si>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</si>
  <si>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</si>
  <si>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</si>
  <si>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</si>
  <si>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</si>
  <si>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</si>
  <si>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</si>
  <si>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</si>
  <si>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</si>
  <si>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</si>
  <si>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</si>
  <si>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</si>
  <si>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</si>
  <si>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</si>
  <si>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</si>
  <si>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</si>
  <si>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</si>
  <si>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</si>
  <si>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</si>
  <si>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</si>
  <si>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</si>
  <si>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</si>
  <si>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</si>
  <si>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</si>
  <si>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</si>
  <si>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</si>
  <si>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</si>
  <si>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</si>
  <si>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</si>
  <si>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</si>
  <si>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</si>
  <si>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</si>
  <si>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</si>
  <si>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</si>
  <si>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</si>
  <si>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</si>
  <si>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</si>
  <si>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</si>
  <si>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</si>
  <si>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</si>
  <si>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</si>
  <si>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</si>
  <si>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</si>
  <si>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</si>
  <si>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</si>
  <si>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</si>
  <si>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</si>
  <si>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</si>
  <si>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</si>
  <si>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</si>
  <si>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</si>
  <si>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</si>
  <si>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</si>
  <si>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</si>
  <si>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</si>
  <si>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</si>
  <si>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</si>
  <si>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</si>
  <si>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</si>
  <si>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</si>
  <si>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</si>
  <si>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</si>
  <si>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</si>
  <si>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</si>
  <si>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</si>
  <si>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</si>
  <si>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</si>
  <si>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</si>
  <si>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</si>
  <si>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</si>
  <si>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</si>
  <si>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</si>
  <si>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</si>
  <si>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</si>
  <si>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</si>
  <si>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</si>
  <si>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</si>
  <si>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</si>
  <si>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</si>
  <si>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</si>
  <si>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</si>
  <si>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</si>
  <si>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</si>
  <si>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</si>
  <si>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</si>
  <si>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</si>
  <si>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</si>
  <si>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</si>
  <si>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</si>
  <si>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</si>
  <si>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</si>
  <si>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</si>
  <si>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</si>
  <si>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</si>
  <si>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</si>
  <si>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</si>
  <si>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</si>
  <si>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</si>
  <si>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</si>
  <si>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</si>
  <si>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</si>
  <si>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</si>
  <si>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</si>
  <si>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</si>
  <si>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</si>
  <si>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</si>
  <si>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</si>
  <si>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</si>
  <si>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</si>
  <si>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</si>
  <si>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</si>
  <si>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</si>
  <si>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</si>
  <si>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</si>
  <si>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</si>
  <si>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</si>
  <si>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</si>
  <si>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</si>
  <si>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</si>
  <si>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</si>
  <si>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</si>
  <si>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</si>
  <si>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</si>
  <si>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</si>
  <si>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</si>
  <si>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</si>
  <si>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</si>
  <si>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</si>
  <si>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</si>
  <si>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</si>
  <si>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</si>
  <si>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</si>
  <si>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</si>
  <si>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</si>
  <si>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</si>
  <si>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</si>
  <si>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</si>
  <si>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</si>
  <si>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</si>
  <si>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</si>
  <si>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</si>
  <si>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</si>
  <si>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</si>
  <si>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</si>
  <si>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</si>
  <si>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</si>
  <si>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</si>
  <si>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</si>
  <si>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</si>
  <si>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</si>
  <si>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</si>
  <si>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</si>
  <si>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</si>
  <si>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</si>
  <si>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</si>
  <si>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</si>
  <si>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</si>
  <si>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</si>
  <si>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</si>
  <si>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</si>
  <si>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</si>
  <si>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</si>
  <si>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</si>
  <si>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</si>
  <si>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</si>
  <si>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</si>
  <si>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</si>
  <si>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</si>
  <si>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</si>
  <si>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</si>
  <si>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</si>
  <si>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</si>
  <si>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</si>
  <si>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</si>
  <si>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</si>
  <si>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</si>
  <si>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</si>
  <si>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</si>
  <si>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</si>
  <si>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</si>
  <si>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</si>
  <si>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</si>
  <si>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</si>
  <si>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</si>
  <si>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</si>
  <si>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</si>
  <si>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</si>
  <si>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</si>
  <si>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</si>
  <si>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</si>
  <si>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</si>
  <si>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</si>
  <si>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</si>
  <si>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</si>
  <si>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</si>
  <si>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</si>
  <si>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</si>
  <si>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</si>
  <si>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</si>
  <si>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</si>
  <si>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</si>
  <si>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</si>
  <si>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</si>
  <si>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</si>
  <si>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</si>
  <si>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</si>
  <si>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</si>
  <si>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</si>
  <si>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</si>
  <si>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</si>
  <si>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</si>
  <si>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</si>
  <si>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</si>
  <si>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</si>
  <si>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</si>
  <si>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</si>
  <si>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</si>
  <si>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</si>
  <si>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</si>
  <si>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</si>
  <si>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</si>
  <si>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</si>
  <si>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</si>
  <si>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</si>
  <si>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</si>
  <si>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</si>
  <si>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</si>
  <si>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</si>
  <si>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</si>
  <si>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</si>
  <si>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</si>
  <si>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</si>
  <si>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</si>
  <si>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</si>
  <si>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</si>
  <si>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</si>
  <si>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</si>
  <si>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</si>
  <si>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</si>
  <si>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</si>
  <si>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</si>
  <si>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</si>
  <si>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</si>
  <si>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</si>
  <si>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</si>
  <si>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</si>
  <si>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</si>
  <si>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</si>
  <si>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</si>
  <si>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</si>
  <si>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</si>
  <si>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</si>
  <si>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</si>
  <si>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</si>
  <si>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</si>
  <si>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</si>
  <si>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</si>
  <si>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</si>
  <si>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</si>
  <si>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</si>
  <si>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</si>
  <si>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</si>
  <si>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</si>
  <si>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</si>
  <si>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</si>
  <si>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</si>
  <si>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</si>
  <si>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</si>
  <si>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</si>
  <si>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</si>
  <si>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</si>
  <si>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</si>
  <si>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</si>
  <si>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</si>
  <si>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</si>
  <si>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</si>
  <si>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</si>
  <si>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</si>
  <si>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</si>
  <si>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</si>
  <si>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</si>
  <si>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</si>
  <si>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</si>
  <si>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</si>
  <si>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</si>
  <si>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</si>
  <si>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</si>
  <si>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</si>
  <si>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</si>
  <si>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</si>
  <si>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</si>
  <si>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</si>
  <si>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</si>
  <si>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</si>
  <si>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</si>
  <si>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</si>
  <si>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</si>
  <si>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</si>
  <si>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</si>
  <si>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</si>
  <si>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</si>
  <si>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</si>
  <si>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</si>
  <si>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</si>
  <si>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</si>
  <si>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</si>
  <si>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</si>
  <si>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</si>
  <si>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</si>
  <si>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</si>
  <si>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</si>
  <si>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</si>
  <si>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</si>
  <si>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</si>
  <si>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</si>
  <si>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</si>
  <si>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</si>
  <si>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</si>
  <si>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</si>
  <si>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</si>
  <si>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</si>
  <si>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</si>
  <si>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</si>
  <si>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</si>
  <si>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</si>
  <si>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</si>
  <si>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</si>
  <si>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</si>
  <si>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</si>
  <si>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</si>
  <si>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</si>
  <si>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</si>
  <si>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</si>
  <si>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</si>
  <si>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</si>
  <si>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</si>
  <si>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</si>
  <si>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</si>
  <si>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</si>
  <si>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</si>
  <si>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</si>
  <si>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</si>
  <si>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</si>
  <si>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</si>
  <si>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</si>
  <si>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</si>
  <si>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</si>
  <si>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</si>
  <si>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</si>
  <si>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</si>
  <si>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</si>
  <si>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</si>
  <si>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</si>
  <si>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</si>
  <si>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</si>
  <si>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</si>
  <si>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</si>
  <si>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</si>
  <si>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</si>
  <si>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</si>
  <si>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</si>
  <si>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</si>
  <si>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</si>
  <si>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</si>
  <si>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</si>
  <si>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</si>
  <si>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</si>
  <si>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</si>
  <si>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</si>
  <si>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</si>
  <si>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</si>
  <si>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</si>
  <si>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</si>
  <si>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</si>
  <si>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</si>
  <si>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</si>
  <si>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</si>
  <si>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</si>
  <si>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</si>
  <si>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</si>
  <si>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</si>
  <si>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</si>
  <si>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</si>
  <si>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</si>
  <si>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</si>
  <si>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</si>
  <si>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</si>
  <si>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</si>
  <si>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</si>
  <si>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</si>
  <si>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</si>
  <si>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</si>
  <si>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</si>
  <si>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</si>
  <si>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</si>
  <si>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</si>
  <si>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</si>
  <si>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</si>
  <si>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</si>
  <si>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</si>
  <si>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</si>
  <si>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</si>
  <si>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</si>
  <si>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</si>
  <si>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</si>
  <si>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</si>
  <si>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</si>
  <si>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</si>
  <si>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</si>
  <si>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</si>
  <si>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</si>
  <si>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</si>
  <si>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</si>
  <si>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</si>
  <si>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</si>
  <si>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</si>
  <si>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</si>
  <si>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</si>
  <si>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</si>
  <si>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</si>
  <si>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</si>
  <si>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</si>
  <si>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</si>
  <si>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</si>
  <si>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</si>
  <si>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</si>
  <si>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</si>
  <si>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</si>
  <si>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</si>
  <si>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</si>
  <si>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</si>
  <si>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</si>
  <si>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</si>
  <si>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</si>
  <si>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</si>
  <si>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</si>
  <si>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</si>
  <si>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</si>
  <si>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</si>
  <si>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</si>
  <si>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</si>
  <si>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</si>
  <si>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</si>
  <si>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</si>
  <si>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</si>
  <si>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</si>
  <si>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</si>
  <si>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</si>
  <si>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</si>
  <si>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</si>
  <si>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</si>
  <si>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</si>
  <si>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</si>
  <si>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</si>
  <si>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</si>
  <si>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</si>
  <si>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</si>
  <si>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</si>
  <si>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</si>
  <si>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</si>
  <si>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</si>
  <si>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</si>
  <si>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</si>
  <si>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</si>
  <si>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</si>
  <si>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</si>
  <si>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</si>
  <si>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</si>
  <si>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</si>
  <si>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</si>
  <si>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</si>
  <si>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</si>
  <si>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</si>
  <si>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</si>
  <si>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</si>
  <si>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</si>
  <si>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</si>
  <si>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</si>
  <si>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</si>
  <si>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</si>
  <si>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</si>
  <si>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</si>
  <si>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</si>
  <si>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</si>
  <si>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</si>
  <si>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</si>
  <si>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</si>
  <si>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</si>
  <si>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</si>
  <si>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</si>
  <si>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</si>
  <si>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</si>
  <si>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</si>
  <si>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</si>
  <si>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</si>
  <si>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</si>
  <si>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</si>
  <si>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</si>
  <si>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</si>
  <si>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</si>
  <si>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</si>
  <si>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</si>
  <si>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</si>
  <si>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</si>
  <si>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</si>
  <si>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</si>
  <si>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</si>
  <si>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</si>
  <si>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</si>
  <si>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</si>
  <si>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</si>
  <si>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</si>
  <si>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</si>
  <si>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</si>
  <si>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</si>
  <si>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</si>
  <si>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</si>
  <si>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</si>
  <si>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</si>
  <si>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</si>
  <si>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</si>
  <si>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</si>
  <si>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</si>
  <si>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</si>
  <si>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</si>
  <si>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</si>
  <si>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</si>
  <si>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</si>
  <si>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</si>
  <si>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</si>
  <si>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</si>
  <si>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</si>
  <si>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</si>
  <si>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</si>
  <si>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</si>
  <si>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</si>
  <si>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</si>
  <si>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</si>
  <si>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</si>
  <si>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</si>
  <si>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</si>
  <si>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</si>
  <si>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</si>
  <si>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</si>
  <si>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</si>
  <si>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</si>
  <si>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</si>
  <si>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</si>
  <si>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</si>
  <si>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</si>
  <si>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</si>
  <si>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</si>
  <si>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</si>
  <si>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</si>
  <si>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</si>
  <si>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</si>
  <si>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</si>
  <si>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</si>
  <si>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</si>
  <si>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</si>
  <si>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</si>
  <si>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</si>
  <si>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</si>
  <si>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</si>
  <si>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</si>
  <si>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</si>
  <si>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</si>
  <si>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</si>
  <si>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</si>
  <si>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</si>
  <si>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</si>
  <si>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</si>
  <si>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</si>
  <si>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</si>
  <si>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</si>
  <si>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</si>
  <si>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</si>
  <si>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</si>
  <si>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</si>
  <si>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</si>
  <si>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</si>
  <si>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</si>
  <si>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</si>
  <si>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</si>
  <si>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</si>
  <si>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</si>
  <si>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</si>
  <si>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</si>
  <si>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</si>
  <si>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</si>
  <si>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</si>
  <si>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</si>
  <si>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</si>
  <si>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</si>
  <si>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</si>
  <si>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</si>
  <si>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</si>
  <si>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</si>
  <si>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</si>
  <si>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</si>
  <si>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</si>
  <si>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</si>
  <si>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</si>
  <si>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</si>
  <si>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</si>
  <si>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</si>
  <si>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</si>
  <si>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</si>
  <si>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</si>
  <si>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</si>
  <si>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</si>
  <si>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</si>
  <si>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</si>
  <si>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</si>
  <si>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</si>
  <si>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</si>
  <si>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</si>
  <si>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</si>
  <si>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</si>
  <si>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</si>
  <si>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</si>
  <si>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</si>
  <si>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</si>
  <si>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</si>
  <si>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</si>
  <si>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</si>
  <si>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</si>
  <si>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</si>
  <si>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</si>
  <si>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</si>
  <si>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</si>
  <si>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</si>
  <si>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</si>
  <si>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</si>
  <si>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</si>
  <si>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</si>
  <si>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</si>
  <si>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</si>
  <si>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</si>
  <si>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</si>
  <si>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</si>
  <si>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</si>
  <si>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</si>
  <si>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</si>
  <si>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</si>
  <si>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</si>
  <si>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</si>
  <si>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</si>
  <si>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</si>
  <si>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</si>
  <si>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</si>
  <si>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</si>
  <si>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</si>
  <si>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</si>
  <si>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</si>
  <si>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</si>
  <si>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</si>
  <si>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</si>
  <si>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</si>
  <si>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</si>
  <si>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</si>
  <si>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</si>
  <si>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</si>
  <si>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</si>
  <si>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</si>
  <si>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</si>
  <si>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</si>
  <si>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</si>
  <si>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</si>
  <si>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</si>
  <si>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</si>
  <si>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</si>
  <si>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</si>
  <si>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</si>
  <si>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</si>
  <si>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</si>
  <si>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</si>
  <si>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</si>
  <si>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</si>
  <si>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</si>
  <si>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</si>
  <si>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</si>
  <si>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</si>
  <si>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</si>
  <si>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</si>
  <si>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</si>
  <si>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</si>
  <si>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</si>
  <si>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</si>
  <si>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</si>
  <si>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</si>
  <si>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</si>
  <si>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</si>
  <si>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</si>
  <si>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</si>
  <si>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</si>
  <si>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</si>
  <si>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</si>
  <si>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</si>
  <si>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</si>
  <si>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</si>
  <si>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</si>
  <si>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</si>
  <si>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</si>
  <si>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</si>
  <si>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</si>
  <si>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</si>
  <si>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</si>
  <si>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</si>
  <si>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</si>
  <si>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</si>
  <si>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</si>
  <si>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</si>
  <si>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</si>
  <si>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</si>
  <si>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</si>
  <si>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</si>
  <si>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</si>
  <si>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</si>
  <si>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</si>
  <si>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</si>
  <si>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</si>
  <si>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</si>
  <si>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</si>
  <si>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</si>
  <si>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</si>
  <si>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</si>
  <si>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</si>
  <si>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</si>
  <si>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</si>
  <si>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</si>
  <si>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</si>
  <si>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</si>
  <si>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</si>
  <si>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</si>
  <si>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</si>
  <si>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</si>
  <si>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</si>
  <si>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</si>
  <si>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</si>
  <si>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</si>
  <si>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</si>
  <si>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</si>
  <si>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</si>
  <si>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</si>
  <si>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</si>
  <si>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</si>
  <si>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</si>
  <si>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</si>
  <si>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</si>
  <si>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</si>
  <si>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</si>
  <si>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</si>
  <si>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</si>
  <si>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</si>
  <si>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</si>
  <si>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</si>
  <si>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</si>
  <si>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</si>
  <si>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</si>
  <si>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</si>
  <si>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</si>
  <si>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</si>
  <si>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</si>
  <si>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</si>
  <si>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</si>
  <si>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</si>
  <si>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</si>
  <si>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</si>
  <si>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</si>
  <si>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</si>
  <si>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</si>
  <si>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</si>
  <si>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</si>
  <si>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</si>
  <si>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</si>
  <si>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</si>
  <si>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</si>
  <si>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</si>
  <si>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</si>
  <si>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</si>
  <si>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</si>
  <si>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</si>
  <si>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</si>
  <si>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</si>
  <si>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</si>
  <si>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</si>
  <si>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</si>
  <si>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</si>
  <si>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</si>
  <si>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</si>
  <si>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</si>
  <si>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</si>
  <si>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</si>
  <si>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</si>
  <si>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</si>
  <si>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</si>
  <si>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</si>
  <si>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</si>
  <si>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</si>
  <si>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</si>
  <si>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</si>
  <si>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</si>
  <si>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</si>
  <si>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</si>
  <si>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</si>
  <si>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</si>
  <si>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</si>
  <si>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</si>
  <si>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</si>
  <si>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</si>
  <si>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</si>
  <si>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</si>
  <si>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</si>
  <si>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</si>
  <si>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</si>
  <si>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</si>
  <si>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</si>
  <si>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</si>
  <si>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</si>
  <si>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</si>
  <si>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</si>
  <si>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</si>
  <si>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</si>
  <si>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</si>
  <si>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</si>
  <si>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</si>
  <si>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</si>
  <si>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</si>
  <si>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</si>
  <si>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</si>
  <si>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</si>
  <si>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</si>
  <si>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</si>
  <si>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</si>
  <si>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</si>
  <si>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</si>
  <si>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</si>
  <si>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</si>
  <si>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</si>
  <si>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</si>
  <si>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</si>
  <si>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</si>
  <si>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</si>
  <si>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</si>
  <si>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</si>
  <si>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</si>
  <si>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</si>
  <si>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</si>
  <si>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</si>
  <si>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</si>
  <si>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</si>
  <si>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</si>
  <si>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</si>
  <si>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</si>
  <si>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</si>
  <si>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</si>
  <si>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</si>
  <si>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</si>
  <si>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</si>
  <si>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</si>
  <si>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</si>
  <si>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</si>
  <si>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</si>
  <si>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</si>
  <si>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</si>
  <si>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</si>
  <si>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</si>
  <si>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</si>
  <si>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</si>
  <si>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</si>
  <si>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</si>
  <si>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</si>
  <si>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</si>
  <si>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</si>
  <si>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</si>
  <si>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</si>
  <si>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</si>
  <si>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</si>
  <si>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</si>
  <si>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</si>
  <si>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</si>
  <si>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</si>
  <si>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</si>
  <si>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</si>
  <si>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</si>
  <si>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</si>
  <si>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</si>
  <si>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</si>
  <si>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</si>
  <si>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</si>
  <si>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</si>
  <si>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</si>
  <si>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</si>
  <si>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</si>
  <si>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</si>
  <si>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</si>
  <si>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</si>
  <si>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</si>
  <si>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</si>
  <si>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</si>
  <si>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</si>
  <si>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</si>
  <si>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</si>
  <si>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</si>
  <si>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</si>
  <si>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</si>
  <si>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</si>
  <si>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</si>
  <si>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</si>
  <si>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</si>
  <si>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</si>
  <si>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</si>
  <si>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</si>
  <si>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</si>
  <si>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</si>
  <si>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</si>
  <si>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</si>
  <si>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</si>
  <si>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</si>
  <si>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</si>
  <si>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</si>
  <si>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</si>
  <si>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</si>
  <si>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</si>
  <si>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</si>
  <si>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</si>
  <si>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</si>
  <si>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</si>
  <si>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</si>
  <si>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</si>
  <si>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</si>
  <si>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</si>
  <si>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</si>
  <si>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</si>
  <si>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</si>
  <si>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</si>
  <si>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</si>
  <si>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</si>
  <si>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</si>
  <si>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</si>
  <si>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</si>
  <si>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</si>
  <si>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</si>
  <si>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</si>
  <si>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</si>
  <si>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</si>
  <si>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</si>
  <si>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</si>
  <si>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</si>
  <si>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</si>
  <si>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</si>
  <si>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</si>
  <si>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</si>
  <si>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</si>
  <si>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</si>
  <si>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</si>
  <si>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</si>
  <si>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</si>
  <si>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</si>
  <si>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</si>
  <si>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</si>
  <si>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</si>
  <si>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</si>
  <si>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</si>
  <si>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</si>
  <si>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</si>
  <si>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</si>
  <si>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</si>
  <si>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</si>
  <si>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</si>
  <si>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</si>
  <si>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</si>
  <si>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</si>
  <si>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</si>
  <si>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</si>
  <si>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</si>
  <si>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</si>
  <si>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</si>
  <si>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</si>
  <si>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</si>
  <si>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</si>
  <si>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</si>
  <si>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</si>
  <si>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</si>
  <si>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</si>
  <si>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</si>
  <si>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</si>
  <si>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</si>
  <si>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</si>
  <si>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</si>
  <si>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</si>
  <si>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</si>
  <si>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</si>
  <si>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</si>
  <si>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</si>
  <si>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</si>
  <si>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</si>
  <si>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</si>
  <si>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</si>
  <si>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</si>
  <si>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</si>
  <si>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</si>
  <si>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</si>
  <si>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</si>
  <si>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</si>
  <si>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</si>
  <si>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</si>
  <si>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</si>
  <si>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</si>
  <si>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</si>
  <si>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</si>
  <si>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</si>
  <si>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</si>
  <si>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</si>
  <si>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</si>
  <si>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</si>
  <si>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</si>
  <si>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</si>
  <si>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</si>
  <si>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</si>
  <si>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</si>
  <si>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</si>
  <si>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</si>
  <si>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</si>
  <si>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</si>
  <si>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</si>
  <si>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</si>
  <si>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</si>
  <si>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</si>
  <si>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</si>
  <si>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</si>
  <si>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</si>
  <si>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</si>
  <si>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</si>
  <si>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</si>
  <si>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</si>
  <si>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</si>
  <si>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</si>
  <si>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</si>
  <si>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</si>
  <si>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</si>
  <si>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</si>
  <si>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</si>
  <si>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</si>
  <si>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</si>
  <si>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</si>
  <si>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</si>
  <si>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</si>
  <si>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</si>
  <si>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</si>
  <si>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</si>
  <si>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</si>
  <si>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</si>
  <si>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</si>
  <si>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</si>
  <si>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</si>
  <si>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</si>
  <si>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</si>
  <si>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</si>
  <si>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</si>
  <si>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</si>
  <si>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</si>
  <si>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</si>
  <si>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</si>
  <si>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</si>
  <si>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</si>
  <si>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</si>
  <si>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</si>
  <si>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</si>
  <si>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</si>
  <si>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</si>
  <si>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</si>
  <si>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</si>
  <si>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</si>
  <si>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</si>
  <si>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</si>
  <si>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</si>
  <si>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</si>
  <si>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</si>
  <si>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</si>
  <si>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</si>
  <si>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</si>
  <si>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</si>
  <si>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</si>
  <si>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</si>
  <si>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</si>
  <si>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</si>
  <si>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</si>
  <si>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</si>
  <si>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</si>
  <si>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</si>
  <si>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</si>
  <si>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</si>
  <si>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</si>
  <si>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</si>
  <si>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</si>
  <si>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</si>
  <si>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</si>
  <si>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</si>
  <si>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</si>
  <si>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</si>
  <si>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</si>
  <si>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</si>
  <si>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</si>
  <si>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</si>
  <si>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</si>
  <si>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</si>
  <si>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</si>
  <si>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</si>
  <si>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</si>
  <si>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</si>
  <si>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</si>
  <si>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</si>
  <si>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</si>
  <si>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</si>
  <si>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</si>
  <si>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</si>
  <si>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</si>
  <si>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</si>
  <si>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</si>
  <si>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</si>
  <si>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</si>
  <si>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</si>
  <si>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</si>
  <si>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</si>
  <si>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</si>
  <si>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</si>
  <si>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</si>
  <si>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</si>
  <si>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</si>
  <si>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</si>
  <si>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</si>
  <si>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</si>
  <si>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</si>
  <si>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</si>
  <si>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</si>
  <si>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</si>
  <si>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</si>
  <si>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</si>
  <si>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</si>
  <si>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</si>
  <si>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</si>
  <si>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</si>
  <si>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</si>
  <si>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</si>
  <si>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</si>
  <si>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</si>
  <si>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</si>
  <si>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</si>
  <si>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</si>
  <si>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</si>
  <si>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</si>
  <si>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</si>
  <si>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</si>
  <si>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</si>
  <si>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</si>
  <si>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</si>
  <si>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</si>
  <si>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</si>
  <si>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</si>
  <si>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</si>
  <si>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</si>
  <si>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</si>
  <si>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</si>
  <si>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</si>
  <si>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</si>
  <si>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</si>
  <si>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</si>
  <si>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</si>
  <si>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</si>
  <si>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</si>
  <si>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</si>
  <si>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</si>
  <si>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</si>
  <si>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</si>
  <si>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</si>
  <si>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</si>
  <si>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</si>
  <si>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</si>
  <si>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</si>
  <si>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</si>
  <si>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</si>
  <si>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</si>
  <si>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</si>
  <si>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</si>
  <si>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</si>
  <si>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</si>
  <si>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</si>
  <si>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</si>
  <si>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</si>
  <si>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</si>
  <si>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</si>
  <si>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</si>
  <si>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</si>
  <si>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</si>
  <si>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</si>
  <si>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</si>
  <si>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</si>
  <si>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</si>
  <si>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</si>
  <si>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</si>
  <si>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</si>
  <si>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</si>
  <si>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</si>
  <si>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</si>
  <si>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</si>
  <si>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</si>
  <si>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</si>
  <si>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</si>
  <si>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</si>
  <si>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</si>
  <si>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</si>
  <si>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</si>
  <si>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</si>
  <si>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</si>
  <si>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</si>
  <si>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</si>
  <si>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</si>
  <si>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</si>
  <si>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</si>
  <si>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</si>
  <si>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</si>
  <si>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</si>
  <si>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</si>
  <si>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</si>
  <si>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</si>
  <si>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</si>
  <si>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</si>
  <si>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</si>
  <si>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</si>
  <si>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</si>
  <si>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</si>
  <si>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</si>
  <si>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</si>
  <si>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</si>
  <si>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</si>
  <si>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</si>
  <si>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</si>
  <si>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</si>
  <si>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</si>
  <si>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</si>
  <si>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</si>
  <si>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</si>
  <si>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</si>
  <si>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</si>
  <si>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</si>
  <si>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</si>
  <si>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</si>
  <si>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</si>
  <si>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</si>
  <si>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</si>
  <si>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</si>
  <si>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</si>
  <si>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</si>
  <si>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</si>
  <si>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</si>
  <si>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</si>
  <si>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</si>
  <si>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</si>
  <si>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</si>
  <si>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</si>
  <si>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</si>
  <si>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</si>
  <si>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</si>
  <si>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</si>
  <si>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</si>
  <si>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</si>
  <si>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</si>
  <si>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</si>
  <si>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</si>
  <si>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</si>
  <si>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</si>
  <si>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</si>
  <si>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</si>
  <si>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</si>
  <si>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</si>
  <si>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</si>
  <si>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</si>
  <si>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</si>
  <si>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</si>
  <si>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</si>
  <si>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</si>
  <si>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</si>
  <si>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</si>
  <si>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</si>
  <si>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</si>
  <si>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</si>
  <si>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</si>
  <si>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</si>
  <si>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</si>
  <si>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</si>
  <si>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</si>
  <si>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</si>
  <si>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</si>
  <si>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</si>
  <si>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</si>
  <si>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</si>
  <si>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</si>
  <si>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</si>
  <si>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</si>
  <si>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</si>
  <si>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</si>
  <si>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</si>
  <si>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</si>
  <si>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</si>
  <si>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</si>
  <si>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</si>
  <si>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</si>
  <si>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</si>
  <si>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</si>
  <si>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</si>
  <si>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</si>
  <si>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</si>
  <si>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</si>
  <si>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</si>
  <si>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</si>
  <si>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</si>
  <si>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</si>
  <si>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</si>
  <si>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</si>
  <si>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</si>
  <si>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</si>
  <si>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</si>
  <si>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</si>
  <si>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</si>
  <si>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</si>
  <si>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</si>
  <si>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</si>
  <si>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</si>
  <si>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</si>
  <si>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</si>
  <si>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</si>
  <si>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</si>
  <si>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</si>
  <si>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</si>
  <si>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</si>
  <si>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</si>
  <si>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</si>
  <si>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</si>
  <si>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</si>
  <si>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</si>
  <si>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</si>
  <si>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</si>
  <si>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</si>
  <si>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</si>
  <si>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</si>
  <si>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</si>
  <si>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</si>
  <si>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</si>
  <si>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</si>
  <si>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</si>
  <si>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</si>
  <si>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</si>
  <si>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</si>
  <si>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</si>
  <si>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</si>
  <si>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</si>
  <si>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</si>
  <si>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</si>
  <si>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</si>
  <si>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</si>
  <si>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</si>
  <si>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</si>
  <si>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</si>
  <si>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</si>
  <si>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</si>
  <si>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</si>
  <si>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</si>
  <si>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</si>
  <si>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</si>
  <si>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</si>
  <si>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</si>
  <si>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</si>
  <si>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</si>
  <si>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</si>
  <si>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</si>
  <si>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</si>
  <si>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</si>
  <si>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</si>
  <si>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</si>
  <si>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</si>
  <si>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</si>
  <si>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</si>
  <si>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</si>
  <si>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</si>
  <si>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</si>
  <si>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</si>
  <si>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</si>
  <si>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</si>
  <si>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</si>
  <si>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</si>
  <si>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</si>
  <si>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</si>
  <si>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</si>
  <si>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</si>
  <si>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</si>
  <si>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</si>
  <si>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</si>
  <si>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</si>
  <si>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</si>
  <si>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</si>
  <si>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</si>
  <si>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</si>
  <si>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</si>
  <si>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</si>
  <si>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</si>
  <si>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</si>
  <si>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</si>
  <si>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</si>
  <si>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</si>
  <si>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</si>
  <si>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</si>
  <si>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</si>
  <si>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</si>
  <si>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</si>
  <si>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</si>
  <si>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</si>
  <si>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</si>
  <si>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</si>
  <si>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</si>
  <si>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</si>
  <si>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</si>
  <si>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</si>
  <si>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</si>
  <si>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</si>
  <si>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</si>
  <si>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</si>
  <si>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</si>
  <si>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</si>
  <si>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</si>
  <si>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</si>
  <si>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</si>
  <si>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</si>
  <si>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</si>
  <si>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</si>
  <si>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</si>
  <si>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</si>
  <si>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</si>
  <si>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</si>
  <si>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</si>
  <si>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</si>
  <si>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</si>
  <si>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</si>
  <si>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</si>
  <si>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</si>
  <si>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</si>
  <si>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</si>
  <si>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</si>
  <si>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</si>
  <si>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</si>
  <si>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</si>
  <si>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</si>
  <si>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</si>
  <si>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</si>
  <si>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</si>
  <si>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</si>
  <si>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</si>
  <si>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</si>
  <si>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</si>
  <si>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</si>
  <si>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</si>
  <si>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</si>
  <si>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</si>
  <si>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</si>
  <si>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</si>
  <si>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</si>
  <si>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</si>
  <si>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</si>
  <si>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</si>
  <si>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</si>
  <si>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</si>
  <si>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</si>
  <si>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</si>
  <si>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</si>
  <si>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</si>
  <si>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</si>
  <si>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</si>
  <si>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</si>
  <si>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</si>
  <si>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</si>
  <si>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</si>
  <si>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</si>
  <si>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</si>
  <si>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</si>
  <si>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</si>
  <si>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</si>
  <si>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</si>
  <si>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</si>
  <si>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</si>
  <si>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</si>
  <si>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</si>
  <si>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</si>
  <si>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</si>
  <si>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</si>
  <si>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</si>
  <si>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</si>
  <si>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</si>
  <si>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</si>
  <si>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</si>
  <si>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</si>
  <si>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</si>
  <si>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</si>
  <si>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</si>
  <si>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</si>
  <si>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</si>
  <si>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</si>
  <si>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</si>
  <si>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</si>
  <si>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</si>
  <si>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</si>
  <si>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</si>
  <si>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</si>
  <si>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</si>
  <si>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</si>
  <si>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</si>
  <si>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</si>
  <si>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</si>
  <si>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</si>
  <si>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</si>
  <si>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</si>
  <si>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</si>
  <si>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</si>
  <si>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</si>
  <si>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</si>
  <si>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</si>
  <si>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</si>
  <si>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</si>
  <si>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</si>
  <si>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</si>
  <si>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</si>
  <si>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</si>
  <si>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</si>
  <si>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</si>
  <si>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</si>
  <si>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</si>
  <si>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</si>
  <si>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</si>
  <si>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</si>
  <si>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</si>
  <si>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</si>
  <si>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</si>
  <si>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</si>
  <si>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</si>
  <si>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</si>
  <si>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</si>
  <si>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</si>
  <si>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</si>
  <si>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</si>
  <si>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</si>
  <si>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</si>
  <si>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</si>
  <si>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</si>
  <si>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</si>
  <si>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</si>
  <si>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</si>
  <si>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</si>
  <si>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</si>
  <si>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</si>
  <si>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</si>
  <si>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</si>
  <si>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</si>
  <si>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</si>
  <si>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</si>
  <si>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</si>
  <si>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</si>
  <si>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</si>
  <si>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</si>
  <si>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</si>
  <si>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</si>
  <si>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</si>
  <si>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</si>
  <si>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</si>
  <si>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</si>
  <si>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</si>
  <si>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</si>
  <si>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</si>
  <si>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</si>
  <si>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</si>
  <si>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</si>
  <si>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</si>
  <si>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</si>
  <si>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</si>
  <si>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</si>
  <si>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</si>
  <si>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</si>
  <si>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</si>
  <si>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</si>
  <si>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</si>
  <si>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</si>
  <si>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</si>
  <si>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</si>
  <si>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</si>
  <si>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</si>
  <si>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</si>
  <si>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</si>
  <si>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</si>
  <si>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</si>
  <si>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</si>
  <si>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</si>
  <si>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</si>
  <si>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</si>
  <si>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</si>
  <si>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</si>
  <si>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</si>
  <si>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</si>
  <si>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</si>
  <si>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</si>
  <si>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</si>
  <si>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</si>
  <si>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</si>
  <si>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</si>
  <si>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</si>
  <si>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</si>
  <si>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</si>
  <si>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</si>
  <si>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</si>
  <si>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</si>
  <si>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</si>
  <si>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</si>
  <si>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</si>
  <si>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</si>
  <si>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</si>
  <si>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</si>
  <si>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</si>
  <si>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</si>
  <si>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</si>
  <si>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</si>
  <si>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</si>
  <si>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</si>
  <si>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</si>
  <si>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</si>
  <si>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</si>
  <si>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</si>
  <si>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</si>
  <si>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</si>
  <si>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</si>
  <si>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</si>
  <si>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</si>
  <si>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</si>
  <si>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</si>
  <si>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</si>
  <si>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</si>
  <si>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</si>
  <si>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</si>
  <si>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</si>
  <si>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</si>
  <si>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</si>
  <si>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</si>
  <si>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</si>
  <si>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</si>
  <si>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</si>
  <si>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</si>
  <si>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</si>
  <si>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</si>
  <si>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</si>
  <si>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</si>
  <si>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</si>
  <si>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</si>
  <si>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</si>
  <si>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</si>
  <si>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</si>
  <si>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</si>
  <si>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</si>
  <si>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</si>
  <si>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</si>
  <si>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</si>
  <si>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</si>
  <si>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</si>
  <si>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</si>
  <si>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</si>
  <si>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</si>
  <si>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</si>
  <si>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</si>
  <si>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</si>
  <si>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</si>
  <si>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</si>
  <si>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</si>
  <si>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</si>
  <si>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</si>
  <si>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</si>
  <si>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</si>
  <si>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</si>
  <si>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</si>
  <si>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</si>
  <si>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</si>
  <si>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</si>
  <si>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</si>
  <si>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</si>
  <si>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</si>
  <si>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</si>
  <si>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</si>
  <si>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</si>
  <si>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</si>
  <si>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</si>
  <si>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</si>
  <si>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</si>
  <si>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</si>
  <si>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</si>
  <si>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</si>
  <si>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</si>
  <si>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</si>
  <si>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</si>
  <si>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</si>
  <si>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</si>
  <si>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</si>
  <si>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</si>
  <si>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</si>
  <si>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</si>
  <si>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</si>
  <si>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</si>
  <si>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</si>
  <si>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</si>
  <si>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</si>
  <si>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</si>
  <si>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</si>
  <si>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</si>
  <si>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</si>
  <si>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</si>
  <si>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</si>
  <si>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</si>
  <si>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</si>
  <si>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</si>
  <si>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</si>
  <si>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</si>
  <si>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</si>
  <si>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</si>
  <si>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</si>
  <si>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</si>
  <si>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</si>
  <si>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</si>
  <si>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</si>
  <si>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</si>
  <si>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</si>
  <si>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</si>
  <si>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</si>
  <si>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</si>
  <si>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</si>
  <si>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</si>
  <si>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</si>
  <si>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</si>
  <si>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</si>
  <si>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</si>
  <si>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</si>
  <si>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</si>
  <si>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</si>
  <si>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</si>
  <si>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</si>
  <si>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</si>
  <si>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</si>
  <si>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</si>
  <si>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</si>
  <si>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</si>
  <si>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</si>
  <si>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</si>
  <si>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</si>
  <si>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</si>
  <si>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</si>
  <si>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</si>
  <si>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</si>
  <si>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</si>
  <si>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</si>
  <si>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</si>
  <si>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</si>
  <si>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</si>
  <si>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</si>
  <si>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</si>
  <si>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</si>
  <si>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</si>
  <si>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</si>
  <si>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</si>
  <si>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</si>
  <si>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</si>
  <si>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</si>
  <si>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</si>
  <si>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</si>
  <si>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</si>
  <si>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</si>
  <si>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</si>
  <si>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</si>
  <si>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</si>
  <si>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</si>
  <si>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</si>
  <si>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</si>
  <si>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</si>
  <si>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</si>
  <si>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</si>
  <si>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</si>
  <si>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</si>
  <si>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</si>
  <si>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</si>
  <si>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</si>
  <si>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</si>
  <si>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</si>
  <si>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</si>
  <si>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</si>
  <si>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</si>
  <si>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</si>
  <si>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</si>
  <si>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</si>
  <si>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</si>
  <si>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</si>
  <si>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</si>
  <si>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</si>
  <si>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</si>
  <si>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</si>
  <si>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</si>
  <si>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</si>
  <si>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</si>
  <si>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</si>
  <si>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</si>
  <si>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</si>
  <si>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</si>
  <si>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</si>
  <si>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</si>
  <si>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</si>
  <si>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</si>
  <si>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</si>
  <si>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</si>
  <si>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</si>
  <si>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</si>
  <si>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</si>
  <si>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</si>
  <si>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</si>
  <si>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</si>
  <si>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</si>
  <si>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</si>
  <si>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</si>
  <si>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</si>
  <si>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</si>
  <si>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</si>
  <si>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</si>
  <si>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</si>
  <si>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</si>
  <si>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</si>
  <si>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</si>
  <si>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</si>
  <si>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</si>
  <si>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</si>
  <si>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</si>
  <si>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</si>
  <si>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</si>
  <si>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</si>
  <si>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</si>
  <si>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</si>
  <si>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</si>
  <si>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</si>
  <si>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</si>
  <si>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</si>
  <si>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</si>
  <si>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</si>
  <si>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</si>
  <si>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</si>
  <si>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</si>
  <si>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</si>
  <si>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</si>
  <si>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</si>
  <si>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</si>
  <si>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</si>
  <si>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</si>
  <si>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</si>
  <si>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</si>
  <si>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</si>
  <si>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</si>
  <si>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</si>
  <si>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</si>
  <si>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</si>
  <si>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</si>
  <si>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</si>
  <si>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</si>
  <si>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</si>
  <si>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</si>
  <si>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</si>
  <si>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</si>
  <si>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</si>
  <si>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</si>
  <si>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</si>
  <si>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</si>
  <si>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</si>
  <si>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</si>
  <si>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</si>
  <si>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</si>
  <si>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</si>
  <si>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</si>
  <si>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</si>
  <si>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</si>
  <si>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</si>
  <si>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</si>
  <si>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</si>
  <si>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</si>
  <si>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</si>
  <si>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</si>
  <si>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</si>
  <si>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</si>
  <si>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</si>
  <si>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</si>
  <si>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</si>
  <si>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</si>
  <si>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</si>
  <si>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</si>
  <si>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</si>
  <si>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</si>
  <si>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</si>
  <si>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</si>
  <si>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</si>
  <si>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</si>
  <si>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</si>
  <si>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</si>
  <si>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</si>
  <si>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</si>
  <si>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</si>
  <si>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</si>
  <si>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</si>
  <si>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</si>
  <si>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</si>
  <si>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</si>
  <si>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</si>
  <si>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</si>
  <si>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</si>
  <si>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</si>
  <si>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</si>
  <si>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</si>
  <si>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</si>
  <si>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</si>
  <si>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</si>
  <si>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</si>
  <si>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</si>
  <si>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</si>
  <si>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</si>
  <si>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</si>
  <si>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</si>
  <si>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</si>
  <si>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</si>
  <si>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</si>
  <si>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</si>
  <si>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</si>
  <si>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</si>
  <si>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</si>
  <si>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</si>
  <si>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</si>
  <si>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</si>
  <si>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</si>
  <si>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</si>
  <si>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</si>
  <si>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</si>
  <si>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</si>
  <si>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</si>
  <si>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</si>
  <si>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</si>
  <si>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</si>
  <si>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</si>
  <si>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</si>
  <si>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</si>
  <si>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</si>
  <si>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</si>
  <si>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</si>
  <si>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</si>
  <si>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</si>
  <si>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</si>
  <si>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</si>
  <si>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</si>
  <si>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</si>
  <si>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</si>
  <si>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</si>
  <si>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</si>
  <si>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</si>
  <si>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</si>
  <si>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</si>
  <si>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</si>
  <si>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</si>
  <si>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</si>
  <si>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</si>
  <si>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</si>
  <si>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</si>
  <si>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</si>
  <si>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</si>
  <si>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</si>
  <si>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</si>
  <si>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</si>
  <si>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</si>
  <si>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</si>
  <si>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</si>
  <si>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</si>
  <si>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</si>
  <si>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</si>
  <si>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</si>
  <si>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</si>
  <si>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</si>
  <si>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</si>
  <si>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</si>
  <si>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</si>
  <si>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</si>
  <si>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</si>
  <si>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</si>
  <si>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</si>
  <si>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</si>
  <si>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</si>
  <si>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</si>
  <si>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</si>
  <si>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</si>
  <si>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</si>
  <si>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</si>
  <si>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</si>
  <si>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</si>
  <si>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</si>
  <si>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</si>
  <si>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</si>
  <si>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</si>
  <si>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</si>
  <si>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</si>
  <si>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</si>
  <si>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</si>
  <si>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</si>
  <si>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</si>
  <si>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</si>
  <si>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</si>
  <si>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</si>
  <si>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</si>
  <si>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</si>
  <si>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</si>
  <si>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</si>
  <si>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</si>
  <si>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</si>
  <si>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</si>
  <si>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</si>
  <si>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</si>
  <si>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</si>
  <si>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</si>
  <si>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</si>
  <si>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</si>
  <si>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</si>
  <si>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</si>
  <si>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</si>
  <si>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</si>
  <si>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</si>
  <si>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</si>
  <si>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</si>
  <si>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</si>
  <si>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</si>
  <si>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</si>
  <si>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</si>
  <si>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</si>
  <si>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</si>
  <si>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</si>
  <si>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</si>
  <si>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</si>
  <si>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</si>
  <si>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</si>
  <si>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</si>
  <si>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</si>
  <si>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</si>
  <si>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</si>
  <si>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</si>
  <si>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</si>
  <si>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</si>
  <si>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</si>
  <si>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</si>
  <si>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</si>
  <si>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</si>
  <si>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</si>
  <si>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</si>
  <si>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</si>
  <si>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</si>
  <si>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</si>
  <si>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</si>
  <si>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</si>
  <si>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</si>
  <si>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</si>
  <si>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</si>
  <si>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</si>
  <si>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</si>
  <si>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</si>
  <si>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</si>
  <si>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</si>
  <si>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</si>
  <si>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</si>
  <si>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</si>
  <si>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</si>
  <si>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</si>
  <si>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</si>
  <si>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</si>
  <si>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</si>
  <si>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</si>
  <si>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</si>
  <si>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</si>
  <si>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</si>
  <si>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</si>
  <si>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</si>
  <si>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</si>
  <si>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</si>
  <si>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</si>
  <si>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</si>
  <si>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</si>
  <si>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</si>
  <si>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</si>
  <si>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</si>
  <si>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</si>
  <si>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</si>
  <si>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</si>
  <si>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</si>
  <si>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</si>
  <si>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</si>
  <si>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</si>
  <si>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</si>
  <si>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</si>
  <si>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</si>
  <si>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</si>
  <si>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</si>
  <si>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</si>
  <si>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</si>
  <si>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</si>
  <si>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</si>
  <si>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</si>
  <si>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</si>
  <si>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</si>
  <si>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</si>
  <si>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</si>
  <si>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</si>
  <si>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</si>
  <si>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</si>
  <si>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</si>
  <si>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</si>
  <si>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</si>
  <si>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</si>
  <si>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</si>
  <si>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</si>
  <si>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</si>
  <si>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</si>
  <si>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</si>
  <si>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</si>
  <si>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</si>
  <si>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</si>
  <si>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</si>
  <si>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</si>
  <si>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</si>
  <si>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</si>
  <si>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</si>
  <si>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</si>
  <si>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</si>
  <si>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</si>
  <si>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</si>
  <si>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</si>
  <si>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</si>
  <si>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</si>
  <si>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</si>
  <si>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</si>
  <si>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</si>
  <si>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</si>
  <si>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</si>
  <si>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</si>
  <si>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</si>
  <si>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</si>
  <si>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</si>
  <si>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</si>
  <si>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</si>
  <si>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</si>
  <si>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</si>
  <si>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</si>
  <si>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</si>
  <si>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</si>
  <si>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</si>
  <si>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</si>
  <si>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</si>
  <si>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</si>
  <si>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</si>
  <si>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</si>
  <si>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</si>
  <si>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</si>
  <si>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</si>
  <si>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</si>
  <si>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</si>
  <si>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</si>
  <si>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</si>
  <si>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</si>
  <si>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</si>
  <si>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</si>
  <si>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</si>
  <si>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</si>
  <si>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</si>
  <si>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</si>
  <si>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</si>
  <si>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</si>
  <si>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</si>
  <si>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</si>
  <si>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</si>
  <si>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</si>
  <si>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</si>
  <si>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</si>
  <si>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</si>
  <si>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</si>
  <si>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</si>
  <si>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</si>
  <si>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</si>
  <si>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</si>
  <si>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</si>
  <si>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</si>
  <si>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</si>
  <si>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</si>
  <si>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</si>
  <si>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</si>
  <si>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</si>
  <si>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</si>
  <si>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</si>
  <si>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</si>
  <si>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</si>
  <si>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</si>
  <si>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</si>
  <si>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</si>
  <si>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</si>
  <si>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</si>
  <si>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</si>
  <si>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</si>
  <si>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</si>
  <si>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</si>
  <si>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</si>
  <si>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</si>
  <si>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</si>
  <si>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</si>
  <si>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</si>
  <si>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</si>
  <si>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</si>
  <si>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</si>
  <si>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</si>
  <si>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</si>
  <si>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</si>
  <si>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</si>
  <si>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</si>
  <si>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</si>
  <si>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</si>
  <si>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</si>
  <si>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</si>
  <si>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</si>
  <si>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</si>
  <si>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</si>
  <si>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</si>
  <si>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</si>
  <si>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</si>
  <si>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</si>
  <si>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</si>
  <si>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</si>
  <si>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</si>
  <si>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</si>
  <si>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</si>
  <si>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</si>
  <si>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</si>
  <si>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</si>
  <si>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</si>
  <si>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</si>
  <si>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</si>
  <si>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</si>
  <si>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</si>
  <si>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</si>
  <si>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</si>
  <si>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</si>
  <si>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</si>
  <si>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</si>
  <si>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</si>
  <si>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</si>
  <si>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</si>
  <si>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</si>
  <si>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</si>
  <si>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</si>
  <si>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</si>
  <si>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</si>
  <si>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</si>
  <si>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</si>
  <si>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</si>
  <si>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</si>
  <si>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</si>
  <si>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</si>
  <si>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</si>
  <si>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</si>
  <si>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</si>
  <si>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</si>
  <si>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</si>
  <si>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</si>
  <si>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</si>
  <si>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</si>
  <si>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</si>
  <si>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</si>
  <si>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</si>
  <si>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</si>
  <si>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</si>
  <si>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</si>
  <si>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</si>
  <si>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</si>
  <si>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</si>
  <si>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</si>
  <si>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</si>
  <si>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</si>
  <si>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</si>
  <si>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</si>
  <si>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</si>
  <si>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</si>
  <si>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</si>
  <si>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</si>
  <si>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</si>
  <si>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</si>
  <si>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</si>
  <si>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</si>
  <si>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</si>
  <si>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</si>
  <si>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</si>
  <si>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</si>
  <si>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</si>
  <si>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</si>
  <si>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</si>
  <si>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</si>
  <si>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</si>
  <si>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</si>
  <si>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</si>
  <si>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</si>
  <si>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</si>
  <si>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</si>
  <si>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</si>
  <si>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</si>
  <si>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</si>
  <si>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</si>
  <si>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</si>
  <si>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</si>
  <si>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</si>
  <si>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</si>
  <si>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</si>
  <si>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</si>
  <si>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</si>
  <si>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</si>
  <si>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</si>
  <si>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</si>
  <si>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</si>
  <si>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</si>
  <si>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</si>
  <si>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</si>
  <si>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</si>
  <si>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</si>
  <si>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</si>
  <si>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</si>
  <si>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</si>
  <si>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</si>
  <si>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</si>
  <si>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</si>
  <si>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</si>
  <si>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</si>
  <si>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</si>
  <si>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</si>
  <si>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</si>
  <si>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</si>
  <si>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</si>
  <si>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</si>
  <si>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</si>
  <si>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</si>
  <si>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</si>
  <si>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</si>
  <si>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</si>
  <si>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</si>
  <si>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</si>
  <si>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</si>
  <si>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</si>
  <si>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</si>
  <si>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</si>
  <si>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</si>
  <si>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</si>
  <si>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</si>
  <si>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</si>
  <si>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</si>
  <si>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</si>
  <si>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</si>
  <si>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</si>
  <si>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</si>
  <si>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</si>
  <si>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</si>
  <si>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</si>
  <si>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</si>
  <si>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</si>
  <si>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</si>
  <si>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</si>
  <si>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</si>
  <si>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</si>
  <si>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</si>
  <si>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</si>
  <si>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</si>
  <si>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</si>
  <si>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</si>
  <si>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</si>
  <si>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</si>
  <si>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</si>
  <si>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</si>
  <si>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</si>
  <si>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</si>
  <si>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</si>
  <si>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</si>
  <si>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</si>
  <si>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</si>
  <si>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</si>
  <si>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</si>
  <si>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</si>
  <si>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</si>
  <si>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</si>
  <si>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</si>
  <si>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</si>
  <si>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</si>
  <si>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</si>
  <si>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</si>
  <si>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</si>
  <si>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</si>
  <si>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</si>
  <si>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</si>
  <si>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</si>
  <si>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</si>
  <si>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</si>
  <si>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</si>
  <si>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</si>
  <si>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</si>
  <si>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</si>
  <si>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</si>
  <si>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</si>
  <si>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</si>
  <si>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</si>
  <si>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</si>
  <si>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</si>
  <si>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</si>
  <si>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</si>
  <si>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</si>
  <si>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</si>
  <si>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</si>
  <si>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</si>
  <si>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</si>
  <si>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</si>
  <si>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</si>
  <si>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</si>
  <si>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</si>
  <si>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</si>
  <si>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</si>
  <si>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</si>
  <si>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</si>
  <si>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</si>
  <si>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</si>
  <si>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</si>
  <si>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</si>
  <si>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</si>
  <si>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</si>
  <si>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</si>
  <si>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</si>
  <si>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</si>
  <si>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</si>
  <si>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</si>
  <si>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</si>
  <si>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</si>
  <si>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</si>
  <si>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</si>
  <si>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</si>
  <si>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</si>
  <si>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</si>
  <si>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</si>
  <si>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</si>
  <si>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</si>
  <si>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</si>
  <si>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</si>
  <si>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</si>
  <si>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</si>
  <si>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</si>
  <si>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</si>
  <si>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</si>
  <si>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</si>
  <si>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</si>
  <si>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</si>
  <si>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</si>
  <si>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</si>
  <si>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</si>
  <si>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</si>
  <si>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</si>
  <si>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</si>
  <si>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</si>
  <si>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</si>
  <si>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</si>
  <si>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</si>
  <si>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</si>
  <si>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</si>
  <si>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</si>
  <si>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</si>
  <si>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</si>
  <si>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</si>
  <si>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</si>
  <si>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</si>
  <si>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</si>
  <si>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</si>
  <si>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</si>
  <si>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</si>
  <si>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</si>
  <si>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</si>
  <si>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</si>
  <si>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</si>
  <si>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</si>
  <si>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</si>
  <si>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</si>
  <si>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</si>
  <si>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</si>
  <si>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</si>
  <si>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</si>
  <si>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</si>
  <si>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</si>
  <si>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</si>
  <si>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</si>
  <si>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</si>
  <si>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</si>
  <si>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</si>
  <si>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</si>
  <si>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</si>
  <si>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</si>
  <si>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</si>
  <si>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</si>
  <si>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</si>
  <si>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</si>
  <si>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</si>
  <si>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</si>
  <si>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</si>
  <si>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</si>
  <si>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</si>
  <si>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</si>
  <si>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</si>
  <si>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</si>
  <si>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</si>
  <si>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</si>
  <si>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</si>
  <si>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</si>
  <si>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</si>
  <si>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</si>
  <si>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</si>
  <si>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</si>
  <si>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</si>
  <si>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</si>
  <si>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</si>
  <si>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</si>
  <si>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</si>
  <si>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</si>
  <si>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</si>
  <si>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</si>
  <si>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</si>
  <si>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</si>
  <si>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</si>
  <si>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</si>
  <si>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</si>
  <si>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</si>
  <si>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</si>
  <si>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</si>
  <si>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</si>
  <si>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</si>
  <si>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</si>
  <si>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</si>
  <si>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</si>
  <si>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</si>
  <si>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</si>
  <si>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</si>
  <si>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</si>
  <si>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</si>
  <si>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</si>
  <si>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</si>
  <si>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</si>
  <si>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</si>
  <si>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</si>
  <si>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</si>
  <si>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</si>
  <si>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</si>
  <si>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</si>
  <si>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</si>
  <si>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</si>
  <si>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</si>
  <si>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</si>
  <si>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</si>
  <si>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</si>
  <si>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</si>
  <si>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</si>
  <si>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</si>
  <si>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</si>
  <si>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</si>
  <si>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</si>
  <si>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</si>
  <si>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</si>
  <si>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</si>
  <si>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</si>
  <si>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</si>
  <si>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</si>
  <si>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</si>
  <si>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</si>
  <si>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</si>
  <si>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</si>
  <si>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</si>
  <si>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</si>
  <si>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</si>
  <si>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</si>
  <si>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</si>
  <si>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</si>
  <si>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</si>
  <si>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</si>
  <si>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</si>
  <si>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</si>
  <si>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</si>
  <si>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</si>
  <si>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</si>
  <si>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</si>
  <si>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</si>
  <si>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</si>
  <si>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</si>
  <si>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</si>
  <si>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</si>
  <si>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</si>
  <si>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</si>
  <si>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</si>
  <si>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</si>
  <si>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</si>
  <si>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</si>
  <si>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</si>
  <si>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</si>
  <si>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</si>
  <si>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</si>
  <si>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</si>
  <si>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</si>
  <si>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</si>
  <si>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</si>
  <si>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</si>
  <si>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</si>
  <si>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</si>
  <si>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</si>
  <si>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</si>
  <si>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</si>
  <si>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</si>
  <si>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</si>
  <si>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</si>
  <si>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</si>
  <si>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</si>
  <si>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</si>
  <si>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</si>
  <si>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</si>
  <si>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</si>
  <si>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</si>
  <si>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</si>
  <si>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</si>
  <si>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</si>
  <si>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</si>
  <si>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</si>
  <si>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</si>
  <si>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</si>
  <si>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</si>
  <si>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</si>
  <si>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</si>
  <si>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</si>
  <si>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</si>
  <si>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</si>
  <si>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</si>
  <si>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</si>
  <si>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</si>
  <si>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</si>
  <si>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</si>
  <si>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</si>
  <si>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</si>
  <si>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</si>
  <si>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</si>
  <si>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</si>
  <si>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</si>
  <si>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</si>
  <si>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</si>
  <si>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</si>
  <si>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</si>
  <si>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</si>
  <si>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</si>
  <si>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</si>
  <si>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</si>
  <si>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</si>
  <si>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</si>
  <si>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</si>
  <si>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</si>
  <si>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</si>
  <si>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</si>
  <si>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</si>
  <si>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</si>
  <si>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</si>
  <si>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</si>
  <si>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</si>
  <si>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</si>
  <si>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</si>
  <si>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</si>
  <si>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</si>
  <si>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</si>
  <si>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</si>
  <si>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</si>
  <si>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</si>
  <si>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</si>
  <si>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</si>
  <si>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</si>
  <si>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</si>
  <si>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</si>
  <si>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</si>
  <si>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</si>
  <si>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</si>
  <si>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</si>
  <si>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</si>
  <si>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</si>
  <si>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</si>
  <si>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</si>
  <si>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</si>
  <si>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</si>
  <si>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</si>
  <si>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</si>
  <si>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</si>
  <si>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</si>
  <si>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</si>
  <si>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</si>
  <si>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</si>
  <si>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</si>
  <si>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</si>
  <si>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</si>
  <si>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</si>
  <si>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</si>
  <si>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</si>
  <si>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</si>
  <si>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</si>
  <si>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</si>
  <si>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</si>
  <si>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</si>
  <si>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</si>
  <si>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</si>
  <si>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</si>
  <si>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</si>
  <si>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</si>
  <si>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</si>
  <si>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</si>
  <si>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</si>
  <si>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</si>
  <si>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</si>
  <si>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</si>
  <si>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</si>
  <si>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</si>
  <si>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</si>
  <si>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</si>
  <si>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</si>
  <si>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</si>
  <si>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</si>
  <si>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</si>
  <si>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</si>
  <si>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</si>
  <si>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</si>
  <si>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</si>
  <si>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</si>
  <si>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</si>
  <si>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</si>
  <si>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</si>
  <si>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</si>
  <si>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</si>
  <si>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</si>
  <si>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</si>
  <si>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</si>
  <si>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</si>
  <si>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</si>
  <si>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</si>
  <si>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</si>
  <si>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</si>
  <si>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</si>
  <si>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</si>
  <si>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</si>
  <si>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</si>
  <si>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</si>
  <si>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</si>
  <si>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</si>
  <si>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</si>
  <si>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</si>
  <si>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</si>
  <si>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</si>
  <si>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</si>
  <si>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</si>
  <si>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</si>
  <si>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</si>
  <si>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</si>
  <si>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</si>
  <si>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</si>
  <si>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</si>
  <si>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</si>
  <si>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</si>
  <si>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</si>
  <si>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</si>
  <si>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</si>
  <si>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</si>
  <si>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</si>
  <si>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</si>
  <si>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</si>
  <si>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</si>
  <si>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</si>
  <si>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</si>
  <si>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</si>
  <si>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</si>
  <si>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</si>
  <si>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</si>
  <si>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</si>
  <si>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</si>
  <si>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</si>
  <si>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</si>
  <si>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</si>
  <si>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</si>
  <si>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</si>
  <si>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</si>
  <si>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</si>
  <si>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</si>
  <si>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</si>
  <si>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</si>
  <si>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</si>
  <si>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</si>
  <si>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</si>
  <si>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</si>
  <si>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</si>
  <si>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</si>
  <si>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</si>
  <si>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</si>
  <si>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</si>
  <si>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</si>
  <si>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</si>
  <si>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</si>
  <si>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</si>
  <si>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</si>
  <si>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</si>
  <si>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</si>
  <si>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</si>
  <si>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</si>
  <si>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</si>
  <si>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</si>
  <si>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</si>
  <si>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</si>
  <si>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</si>
  <si>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</si>
  <si>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</si>
  <si>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</si>
  <si>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</si>
  <si>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</si>
  <si>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</si>
  <si>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</si>
  <si>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</si>
  <si>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</si>
  <si>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</si>
  <si>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</si>
  <si>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</si>
  <si>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</si>
  <si>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</si>
  <si>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</si>
  <si>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</si>
  <si>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</si>
  <si>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</si>
  <si>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</si>
  <si>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</si>
  <si>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</si>
  <si>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</si>
  <si>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</si>
  <si>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</si>
  <si>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</si>
  <si>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</si>
  <si>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</si>
  <si>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</si>
  <si>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</si>
  <si>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</si>
  <si>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</si>
  <si>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</si>
  <si>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</si>
  <si>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</si>
  <si>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</si>
  <si>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</si>
  <si>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</si>
  <si>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</si>
  <si>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</si>
  <si>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</si>
  <si>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</si>
  <si>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</si>
  <si>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</si>
  <si>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</si>
  <si>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</si>
  <si>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</si>
  <si>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</si>
  <si>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</si>
  <si>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</si>
  <si>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</si>
  <si>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</si>
  <si>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</si>
  <si>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</si>
  <si>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</si>
  <si>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</si>
  <si>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</si>
  <si>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</si>
  <si>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</si>
  <si>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</si>
  <si>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</si>
  <si>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</si>
  <si>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</si>
  <si>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</si>
  <si>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</si>
  <si>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</si>
  <si>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</si>
  <si>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</si>
  <si>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</si>
  <si>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</si>
  <si>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</si>
  <si>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</si>
  <si>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</si>
  <si>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</si>
  <si>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</si>
  <si>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</si>
  <si>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</si>
  <si>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</si>
  <si>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</si>
  <si>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</si>
  <si>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</si>
  <si>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</si>
  <si>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</si>
  <si>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</si>
  <si>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</si>
  <si>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</si>
  <si>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</si>
  <si>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</si>
  <si>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</si>
  <si>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</si>
  <si>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</si>
  <si>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</si>
  <si>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</si>
  <si>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</si>
  <si>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</si>
  <si>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</si>
  <si>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</si>
  <si>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</si>
  <si>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</si>
  <si>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</si>
  <si>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</si>
  <si>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</si>
  <si>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</si>
  <si>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</si>
  <si>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</si>
  <si>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</si>
  <si>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</si>
  <si>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</si>
  <si>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</si>
  <si>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</si>
  <si>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</si>
  <si>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</si>
  <si>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</si>
  <si>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</si>
  <si>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</si>
  <si>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</si>
  <si>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</si>
  <si>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</si>
  <si>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</si>
  <si>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</si>
  <si>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</si>
  <si>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</si>
  <si>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</si>
  <si>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</si>
  <si>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</si>
  <si>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</si>
  <si>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</si>
  <si>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</si>
  <si>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</si>
  <si>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</si>
  <si>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</si>
  <si>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</si>
  <si>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</si>
  <si>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</si>
  <si>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</si>
  <si>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</si>
  <si>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</si>
  <si>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</si>
  <si>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</si>
  <si>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</si>
  <si>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</si>
  <si>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</si>
  <si>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</si>
  <si>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</si>
  <si>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</si>
  <si>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</si>
  <si>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</si>
  <si>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</si>
  <si>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</si>
  <si>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</si>
  <si>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</si>
  <si>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</si>
  <si>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</si>
  <si>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</si>
  <si>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</si>
  <si>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</si>
  <si>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</si>
  <si>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</si>
  <si>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</si>
  <si>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</si>
  <si>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</si>
  <si>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</si>
  <si>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</si>
  <si>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</si>
  <si>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</si>
  <si>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</si>
  <si>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</si>
  <si>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</si>
  <si>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</si>
  <si>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</si>
  <si>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</si>
  <si>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</si>
  <si>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</si>
  <si>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</si>
  <si>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</si>
  <si>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</si>
  <si>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</si>
  <si>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</si>
  <si>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</si>
  <si>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</si>
  <si>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</si>
  <si>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</si>
  <si>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</si>
  <si>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</si>
  <si>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</si>
  <si>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</si>
  <si>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</si>
  <si>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</si>
  <si>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</si>
  <si>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</si>
  <si>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</si>
  <si>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</si>
  <si>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</si>
  <si>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</si>
  <si>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</si>
  <si>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</si>
  <si>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</si>
  <si>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</si>
  <si>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</si>
  <si>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</si>
  <si>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</si>
  <si>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</si>
  <si>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</si>
  <si>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</si>
  <si>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</si>
  <si>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</si>
  <si>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</si>
  <si>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</si>
  <si>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</si>
  <si>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</si>
  <si>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</si>
  <si>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</si>
  <si>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</si>
  <si>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</si>
  <si>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</si>
  <si>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</si>
  <si>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</si>
  <si>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</si>
  <si>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</si>
  <si>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</si>
  <si>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</si>
  <si>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</si>
  <si>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</si>
  <si>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</si>
  <si>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</si>
  <si>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</si>
  <si>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</si>
  <si>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</si>
  <si>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</si>
  <si>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</si>
  <si>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</si>
  <si>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</si>
  <si>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</si>
  <si>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</si>
  <si>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</si>
  <si>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</si>
  <si>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</si>
  <si>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</si>
  <si>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</si>
  <si>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</si>
  <si>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</si>
  <si>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</si>
  <si>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</si>
  <si>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</si>
  <si>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</si>
  <si>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</si>
  <si>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</si>
  <si>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</si>
  <si>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</si>
  <si>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</si>
  <si>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</si>
  <si>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</si>
  <si>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</si>
  <si>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</si>
  <si>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</si>
  <si>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</si>
  <si>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</si>
  <si>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</si>
  <si>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</si>
  <si>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</si>
  <si>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</si>
  <si>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</si>
  <si>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</si>
  <si>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</si>
  <si>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</si>
  <si>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</si>
  <si>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</si>
  <si>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</si>
  <si>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</si>
  <si>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</si>
  <si>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</si>
  <si>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</si>
  <si>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</si>
  <si>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</si>
  <si>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</si>
  <si>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</si>
  <si>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</si>
  <si>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</si>
  <si>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</si>
  <si>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</si>
  <si>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</si>
  <si>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</si>
  <si>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</si>
  <si>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</si>
  <si>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</si>
  <si>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</si>
  <si>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</si>
  <si>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</si>
  <si>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</si>
  <si>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</si>
  <si>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</si>
  <si>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</si>
  <si>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</si>
  <si>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</si>
  <si>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</si>
  <si>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</si>
  <si>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</si>
  <si>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</si>
  <si>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</si>
  <si>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</si>
  <si>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</si>
  <si>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</si>
  <si>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</si>
  <si>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</si>
  <si>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</si>
  <si>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</si>
  <si>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</si>
  <si>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</si>
  <si>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</si>
  <si>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</si>
  <si>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</si>
  <si>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</si>
  <si>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</si>
  <si>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</si>
  <si>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</si>
  <si>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</si>
  <si>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</si>
  <si>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</si>
  <si>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</si>
  <si>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</si>
  <si>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</si>
  <si>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</si>
  <si>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</si>
  <si>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</si>
  <si>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</si>
  <si>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</si>
  <si>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</si>
  <si>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</si>
  <si>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</si>
  <si>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</si>
  <si>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</si>
  <si>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</si>
  <si>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</si>
  <si>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</si>
  <si>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</si>
  <si>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</si>
  <si>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</si>
  <si>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</si>
  <si>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</si>
  <si>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</si>
  <si>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</si>
  <si>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</si>
  <si>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</si>
  <si>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</si>
  <si>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</si>
  <si>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</si>
  <si>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</si>
  <si>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</si>
  <si>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</si>
  <si>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</si>
  <si>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</si>
  <si>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</si>
  <si>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</si>
  <si>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</si>
  <si>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</si>
  <si>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</si>
  <si>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</si>
  <si>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</si>
  <si>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</si>
  <si>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</si>
  <si>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</si>
  <si>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</si>
  <si>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</si>
  <si>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</si>
  <si>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</si>
  <si>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</si>
  <si>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</si>
  <si>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</si>
  <si>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</si>
  <si>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</si>
  <si>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</si>
  <si>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</si>
  <si>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</si>
  <si>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</si>
  <si>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</si>
  <si>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</si>
  <si>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</si>
  <si>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</si>
  <si>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</si>
  <si>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</si>
  <si>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</si>
  <si>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</si>
  <si>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</si>
  <si>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</si>
  <si>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</si>
  <si>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</si>
  <si>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</si>
  <si>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</si>
  <si>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</si>
  <si>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</si>
  <si>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</si>
  <si>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</si>
  <si>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</si>
  <si>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</si>
  <si>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</si>
  <si>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</si>
  <si>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</si>
  <si>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</si>
  <si>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</si>
  <si>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</si>
  <si>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</si>
  <si>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</si>
  <si>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</si>
  <si>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</si>
  <si>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</si>
  <si>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</si>
  <si>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</si>
  <si>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</si>
  <si>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</si>
  <si>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</si>
  <si>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</si>
  <si>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</si>
  <si>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</si>
  <si>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</si>
  <si>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</si>
  <si>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</si>
  <si>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</si>
  <si>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</si>
  <si>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</si>
  <si>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</si>
  <si>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</si>
  <si>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</si>
  <si>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</si>
  <si>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</si>
  <si>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</si>
  <si>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</si>
  <si>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</si>
  <si>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</si>
  <si>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</si>
  <si>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</si>
  <si>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</si>
  <si>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</si>
  <si>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</si>
  <si>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</si>
  <si>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</si>
  <si>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</si>
  <si>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</si>
  <si>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</si>
  <si>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</si>
  <si>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</si>
  <si>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</si>
  <si>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</si>
  <si>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</si>
  <si>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</si>
  <si>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</si>
  <si>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</si>
  <si>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</si>
  <si>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</si>
  <si>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</si>
  <si>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</si>
  <si>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</si>
  <si>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</si>
  <si>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</si>
  <si>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</si>
  <si>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</si>
  <si>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</si>
  <si>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</si>
  <si>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</si>
  <si>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</si>
  <si>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</si>
  <si>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</si>
  <si>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</si>
  <si>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</si>
  <si>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</si>
  <si>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</si>
  <si>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</si>
  <si>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</si>
  <si>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</si>
  <si>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</si>
  <si>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</si>
  <si>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</si>
  <si>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</si>
  <si>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</si>
  <si>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</si>
  <si>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</si>
  <si>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</si>
  <si>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</si>
  <si>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</si>
  <si>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</si>
  <si>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</si>
  <si>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</si>
  <si>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</si>
  <si>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</si>
  <si>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</si>
  <si>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</si>
  <si>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</si>
  <si>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</si>
  <si>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</si>
  <si>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</si>
  <si>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</si>
  <si>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</si>
  <si>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</si>
  <si>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</si>
  <si>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</si>
  <si>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</si>
  <si>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</si>
  <si>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</si>
  <si>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</si>
  <si>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</si>
  <si>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</si>
  <si>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</si>
  <si>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</si>
  <si>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</si>
  <si>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</si>
  <si>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</si>
  <si>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</si>
  <si>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</si>
  <si>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</si>
  <si>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</si>
  <si>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</si>
  <si>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</si>
  <si>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</si>
  <si>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</si>
  <si>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</si>
  <si>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</si>
  <si>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</si>
  <si>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</si>
  <si>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</si>
  <si>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</si>
  <si>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</si>
  <si>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</si>
  <si>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</si>
  <si>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</si>
  <si>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</si>
  <si>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</si>
  <si>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</si>
  <si>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</si>
  <si>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</si>
  <si>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</si>
  <si>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</si>
  <si>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</si>
  <si>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</si>
  <si>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</si>
  <si>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</si>
  <si>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</si>
  <si>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</si>
  <si>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</si>
  <si>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</si>
  <si>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</si>
  <si>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</si>
  <si>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</si>
  <si>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</si>
  <si>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</si>
  <si>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</si>
  <si>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</si>
  <si>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</si>
  <si>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</si>
  <si>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</si>
  <si>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</si>
  <si>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</si>
  <si>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</si>
  <si>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</si>
  <si>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</si>
  <si>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</si>
  <si>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</si>
  <si>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</si>
  <si>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</si>
  <si>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</si>
  <si>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</si>
  <si>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</si>
  <si>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</si>
  <si>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</si>
  <si>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</si>
  <si>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</si>
  <si>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</si>
  <si>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</si>
  <si>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</si>
  <si>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</si>
  <si>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</si>
  <si>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</si>
  <si>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</si>
  <si>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</si>
  <si>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</si>
  <si>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</si>
  <si>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</si>
  <si>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</si>
  <si>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</si>
  <si>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</si>
  <si>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</si>
  <si>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</si>
  <si>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</si>
  <si>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</si>
  <si>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</si>
  <si>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</si>
  <si>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</si>
  <si>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</si>
  <si>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</si>
  <si>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</si>
  <si>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</si>
  <si>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</si>
  <si>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</si>
  <si>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</si>
  <si>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</si>
  <si>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</si>
  <si>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</si>
  <si>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</si>
  <si>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</si>
  <si>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</si>
  <si>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</si>
  <si>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</si>
  <si>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</si>
  <si>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</si>
  <si>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</si>
  <si>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</si>
  <si>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</si>
  <si>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</si>
  <si>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</si>
  <si>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</si>
  <si>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</si>
  <si>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</si>
  <si>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</si>
  <si>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</si>
  <si>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</si>
  <si>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</si>
  <si>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</si>
  <si>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</si>
  <si>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</si>
  <si>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</si>
  <si>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</si>
  <si>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</si>
  <si>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</si>
  <si>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</si>
  <si>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</si>
  <si>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</si>
  <si>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</si>
  <si>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</si>
  <si>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</si>
  <si>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</si>
  <si>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</si>
  <si>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</si>
  <si>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</si>
  <si>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</si>
  <si>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</si>
  <si>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</si>
  <si>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</si>
  <si>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</si>
  <si>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</si>
  <si>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</si>
  <si>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</si>
  <si>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</si>
  <si>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</si>
  <si>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</si>
  <si>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</si>
  <si>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</si>
  <si>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</si>
  <si>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</si>
  <si>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</si>
  <si>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</si>
  <si>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</si>
  <si>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</si>
  <si>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</si>
  <si>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</si>
  <si>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</si>
  <si>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</si>
  <si>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</si>
  <si>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</si>
  <si>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</si>
  <si>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</si>
  <si>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</si>
  <si>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</si>
  <si>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</si>
  <si>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</si>
  <si>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</si>
  <si>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</si>
  <si>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</si>
  <si>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</si>
  <si>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</si>
  <si>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</si>
  <si>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</si>
  <si>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</si>
  <si>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</si>
  <si>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</si>
  <si>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</si>
  <si>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</si>
  <si>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</si>
  <si>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</si>
  <si>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</si>
  <si>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</si>
  <si>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</si>
  <si>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</si>
  <si>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</si>
  <si>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</si>
  <si>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</si>
  <si>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</si>
  <si>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</si>
  <si>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</si>
  <si>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</si>
  <si>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</si>
  <si>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</si>
  <si>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</si>
  <si>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</si>
  <si>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</si>
  <si>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</si>
  <si>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</si>
  <si>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</si>
  <si>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</si>
  <si>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</si>
  <si>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</si>
  <si>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</si>
  <si>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</si>
  <si>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</si>
  <si>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</si>
  <si>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</si>
  <si>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</si>
  <si>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</si>
  <si>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</si>
  <si>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</si>
  <si>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</si>
  <si>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</si>
  <si>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</si>
  <si>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</si>
  <si>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</si>
  <si>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</si>
  <si>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</si>
  <si>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</si>
  <si>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</si>
  <si>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</si>
  <si>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</si>
  <si>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</si>
  <si>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</si>
  <si>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</si>
  <si>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</si>
  <si>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</si>
  <si>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</si>
  <si>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</si>
  <si>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</si>
  <si>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</si>
  <si>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</si>
  <si>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</si>
  <si>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</si>
  <si>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</si>
  <si>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</si>
  <si>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</si>
  <si>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</si>
  <si>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</si>
  <si>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</si>
  <si>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</si>
  <si>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</si>
  <si>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</si>
  <si>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</si>
  <si>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</si>
  <si>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</si>
  <si>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</si>
  <si>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</si>
  <si>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</si>
  <si>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</si>
  <si>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</si>
  <si>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</si>
  <si>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</si>
  <si>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</si>
  <si>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</si>
  <si>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</si>
  <si>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</si>
  <si>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</si>
  <si>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</si>
  <si>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</si>
  <si>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</si>
  <si>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</si>
  <si>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</si>
  <si>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</si>
  <si>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</si>
  <si>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</si>
  <si>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</si>
  <si>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</si>
  <si>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</si>
  <si>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</si>
  <si>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</si>
  <si>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</si>
  <si>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</si>
  <si>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</si>
  <si>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</si>
  <si>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</si>
  <si>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</si>
  <si>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</si>
  <si>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</si>
  <si>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</si>
  <si>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</si>
  <si>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</si>
  <si>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</si>
  <si>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</si>
  <si>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</si>
  <si>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</si>
  <si>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</si>
  <si>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</si>
  <si>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</si>
  <si>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</si>
  <si>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</si>
  <si>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</si>
  <si>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</si>
  <si>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</si>
  <si>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</si>
  <si>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</si>
  <si>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</si>
  <si>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</si>
  <si>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</si>
  <si>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</si>
  <si>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</si>
  <si>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</si>
  <si>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</si>
  <si>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</si>
  <si>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</si>
  <si>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</si>
  <si>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</si>
  <si>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</si>
  <si>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</si>
  <si>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</si>
  <si>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</si>
  <si>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</si>
  <si>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</si>
  <si>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</si>
  <si>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</si>
  <si>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</si>
  <si>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</si>
  <si>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</si>
  <si>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</si>
  <si>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</si>
  <si>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</si>
  <si>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</si>
  <si>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</si>
  <si>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</si>
  <si>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</si>
  <si>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</si>
  <si>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</si>
  <si>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</si>
  <si>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</si>
  <si>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</si>
  <si>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</si>
  <si>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</si>
  <si>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</si>
  <si>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</si>
  <si>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</si>
  <si>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</si>
  <si>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</si>
  <si>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</si>
  <si>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</si>
  <si>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</si>
  <si>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</si>
  <si>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</si>
  <si>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</si>
  <si>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</si>
  <si>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</si>
  <si>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</si>
  <si>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</si>
  <si>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</si>
  <si>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</si>
  <si>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</si>
  <si>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</si>
  <si>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</si>
  <si>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</si>
  <si>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</si>
  <si>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</si>
  <si>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</si>
  <si>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</si>
  <si>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</si>
  <si>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</si>
  <si>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</si>
  <si>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</si>
  <si>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</si>
  <si>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</si>
  <si>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</si>
  <si>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</si>
  <si>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</si>
  <si>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</si>
  <si>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</si>
  <si>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</si>
  <si>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</si>
  <si>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</si>
  <si>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</si>
  <si>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</si>
  <si>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</si>
  <si>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</si>
  <si>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</si>
  <si>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</si>
  <si>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</si>
  <si>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</si>
  <si>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</si>
  <si>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</si>
  <si>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</si>
  <si>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</si>
  <si>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</si>
  <si>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</si>
  <si>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</si>
  <si>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</si>
  <si>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</si>
  <si>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</si>
  <si>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</si>
  <si>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</si>
  <si>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</si>
  <si>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</si>
  <si>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</si>
  <si>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</si>
  <si>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</si>
  <si>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</si>
  <si>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</si>
  <si>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</si>
  <si>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</si>
  <si>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</si>
  <si>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</si>
  <si>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</si>
  <si>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</si>
  <si>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</si>
  <si>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</si>
  <si>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</si>
  <si>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</si>
  <si>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</si>
  <si>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</si>
  <si>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</si>
  <si>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</si>
  <si>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</si>
  <si>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</si>
  <si>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</si>
  <si>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</si>
  <si>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</si>
  <si>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</si>
  <si>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</si>
  <si>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</si>
  <si>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</si>
  <si>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</si>
  <si>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</si>
  <si>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</si>
  <si>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</si>
  <si>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</si>
  <si>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</si>
  <si>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</si>
  <si>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</si>
  <si>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</si>
  <si>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</si>
  <si>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</si>
  <si>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</si>
  <si>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</si>
  <si>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</si>
  <si>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</si>
  <si>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</si>
  <si>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</si>
  <si>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</si>
  <si>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</si>
  <si>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</si>
  <si>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</si>
  <si>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</si>
  <si>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</si>
  <si>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</si>
  <si>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</si>
  <si>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</si>
  <si>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</si>
  <si>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</si>
  <si>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</si>
  <si>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</si>
  <si>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</si>
  <si>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</si>
  <si>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</si>
  <si>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</si>
  <si>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</si>
  <si>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</si>
  <si>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</si>
  <si>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</si>
  <si>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</si>
  <si>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</si>
  <si>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</si>
  <si>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</si>
  <si>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</si>
  <si>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</si>
  <si>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</si>
  <si>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</si>
  <si>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</si>
  <si>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</si>
  <si>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</si>
  <si>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</si>
  <si>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</si>
  <si>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</si>
  <si>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</si>
  <si>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</si>
  <si>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</si>
  <si>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</si>
  <si>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</si>
  <si>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</si>
  <si>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</si>
  <si>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</si>
  <si>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</si>
  <si>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</si>
  <si>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</si>
  <si>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</si>
  <si>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</si>
  <si>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</si>
  <si>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</si>
  <si>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</si>
  <si>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</si>
  <si>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</si>
  <si>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</si>
  <si>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</si>
  <si>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</si>
  <si>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</si>
  <si>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</si>
  <si>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</si>
  <si>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</si>
  <si>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</si>
  <si>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</si>
  <si>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</si>
  <si>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</si>
  <si>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</si>
  <si>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</si>
  <si>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</si>
  <si>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</si>
  <si>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</si>
  <si>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</si>
  <si>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</si>
  <si>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</si>
  <si>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</si>
  <si>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</si>
  <si>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</si>
  <si>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</si>
  <si>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</si>
  <si>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</si>
  <si>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</si>
  <si>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</si>
  <si>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</si>
  <si>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</si>
  <si>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</si>
  <si>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</si>
  <si>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</si>
  <si>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</si>
  <si>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</si>
  <si>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</si>
  <si>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</si>
  <si>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</si>
  <si>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</si>
  <si>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</si>
  <si>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</si>
  <si>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</si>
  <si>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</si>
  <si>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</si>
  <si>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</si>
  <si>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</si>
  <si>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</si>
  <si>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</si>
  <si>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</si>
  <si>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</si>
  <si>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</si>
  <si>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</si>
  <si>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</si>
  <si>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</si>
  <si>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</si>
  <si>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</si>
  <si>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</si>
  <si>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</si>
  <si>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</si>
  <si>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</si>
  <si>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</si>
  <si>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</si>
  <si>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</si>
  <si>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</si>
  <si>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</si>
  <si>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</si>
  <si>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</si>
  <si>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</si>
  <si>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</si>
  <si>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</si>
  <si>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</si>
  <si>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</si>
  <si>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</si>
  <si>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</si>
  <si>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</si>
  <si>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</si>
  <si>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</si>
  <si>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</si>
  <si>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</si>
  <si>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</si>
  <si>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</si>
  <si>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</si>
  <si>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</si>
  <si>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</si>
  <si>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</si>
  <si>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</si>
  <si>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</si>
  <si>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</si>
  <si>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</si>
  <si>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</si>
  <si>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</si>
  <si>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</si>
  <si>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</si>
  <si>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</si>
  <si>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</si>
  <si>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</si>
  <si>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</si>
  <si>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</si>
  <si>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</si>
  <si>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</si>
  <si>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</si>
  <si>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</si>
  <si>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</si>
  <si>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</si>
  <si>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</si>
  <si>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</si>
  <si>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</si>
  <si>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</si>
  <si>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</si>
  <si>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</si>
  <si>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</si>
  <si>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</si>
  <si>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</si>
  <si>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</si>
  <si>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</si>
  <si>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</si>
  <si>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</si>
  <si>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</si>
  <si>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</si>
  <si>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</si>
  <si>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</si>
  <si>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</si>
  <si>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</si>
  <si>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</si>
  <si>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</si>
  <si>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</si>
  <si>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</si>
  <si>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</si>
  <si>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</si>
  <si>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</si>
  <si>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</si>
  <si>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</si>
  <si>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</si>
  <si>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</si>
  <si>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</si>
  <si>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</si>
  <si>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</si>
  <si>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</si>
  <si>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</si>
  <si>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</si>
  <si>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</si>
  <si>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</si>
  <si>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</si>
  <si>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</si>
  <si>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</si>
  <si>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</si>
  <si>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</si>
  <si>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</si>
  <si>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</si>
  <si>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</si>
  <si>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</si>
  <si>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</si>
  <si>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</si>
  <si>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</si>
  <si>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</si>
  <si>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</si>
  <si>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</si>
  <si>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</si>
  <si>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</si>
  <si>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</si>
  <si>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</si>
  <si>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</si>
  <si>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</si>
  <si>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</si>
  <si>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</si>
  <si>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</si>
  <si>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</si>
  <si>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</si>
  <si>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</si>
  <si>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</si>
  <si>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</si>
  <si>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</si>
  <si>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</si>
  <si>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</si>
  <si>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</si>
  <si>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</si>
  <si>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</si>
  <si>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</si>
  <si>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</si>
  <si>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</si>
  <si>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</si>
  <si>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</si>
  <si>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</si>
  <si>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</si>
  <si>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</si>
  <si>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</si>
  <si>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</si>
  <si>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</si>
  <si>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</si>
  <si>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</si>
  <si>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</si>
  <si>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</si>
  <si>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</si>
  <si>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</si>
  <si>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</si>
  <si>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</si>
  <si>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</si>
  <si>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</si>
  <si>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</si>
  <si>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</si>
  <si>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</si>
  <si>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</si>
  <si>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</si>
  <si>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</si>
  <si>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</si>
  <si>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</si>
  <si>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</si>
  <si>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</si>
  <si>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</si>
  <si>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</si>
  <si>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</si>
  <si>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</si>
  <si>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</si>
  <si>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</si>
  <si>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</si>
  <si>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</si>
  <si>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</si>
  <si>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</si>
  <si>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</si>
  <si>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</si>
  <si>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</si>
  <si>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</si>
  <si>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</si>
  <si>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</si>
  <si>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</si>
  <si>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</si>
  <si>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</si>
  <si>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</si>
  <si>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</si>
  <si>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</si>
  <si>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</si>
  <si>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</si>
  <si>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</si>
  <si>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</si>
  <si>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</si>
  <si>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</si>
  <si>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</si>
  <si>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</si>
  <si>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</si>
  <si>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</si>
  <si>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</si>
  <si>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</si>
  <si>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</si>
  <si>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</si>
  <si>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</si>
  <si>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</si>
  <si>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</si>
  <si>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</si>
  <si>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</si>
  <si>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</si>
  <si>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</si>
  <si>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</si>
  <si>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</si>
  <si>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</si>
  <si>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</si>
  <si>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</si>
  <si>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</si>
  <si>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</si>
  <si>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</si>
  <si>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</si>
  <si>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</si>
  <si>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</si>
  <si>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</si>
  <si>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</si>
  <si>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</si>
  <si>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</si>
  <si>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</si>
  <si>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</si>
  <si>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</si>
  <si>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</si>
  <si>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</si>
  <si>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</si>
  <si>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</si>
  <si>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</si>
  <si>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</si>
  <si>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</si>
  <si>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</si>
  <si>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</si>
  <si>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</si>
  <si>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</si>
  <si>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</si>
  <si>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</si>
  <si>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</si>
  <si>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</si>
  <si>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</si>
  <si>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</si>
  <si>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</si>
  <si>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</si>
  <si>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</si>
  <si>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</si>
  <si>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</si>
  <si>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</si>
  <si>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</si>
  <si>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</si>
  <si>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</si>
  <si>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</si>
  <si>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</si>
  <si>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</si>
  <si>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</si>
  <si>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</si>
  <si>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</si>
  <si>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</si>
  <si>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</si>
  <si>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</si>
  <si>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</si>
  <si>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</si>
  <si>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</si>
  <si>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</si>
  <si>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</si>
  <si>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</si>
  <si>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</si>
  <si>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</si>
  <si>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</si>
  <si>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</si>
  <si>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</si>
  <si>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</si>
  <si>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</si>
  <si>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</si>
  <si>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</si>
  <si>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</si>
  <si>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</si>
  <si>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</si>
  <si>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</si>
  <si>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</si>
  <si>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</si>
  <si>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</si>
  <si>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</si>
  <si>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</si>
  <si>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</si>
  <si>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</si>
  <si>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</si>
  <si>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</si>
  <si>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</si>
  <si>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</si>
  <si>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</si>
  <si>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</si>
  <si>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</si>
  <si>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</si>
  <si>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</si>
  <si>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</si>
  <si>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</si>
  <si>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</si>
  <si>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</si>
  <si>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</si>
  <si>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</si>
  <si>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</si>
  <si>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</si>
  <si>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</si>
  <si>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</si>
  <si>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</si>
  <si>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</si>
  <si>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</si>
  <si>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</si>
  <si>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</si>
  <si>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</si>
  <si>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</si>
  <si>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</si>
  <si>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</si>
  <si>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</si>
  <si>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</si>
  <si>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</si>
  <si>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</si>
  <si>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</si>
  <si>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</si>
  <si>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</si>
  <si>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</si>
  <si>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</si>
  <si>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</si>
  <si>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</si>
  <si>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</si>
  <si>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</si>
  <si>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</si>
  <si>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</si>
  <si>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</si>
  <si>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</si>
  <si>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</si>
  <si>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</si>
  <si>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</si>
  <si>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</si>
  <si>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</si>
  <si>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</si>
  <si>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</si>
  <si>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</si>
  <si>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</si>
  <si>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</si>
  <si>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</si>
  <si>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</si>
  <si>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</si>
  <si>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</si>
  <si>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</si>
  <si>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</si>
  <si>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</si>
  <si>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</si>
  <si>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</si>
  <si>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</si>
  <si>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</si>
  <si>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</si>
  <si>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</si>
  <si>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</si>
  <si>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</si>
  <si>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</si>
  <si>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</si>
  <si>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</si>
  <si>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</si>
  <si>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</si>
  <si>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</si>
  <si>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</si>
  <si>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</si>
  <si>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</si>
  <si>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</si>
  <si>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</si>
  <si>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</si>
  <si>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</si>
  <si>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</si>
  <si>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</si>
  <si>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</si>
  <si>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</si>
  <si>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</si>
  <si>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</si>
  <si>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</si>
  <si>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</si>
  <si>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</si>
  <si>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</si>
  <si>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</si>
  <si>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</si>
  <si>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</si>
  <si>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</si>
  <si>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</si>
  <si>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</si>
  <si>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</si>
  <si>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</si>
  <si>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</si>
  <si>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</si>
  <si>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</si>
  <si>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</si>
  <si>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</si>
  <si>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</si>
  <si>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</si>
  <si>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</si>
  <si>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</si>
  <si>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</si>
  <si>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</si>
  <si>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</si>
  <si>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</si>
  <si>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</si>
  <si>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</si>
  <si>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</si>
  <si>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</si>
  <si>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</si>
  <si>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</si>
  <si>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</si>
  <si>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</si>
  <si>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</si>
  <si>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</si>
  <si>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</si>
  <si>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</si>
  <si>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</si>
  <si>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</si>
  <si>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</si>
  <si>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</si>
  <si>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</si>
  <si>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</si>
  <si>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</si>
  <si>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</si>
  <si>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</si>
  <si>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</si>
  <si>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</si>
  <si>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</si>
  <si>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</si>
  <si>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</si>
  <si>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</si>
  <si>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</si>
  <si>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</si>
  <si>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</si>
  <si>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</si>
  <si>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</si>
  <si>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</si>
  <si>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</si>
  <si>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</si>
  <si>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</si>
  <si>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</si>
  <si>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</si>
  <si>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</si>
  <si>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</si>
  <si>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</si>
  <si>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</si>
  <si>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</si>
  <si>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</si>
  <si>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</si>
  <si>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</si>
  <si>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</si>
  <si>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</si>
  <si>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</si>
  <si>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</si>
  <si>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</si>
  <si>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</si>
  <si>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</si>
  <si>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</si>
  <si>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</si>
  <si>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</si>
  <si>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</si>
  <si>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</si>
  <si>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</si>
  <si>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</si>
  <si>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</si>
  <si>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</si>
  <si>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</si>
  <si>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</si>
  <si>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</si>
  <si>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</si>
  <si>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</si>
  <si>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</si>
  <si>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</si>
  <si>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</si>
  <si>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</si>
  <si>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</si>
  <si>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</si>
  <si>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</si>
  <si>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</si>
  <si>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</si>
  <si>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</si>
  <si>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</si>
  <si>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</si>
  <si>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</si>
  <si>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</si>
  <si>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</si>
  <si>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</si>
  <si>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</si>
  <si>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</si>
  <si>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</si>
  <si>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</si>
  <si>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</si>
  <si>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</si>
  <si>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</si>
  <si>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</si>
  <si>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</si>
  <si>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</si>
  <si>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</si>
  <si>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</si>
  <si>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</si>
  <si>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</si>
  <si>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</si>
  <si>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</si>
  <si>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</si>
  <si>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</si>
  <si>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</si>
  <si>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</si>
  <si>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</si>
  <si>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</si>
  <si>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</si>
  <si>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</si>
  <si>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</si>
  <si>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</si>
  <si>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</si>
  <si>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</si>
  <si>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</si>
  <si>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</si>
  <si>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</si>
  <si>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</si>
  <si>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</si>
  <si>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</si>
  <si>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</si>
  <si>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</si>
  <si>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</si>
  <si>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</si>
  <si>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</si>
  <si>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</si>
  <si>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</si>
  <si>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</si>
  <si>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</si>
  <si>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</si>
  <si>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</si>
  <si>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</si>
  <si>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</si>
  <si>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</si>
  <si>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</si>
  <si>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</si>
  <si>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</si>
  <si>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</si>
  <si>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</si>
  <si>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</si>
  <si>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</si>
  <si>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</si>
  <si>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</si>
  <si>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</si>
  <si>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</si>
  <si>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</si>
  <si>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</si>
  <si>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</si>
  <si>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</si>
  <si>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</si>
  <si>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</si>
  <si>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</si>
  <si>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</si>
  <si>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</si>
  <si>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</si>
  <si>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</si>
  <si>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</si>
  <si>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</si>
  <si>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</si>
  <si>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</si>
  <si>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</si>
  <si>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</si>
  <si>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</si>
  <si>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</si>
  <si>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</si>
  <si>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</si>
  <si>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</si>
  <si>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</si>
  <si>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</si>
  <si>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</si>
  <si>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</si>
  <si>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</si>
  <si>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</si>
  <si>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</si>
  <si>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</si>
  <si>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</si>
  <si>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</si>
  <si>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</si>
  <si>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</si>
  <si>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</si>
  <si>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</si>
  <si>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</si>
  <si>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</si>
  <si>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</si>
  <si>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</si>
  <si>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</si>
  <si>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</si>
  <si>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</si>
  <si>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</si>
  <si>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</si>
  <si>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</si>
  <si>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</si>
  <si>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</si>
  <si>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</si>
  <si>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</si>
  <si>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</si>
  <si>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</si>
  <si>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</si>
  <si>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</si>
  <si>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</si>
  <si>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</si>
  <si>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</si>
  <si>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</si>
  <si>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</si>
  <si>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</si>
  <si>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</si>
  <si>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</si>
  <si>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</si>
  <si>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</si>
  <si>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</si>
  <si>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</si>
  <si>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</si>
  <si>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</si>
  <si>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</si>
  <si>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</si>
  <si>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</si>
  <si>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</si>
  <si>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</si>
  <si>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</si>
  <si>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</si>
  <si>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</si>
  <si>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</si>
  <si>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</si>
  <si>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</si>
  <si>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</si>
  <si>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</si>
  <si>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</si>
  <si>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</si>
  <si>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</si>
  <si>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</si>
  <si>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</si>
  <si>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</si>
  <si>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</si>
  <si>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</si>
  <si>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</si>
  <si>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</si>
  <si>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</si>
  <si>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</si>
  <si>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</si>
  <si>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</si>
  <si>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</si>
  <si>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</si>
  <si>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</si>
  <si>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</si>
  <si>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</si>
  <si>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</si>
  <si>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</si>
  <si>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</si>
  <si>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</si>
  <si>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</si>
  <si>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</si>
  <si>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</si>
  <si>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</si>
  <si>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</si>
  <si>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</si>
  <si>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</si>
  <si>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</si>
  <si>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</si>
  <si>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</si>
  <si>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</si>
  <si>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</si>
  <si>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</si>
  <si>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</si>
  <si>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</si>
  <si>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</si>
  <si>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</si>
  <si>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</si>
  <si>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</si>
  <si>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</si>
  <si>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</si>
  <si>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</si>
  <si>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</si>
  <si>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</si>
  <si>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</si>
  <si>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</si>
  <si>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</si>
  <si>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</si>
  <si>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</si>
  <si>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</si>
  <si>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</si>
  <si>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</si>
  <si>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</si>
  <si>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</si>
  <si>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</si>
  <si>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</si>
  <si>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</si>
  <si>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</si>
  <si>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</si>
  <si>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</si>
  <si>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</si>
  <si>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</si>
  <si>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</si>
  <si>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</si>
  <si>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</si>
  <si>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</si>
  <si>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</si>
  <si>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</si>
  <si>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</si>
  <si>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</si>
  <si>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</si>
  <si>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</si>
  <si>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</si>
  <si>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</si>
  <si>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</si>
  <si>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</si>
  <si>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</si>
  <si>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</si>
  <si>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</si>
  <si>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</si>
  <si>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</si>
  <si>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</si>
  <si>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</si>
  <si>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</si>
  <si>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</si>
  <si>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</si>
  <si>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</si>
  <si>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</si>
  <si>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</si>
  <si>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</si>
  <si>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</si>
  <si>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</si>
  <si>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</si>
  <si>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</si>
  <si>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</si>
  <si>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</si>
  <si>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</si>
  <si>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</si>
  <si>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</si>
  <si>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</si>
  <si>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</si>
  <si>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</si>
  <si>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</si>
  <si>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</si>
  <si>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</si>
  <si>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</si>
  <si>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</si>
  <si>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</si>
  <si>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</si>
  <si>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</si>
  <si>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</si>
  <si>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</si>
  <si>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</si>
  <si>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RC CARD - YOUNIS</t>
  </si>
  <si>
    <t>FITMENT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</si>
  <si>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</si>
  <si>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</si>
  <si>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</si>
  <si>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</si>
  <si>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</si>
  <si>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</si>
  <si>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</si>
  <si>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</si>
  <si>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</si>
  <si>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</si>
  <si>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</si>
  <si>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</si>
  <si>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</si>
  <si>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</si>
  <si>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</si>
  <si>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</si>
  <si>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</si>
  <si>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</si>
  <si>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</si>
  <si>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</si>
  <si>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</si>
  <si>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</si>
  <si>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</si>
  <si>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</si>
  <si>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</si>
  <si>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</si>
  <si>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</si>
  <si>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</si>
  <si>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</si>
  <si>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</si>
  <si>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</si>
  <si>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</si>
  <si>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</si>
  <si>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</si>
  <si>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</si>
  <si>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</si>
  <si>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</si>
  <si>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</si>
  <si>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</si>
  <si>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</si>
  <si>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</si>
  <si>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</si>
  <si>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</si>
  <si>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</si>
  <si>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</si>
  <si>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</si>
  <si>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</si>
  <si>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</si>
  <si>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</si>
  <si>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</si>
  <si>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</si>
  <si>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</si>
  <si>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</si>
  <si>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</si>
  <si>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</si>
  <si>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</si>
  <si>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</si>
  <si>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</si>
  <si>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</si>
  <si>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</si>
  <si>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</si>
  <si>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</si>
  <si>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</si>
  <si>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</si>
  <si>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</si>
  <si>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</si>
  <si>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BH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</si>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</sst>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2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00" totalsRowShown="0" headerRowDxfId="83" dataDxfId="82">
  <autoFilter ref="A1:R800" xr:uid="{97E63F84-BDFB-4C38-B1FD-28318E0D1D3F}"/>
  <tableColumns count="18">
    <tableColumn id="1" xr3:uid="{DEBB3640-E433-4779-93BC-95B8FB492623}" name="S.NO" dataDxfId="81">
      <calculatedColumnFormula>ROW()-1</calculatedColumnFormula>
    </tableColumn>
    <tableColumn id="13" xr3:uid="{86C56767-9BFE-4154-9FC1-CEA7C183815E}" name="APPLICATION NO." dataDxfId="80"/>
    <tableColumn id="2" xr3:uid="{6ABB4EDF-0F58-40D7-979C-D37D8D91A6BC}" name="CHASSIS" dataDxfId="79"/>
    <tableColumn id="17" xr3:uid="{0BBF5E4D-B8B0-4055-8D5F-3A6BB4D4A4DA}" name="ENGINE NO." dataDxfId="78"/>
    <tableColumn id="3" xr3:uid="{285CC4F4-4CD1-4FFC-A101-ED051DA40438}" name="NAME" dataDxfId="77"/>
    <tableColumn id="4" xr3:uid="{28DC8B59-EFA0-4502-86B0-033B0B60D615}" name="MODEL" dataDxfId="76"/>
    <tableColumn id="14" xr3:uid="{B25F5A6A-3B72-4772-B75C-D86670F35131}" name="COLOR" dataDxfId="75"/>
    <tableColumn id="15" xr3:uid="{22F5E9AE-FC4E-4EBD-ADBF-5C93F85B331F}" name="RTO" dataDxfId="74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3"/>
    <tableColumn id="6" xr3:uid="{9942893D-0703-456F-8072-CD136C7B4052}" name="DATE OF REG" dataDxfId="72"/>
    <tableColumn id="12" xr3:uid="{CC83ADC7-1924-4CE0-83FB-B2DFBEF7A193}" name="CONTACT" dataDxfId="71"/>
    <tableColumn id="7" xr3:uid="{3AD2B0D9-D7A5-46E0-B596-F6B7F1CDDEA6}" name="DSE" dataDxfId="70"/>
    <tableColumn id="8" xr3:uid="{475221AE-3FDC-4CED-B76C-4DA1DD4F8AD9}" name="RC RECEIVED BY" dataDxfId="69"/>
    <tableColumn id="9" xr3:uid="{F594ED7D-6966-47AC-A5C3-25754B73A3CC}" name="DATE" dataDxfId="68"/>
    <tableColumn id="10" xr3:uid="{452E3ECD-E927-4EC7-A8A2-4A866233750E}" name="FASTTAG" dataDxfId="67"/>
    <tableColumn id="11" xr3:uid="{CFEE5573-D700-4B26-B382-BCA8210C54C2}" name="DATED" dataDxfId="66"/>
    <tableColumn id="16" xr3:uid="{07363D0C-2FBE-403B-A617-BDB5768FAC43}" name="FT STATUS" dataDxfId="65"/>
    <tableColumn id="19" xr3:uid="{9456CF5E-F4D1-41FB-BAEA-332735A8583D}" name="REMARKS" dataDxfId="6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3" dataDxfId="61" headerRowBorderDxfId="62" tableBorderDxfId="60">
  <autoFilter ref="A1:U1475" xr:uid="{D370B51C-D08F-47BE-AAB1-EC19B1CB5D0A}"/>
  <tableColumns count="21">
    <tableColumn id="1" xr3:uid="{F2AB5776-2910-4922-8F7A-A29B241AFBFB}" name="S.NO" dataDxfId="59"/>
    <tableColumn id="2" xr3:uid="{BD6FD91D-E737-4D6A-B00A-D80EC1A61CA8}" name="DATE" dataDxfId="58"/>
    <tableColumn id="3" xr3:uid="{523BFE7D-9361-4DD0-92B3-69A6F8F0C3E9}" name="CUSTOMER NAME" dataDxfId="57"/>
    <tableColumn id="4" xr3:uid="{D470DE80-5E84-419F-ABF9-6269311CD45E}" name="MARUTI" dataDxfId="56"/>
    <tableColumn id="5" xr3:uid="{89C10B6F-C9EE-4AD2-A610-262BFCF29B4E}" name="MODEL OR VARIANT" dataDxfId="55"/>
    <tableColumn id="6" xr3:uid="{9CB69D3E-706F-4EED-A315-D5399BE00D5C}" name="RTO" dataDxfId="54"/>
    <tableColumn id="7" xr3:uid="{2FB81954-C8D6-43B3-92E2-574B07BBFCCB}" name="VEHICLE CLASS" dataDxfId="53"/>
    <tableColumn id="8" xr3:uid="{1892A735-1187-4E6C-8786-9B173567AAD2}" name="REG. NO" dataDxfId="52"/>
    <tableColumn id="9" xr3:uid="{AFB37B1C-50E7-42BE-BC49-27B4D7E4E829}" name="VIN" dataDxfId="51"/>
    <tableColumn id="10" xr3:uid="{A3569458-1056-4E90-B079-94E3430A5743}" name="APPLICATION NO." dataDxfId="50"/>
    <tableColumn id="11" xr3:uid="{E25E7D92-4EC4-485D-93B8-A15B0538604A}" name="RTO AMMOUNT " dataDxfId="49"/>
    <tableColumn id="12" xr3:uid="{DB89535A-8F36-4EF8-B62C-86ABB378F51F}" name="HSRP" dataDxfId="48"/>
    <tableColumn id="13" xr3:uid="{6BD25826-954F-49C4-BE9E-24422B1B85BE}" name="ACCOUNT" dataDxfId="47"/>
    <tableColumn id="14" xr3:uid="{974951AE-D99C-487A-9DB5-065DA8DD25D4}" name="RM NAME" dataDxfId="46"/>
    <tableColumn id="15" xr3:uid="{FA4014CD-BE60-4554-9D6D-C0CC54B2CA05}" name="PAYMENT MODE" dataDxfId="45"/>
    <tableColumn id="16" xr3:uid="{84C48B22-72C9-4BD7-86AD-D8ECD87C3A64}" name="FILE PUNCHED BY" dataDxfId="44"/>
    <tableColumn id="17" xr3:uid="{87E46E14-6F6C-41D4-BBF8-CEAFAFE4CA8F}" name="PAYMENT ID" dataDxfId="43"/>
    <tableColumn id="18" xr3:uid="{0F2CD467-C868-4769-B436-AE2A25413B52}" name="RC STATUS" dataDxfId="42"/>
    <tableColumn id="19" xr3:uid="{0A9FDBF9-6418-4F2B-8B46-BE05C8150A04}" name="RC GIVEN DATE" dataDxfId="41"/>
    <tableColumn id="20" xr3:uid="{3A50F2B6-47D6-4A09-AA43-188FC568EA57}" name="FASTTAG ISSUE" dataDxfId="40"/>
    <tableColumn id="21" xr3:uid="{E4802D5D-D65F-42D3-B57E-E27729185964}" name="FASTTAG ISSUE DATE 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20" totalsRowShown="0" headerRowDxfId="38" dataDxfId="37">
  <autoFilter ref="A2:H52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6"/>
    <tableColumn id="11" xr3:uid="{7AA66E15-5D81-45A6-A480-BC2F7EFDEB4C}" name="Name" dataDxfId="35"/>
    <tableColumn id="10" xr3:uid="{DA1D923C-25B3-4F76-823C-435E6464FF55}" name="Contact" dataDxfId="34"/>
    <tableColumn id="2" xr3:uid="{5FEBD558-5EB7-4421-BA25-DCAC1134B168}" name="Barcode No." dataDxfId="33"/>
    <tableColumn id="12" xr3:uid="{77758C8B-F2C8-47C0-B104-570729F9693B}" name="Reg Num" dataDxfId="32"/>
    <tableColumn id="5" xr3:uid="{9AC97A3F-3009-4A59-ACCF-A178780E6F61}" name="Date" dataDxfId="31"/>
    <tableColumn id="7" xr3:uid="{82C8F4C5-8489-4228-83CC-0B9666328CDD}" name="CHANNEL" dataDxfId="30"/>
    <tableColumn id="8" xr3:uid="{DDF1FC61-A0D6-46E9-9515-6DDC5AB1E932}" name="Status" dataDxfId="2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28" dataDxfId="27">
  <autoFilter ref="A2:I9" xr:uid="{74ED0DA7-B29F-4043-B63E-2DC322D6021E}"/>
  <tableColumns count="9">
    <tableColumn id="1" xr3:uid="{245016D5-DEB3-4F3E-B449-3096C2EF947B}" name="S.No." dataDxfId="26">
      <calculatedColumnFormula>ROW()-2</calculatedColumnFormula>
    </tableColumn>
    <tableColumn id="2" xr3:uid="{77ED4F47-8FDC-4F18-AB35-3830D899313B}" name="Dated" dataDxfId="25"/>
    <tableColumn id="3" xr3:uid="{67393A8B-58A2-4A4E-AA68-362B9B4F4E28}" name="Vehicle Num." dataDxfId="24"/>
    <tableColumn id="4" xr3:uid="{2C031EFD-E44B-468B-BEF0-3C97412F5E2E}" name="Name" dataDxfId="23"/>
    <tableColumn id="5" xr3:uid="{73873638-799E-44F5-B857-93DAE5E0F2FF}" name="Payment Mode" dataDxfId="22"/>
    <tableColumn id="6" xr3:uid="{BFB6E8F7-43C7-4B39-8FF0-E41A5EA5B2D3}" name="Trans Id." dataDxfId="21"/>
    <tableColumn id="8" xr3:uid="{3B1BF0B9-13BC-4A4E-B215-A3056576D199}" name="Trans. Date" dataDxfId="20"/>
    <tableColumn id="9" xr3:uid="{F64CF3FC-8352-46AE-80D1-01DDCE0247AC}" name="Amount" dataDxfId="19"/>
    <tableColumn id="7" xr3:uid="{22AF1F96-D5EA-48BA-A958-A42C203B5287}" name="Remark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968"/>
  <sheetViews>
    <sheetView tabSelected="1" topLeftCell="A789" zoomScaleNormal="100" workbookViewId="0">
      <selection activeCell="I798" sqref="I79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6451</v>
      </c>
      <c r="C82" s="21" t="s">
        <v>6448</v>
      </c>
      <c r="D82" s="21" t="s">
        <v>6712</v>
      </c>
      <c r="E82" s="21" t="s">
        <v>6450</v>
      </c>
      <c r="F82" s="21" t="s">
        <v>98</v>
      </c>
      <c r="G82" s="21" t="s">
        <v>197</v>
      </c>
      <c r="H82" s="21" t="str">
        <f t="shared" si="3"/>
        <v>SHOPIAN</v>
      </c>
      <c r="I82" s="21" t="s">
        <v>6449</v>
      </c>
      <c r="J82" s="22">
        <v>45976</v>
      </c>
      <c r="K82" s="21">
        <v>6005447751</v>
      </c>
      <c r="L82" s="21" t="s">
        <v>6452</v>
      </c>
      <c r="M82" s="23" t="s">
        <v>6720</v>
      </c>
      <c r="N82" s="22">
        <v>45994</v>
      </c>
      <c r="O82" s="21" t="s">
        <v>23</v>
      </c>
      <c r="P82" s="24">
        <v>45994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10669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10668</v>
      </c>
      <c r="J95" s="22">
        <v>45979</v>
      </c>
      <c r="K95" s="21">
        <v>9419687942</v>
      </c>
      <c r="L95" s="21" t="s">
        <v>47</v>
      </c>
      <c r="M95" s="23" t="s">
        <v>10872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6553</v>
      </c>
      <c r="C106" s="21" t="s">
        <v>6556</v>
      </c>
      <c r="D106" s="21"/>
      <c r="E106" s="21" t="s">
        <v>6557</v>
      </c>
      <c r="F106" s="21" t="s">
        <v>98</v>
      </c>
      <c r="G106" s="21" t="s">
        <v>197</v>
      </c>
      <c r="H106" s="21" t="str">
        <f t="shared" si="3"/>
        <v>SHOPIAN</v>
      </c>
      <c r="I106" s="21" t="s">
        <v>6560</v>
      </c>
      <c r="J106" s="22">
        <v>45981</v>
      </c>
      <c r="K106" s="21">
        <v>9906463872</v>
      </c>
      <c r="L106" s="21" t="s">
        <v>6564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6575</v>
      </c>
      <c r="C109" s="21" t="s">
        <v>6572</v>
      </c>
      <c r="D109" s="21" t="s">
        <v>6703</v>
      </c>
      <c r="E109" s="21" t="s">
        <v>6573</v>
      </c>
      <c r="F109" s="21" t="s">
        <v>116</v>
      </c>
      <c r="G109" s="21" t="s">
        <v>172</v>
      </c>
      <c r="H109" s="21" t="str">
        <f t="shared" si="3"/>
        <v>PULWAMA</v>
      </c>
      <c r="I109" s="21" t="s">
        <v>6577</v>
      </c>
      <c r="J109" s="22">
        <v>45982</v>
      </c>
      <c r="K109" s="21">
        <v>8825052137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6588</v>
      </c>
      <c r="C113" s="21" t="s">
        <v>6590</v>
      </c>
      <c r="D113" s="21"/>
      <c r="E113" s="21" t="s">
        <v>6589</v>
      </c>
      <c r="F113" s="21" t="s">
        <v>12</v>
      </c>
      <c r="G113" s="21" t="s">
        <v>171</v>
      </c>
      <c r="H113" s="21" t="str">
        <f t="shared" si="3"/>
        <v>SHOPIAN</v>
      </c>
      <c r="I113" s="21" t="s">
        <v>6595</v>
      </c>
      <c r="J113" s="22">
        <v>45983</v>
      </c>
      <c r="K113" s="21">
        <v>7006164327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6587</v>
      </c>
      <c r="C114" s="21" t="s">
        <v>6592</v>
      </c>
      <c r="D114" s="21"/>
      <c r="E114" s="21" t="s">
        <v>6215</v>
      </c>
      <c r="F114" s="21" t="s">
        <v>6591</v>
      </c>
      <c r="G114" s="21" t="s">
        <v>197</v>
      </c>
      <c r="H114" s="21" t="str">
        <f t="shared" si="3"/>
        <v>SHOPIAN</v>
      </c>
      <c r="I114" s="21" t="s">
        <v>6596</v>
      </c>
      <c r="J114" s="22">
        <v>45983</v>
      </c>
      <c r="K114" s="21">
        <v>8825050044</v>
      </c>
      <c r="L114" s="21" t="s">
        <v>6574</v>
      </c>
      <c r="M114" s="23" t="s">
        <v>7605</v>
      </c>
      <c r="N114" s="22">
        <v>45990</v>
      </c>
      <c r="O114" s="21" t="s">
        <v>23</v>
      </c>
      <c r="P114" s="24">
        <v>45990</v>
      </c>
      <c r="Q114" s="21" t="s">
        <v>6454</v>
      </c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6604</v>
      </c>
      <c r="C117" s="21" t="s">
        <v>6605</v>
      </c>
      <c r="D117" s="21" t="s">
        <v>6684</v>
      </c>
      <c r="E117" s="21" t="s">
        <v>6606</v>
      </c>
      <c r="F117" s="21" t="s">
        <v>116</v>
      </c>
      <c r="G117" s="21" t="s">
        <v>197</v>
      </c>
      <c r="H117" s="21" t="str">
        <f t="shared" si="3"/>
        <v>KULGAM</v>
      </c>
      <c r="I117" s="21" t="s">
        <v>6607</v>
      </c>
      <c r="J117" s="22">
        <v>45985</v>
      </c>
      <c r="K117" s="21">
        <v>9906619090</v>
      </c>
      <c r="L117" s="21" t="s">
        <v>6574</v>
      </c>
      <c r="M117" s="23" t="s">
        <v>6685</v>
      </c>
      <c r="N117" s="22">
        <v>45989</v>
      </c>
      <c r="O117" s="21" t="s">
        <v>23</v>
      </c>
      <c r="P117" s="24">
        <v>45989</v>
      </c>
      <c r="Q117" s="21" t="s">
        <v>6454</v>
      </c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 t="shared" si="3"/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6741</v>
      </c>
      <c r="C139" s="21" t="s">
        <v>6746</v>
      </c>
      <c r="D139" s="21" t="s">
        <v>6750</v>
      </c>
      <c r="E139" s="21" t="s">
        <v>6747</v>
      </c>
      <c r="F139" s="21" t="s">
        <v>116</v>
      </c>
      <c r="G139" s="21" t="s">
        <v>6751</v>
      </c>
      <c r="H139" s="21" t="str">
        <f t="shared" si="5"/>
        <v>SHOPIAN</v>
      </c>
      <c r="I139" s="21" t="s">
        <v>6755</v>
      </c>
      <c r="J139" s="22">
        <v>45995</v>
      </c>
      <c r="K139" s="21">
        <v>7780824558</v>
      </c>
      <c r="L139" s="21" t="s">
        <v>9241</v>
      </c>
      <c r="M139" s="23" t="s">
        <v>6841</v>
      </c>
      <c r="N139" s="22">
        <v>45997</v>
      </c>
      <c r="O139" s="21" t="s">
        <v>23</v>
      </c>
      <c r="P139" s="24">
        <v>45995</v>
      </c>
      <c r="Q139" s="21" t="s">
        <v>6454</v>
      </c>
      <c r="R139" s="21"/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6789</v>
      </c>
      <c r="C145" s="21" t="s">
        <v>6790</v>
      </c>
      <c r="D145" s="21" t="s">
        <v>6791</v>
      </c>
      <c r="E145" s="21" t="s">
        <v>6792</v>
      </c>
      <c r="F145" s="21" t="s">
        <v>31</v>
      </c>
      <c r="G145" s="21" t="s">
        <v>197</v>
      </c>
      <c r="H145" s="21" t="str">
        <f t="shared" si="5"/>
        <v>SHOPIAN</v>
      </c>
      <c r="I145" s="21" t="s">
        <v>6810</v>
      </c>
      <c r="J145" s="22">
        <v>45996</v>
      </c>
      <c r="K145" s="21">
        <v>9596254341</v>
      </c>
      <c r="L145" s="21" t="s">
        <v>6564</v>
      </c>
      <c r="M145" s="23" t="s">
        <v>7141</v>
      </c>
      <c r="N145" s="22">
        <v>46007</v>
      </c>
      <c r="O145" s="21"/>
      <c r="P145" s="24"/>
      <c r="Q145" s="21"/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6816</v>
      </c>
      <c r="C148" s="21" t="s">
        <v>6813</v>
      </c>
      <c r="D148" s="21" t="s">
        <v>6814</v>
      </c>
      <c r="E148" s="21" t="s">
        <v>6815</v>
      </c>
      <c r="F148" s="21" t="s">
        <v>5</v>
      </c>
      <c r="G148" s="21" t="s">
        <v>196</v>
      </c>
      <c r="H148" s="21" t="str">
        <f t="shared" si="5"/>
        <v>SHOPIAN</v>
      </c>
      <c r="I148" s="21" t="s">
        <v>6833</v>
      </c>
      <c r="J148" s="22">
        <v>45997</v>
      </c>
      <c r="K148" s="21">
        <v>7006819575</v>
      </c>
      <c r="L148" s="21" t="s">
        <v>9241</v>
      </c>
      <c r="M148" s="21" t="s">
        <v>7141</v>
      </c>
      <c r="N148" s="22">
        <v>46007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6845</v>
      </c>
      <c r="C159" s="21" t="s">
        <v>6842</v>
      </c>
      <c r="D159" s="21" t="s">
        <v>6843</v>
      </c>
      <c r="E159" s="21" t="s">
        <v>6844</v>
      </c>
      <c r="F159" s="21" t="s">
        <v>5</v>
      </c>
      <c r="G159" s="21" t="s">
        <v>197</v>
      </c>
      <c r="H159" s="21" t="str">
        <f t="shared" si="5"/>
        <v>SHOPIAN</v>
      </c>
      <c r="I159" s="21" t="s">
        <v>6864</v>
      </c>
      <c r="J159" s="22">
        <v>45999</v>
      </c>
      <c r="K159" s="21">
        <v>9858319554</v>
      </c>
      <c r="L159" s="21" t="s">
        <v>6564</v>
      </c>
      <c r="M159" s="23" t="s">
        <v>7141</v>
      </c>
      <c r="N159" s="22">
        <v>46007</v>
      </c>
      <c r="O159" s="21"/>
      <c r="P159" s="24"/>
      <c r="Q159" s="21"/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6904</v>
      </c>
      <c r="C168" s="21" t="s">
        <v>6911</v>
      </c>
      <c r="D168" s="21" t="s">
        <v>6912</v>
      </c>
      <c r="E168" s="21" t="s">
        <v>6905</v>
      </c>
      <c r="F168" s="21" t="s">
        <v>277</v>
      </c>
      <c r="G168" s="21" t="s">
        <v>196</v>
      </c>
      <c r="H168" s="21" t="str">
        <f t="shared" si="5"/>
        <v>SHOPIAN</v>
      </c>
      <c r="I168" s="21" t="s">
        <v>6903</v>
      </c>
      <c r="J168" s="22">
        <v>46000</v>
      </c>
      <c r="K168" s="21">
        <v>7006824047</v>
      </c>
      <c r="L168" s="21" t="s">
        <v>6574</v>
      </c>
      <c r="M168" s="23" t="s">
        <v>7141</v>
      </c>
      <c r="N168" s="22">
        <v>46007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7008</v>
      </c>
      <c r="C180" s="21" t="s">
        <v>7005</v>
      </c>
      <c r="D180" s="21" t="s">
        <v>7006</v>
      </c>
      <c r="E180" s="21" t="s">
        <v>7007</v>
      </c>
      <c r="F180" s="21" t="s">
        <v>31</v>
      </c>
      <c r="G180" s="21" t="s">
        <v>218</v>
      </c>
      <c r="H180" s="21" t="str">
        <f t="shared" si="5"/>
        <v>PULWAMA</v>
      </c>
      <c r="I180" s="21" t="s">
        <v>7010</v>
      </c>
      <c r="J180" s="22">
        <v>46002</v>
      </c>
      <c r="K180" s="21">
        <v>7889910978</v>
      </c>
      <c r="L180" s="21" t="s">
        <v>6564</v>
      </c>
      <c r="M180" s="23" t="s">
        <v>7141</v>
      </c>
      <c r="N180" s="22">
        <v>46007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6982</v>
      </c>
      <c r="C181" s="21" t="s">
        <v>6983</v>
      </c>
      <c r="D181" s="21" t="s">
        <v>6985</v>
      </c>
      <c r="E181" s="21" t="s">
        <v>6984</v>
      </c>
      <c r="F181" s="21" t="s">
        <v>5</v>
      </c>
      <c r="G181" s="21" t="s">
        <v>197</v>
      </c>
      <c r="H181" s="21" t="str">
        <f t="shared" si="5"/>
        <v>SHOPIAN</v>
      </c>
      <c r="I181" s="21" t="s">
        <v>7009</v>
      </c>
      <c r="J181" s="22">
        <v>46002</v>
      </c>
      <c r="K181" s="21">
        <v>9906277021</v>
      </c>
      <c r="L181" s="21" t="s">
        <v>6564</v>
      </c>
      <c r="M181" s="23" t="s">
        <v>7141</v>
      </c>
      <c r="N181" s="22">
        <v>46007</v>
      </c>
      <c r="O181" s="21"/>
      <c r="P181" s="24"/>
      <c r="Q181" s="21"/>
      <c r="R181" s="21"/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7096</v>
      </c>
      <c r="C190" s="21" t="s">
        <v>7084</v>
      </c>
      <c r="D190" s="21" t="s">
        <v>7085</v>
      </c>
      <c r="E190" s="21" t="s">
        <v>7086</v>
      </c>
      <c r="F190" s="21" t="s">
        <v>31</v>
      </c>
      <c r="G190" s="21" t="s">
        <v>172</v>
      </c>
      <c r="H190" s="21" t="str">
        <f t="shared" si="5"/>
        <v>JAMMU</v>
      </c>
      <c r="I190" s="21" t="s">
        <v>7097</v>
      </c>
      <c r="J190" s="22">
        <v>46004</v>
      </c>
      <c r="K190" s="21">
        <v>7006058332</v>
      </c>
      <c r="L190" s="21" t="s">
        <v>9241</v>
      </c>
      <c r="M190" s="23" t="s">
        <v>7141</v>
      </c>
      <c r="N190" s="22">
        <v>46007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7087</v>
      </c>
      <c r="C192" s="21" t="s">
        <v>7092</v>
      </c>
      <c r="D192" s="21" t="s">
        <v>7093</v>
      </c>
      <c r="E192" s="21" t="s">
        <v>7094</v>
      </c>
      <c r="F192" s="21" t="s">
        <v>286</v>
      </c>
      <c r="G192" s="21" t="s">
        <v>172</v>
      </c>
      <c r="H192" s="21" t="str">
        <f t="shared" si="5"/>
        <v>SHOPIAN</v>
      </c>
      <c r="I192" s="21" t="s">
        <v>7095</v>
      </c>
      <c r="J192" s="22">
        <v>46004</v>
      </c>
      <c r="K192" s="21">
        <v>7006885644</v>
      </c>
      <c r="L192" s="21" t="s">
        <v>6574</v>
      </c>
      <c r="M192" s="23" t="s">
        <v>7141</v>
      </c>
      <c r="N192" s="22">
        <v>46007</v>
      </c>
      <c r="O192" s="21"/>
      <c r="P192" s="24"/>
      <c r="Q192" s="21"/>
      <c r="R192" s="21"/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7232</v>
      </c>
      <c r="C215" s="21" t="s">
        <v>7229</v>
      </c>
      <c r="D215" s="21" t="s">
        <v>7230</v>
      </c>
      <c r="E215" s="21" t="s">
        <v>7231</v>
      </c>
      <c r="F215" s="21" t="s">
        <v>116</v>
      </c>
      <c r="G215" s="21" t="s">
        <v>197</v>
      </c>
      <c r="H215" s="21" t="str">
        <f t="shared" si="7"/>
        <v>PULWAMA</v>
      </c>
      <c r="I215" s="21" t="s">
        <v>7249</v>
      </c>
      <c r="J215" s="22">
        <v>46009</v>
      </c>
      <c r="K215" s="21">
        <v>7006889943</v>
      </c>
      <c r="L215" s="21" t="s">
        <v>6564</v>
      </c>
      <c r="M215" s="23" t="s">
        <v>7605</v>
      </c>
      <c r="N215" s="22">
        <v>46015</v>
      </c>
      <c r="O215" s="21"/>
      <c r="P215" s="24"/>
      <c r="Q215" s="21"/>
      <c r="R215" s="21"/>
    </row>
    <row r="216" spans="1:18" x14ac:dyDescent="0.25">
      <c r="A216" s="21">
        <f t="shared" si="6"/>
        <v>215</v>
      </c>
      <c r="B216" s="21" t="s">
        <v>7255</v>
      </c>
      <c r="C216" s="21" t="s">
        <v>7256</v>
      </c>
      <c r="D216" s="21" t="s">
        <v>7257</v>
      </c>
      <c r="E216" s="21" t="s">
        <v>7258</v>
      </c>
      <c r="F216" s="21" t="s">
        <v>116</v>
      </c>
      <c r="G216" s="21" t="s">
        <v>172</v>
      </c>
      <c r="H216" s="21" t="str">
        <f t="shared" si="7"/>
        <v>SHOPIAN</v>
      </c>
      <c r="I216" s="21" t="s">
        <v>7259</v>
      </c>
      <c r="J216" s="22">
        <v>46009</v>
      </c>
      <c r="K216" s="21">
        <v>9103369022</v>
      </c>
      <c r="L216" s="21" t="s">
        <v>6564</v>
      </c>
      <c r="M216" s="23" t="s">
        <v>7284</v>
      </c>
      <c r="N216" s="22">
        <v>46010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7233</v>
      </c>
      <c r="C217" s="21" t="s">
        <v>7234</v>
      </c>
      <c r="D217" s="21" t="s">
        <v>7235</v>
      </c>
      <c r="E217" s="21" t="s">
        <v>7236</v>
      </c>
      <c r="F217" s="21" t="s">
        <v>31</v>
      </c>
      <c r="G217" s="21" t="s">
        <v>172</v>
      </c>
      <c r="H217" s="21" t="str">
        <f t="shared" si="7"/>
        <v>SHOPIAN</v>
      </c>
      <c r="I217" s="21" t="s">
        <v>7250</v>
      </c>
      <c r="J217" s="22">
        <v>46009</v>
      </c>
      <c r="K217" s="21">
        <v>8484070924</v>
      </c>
      <c r="L217" s="21" t="s">
        <v>6564</v>
      </c>
      <c r="M217" s="23" t="s">
        <v>7605</v>
      </c>
      <c r="N217" s="22">
        <v>46015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/>
      <c r="N228" s="22"/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7304</v>
      </c>
      <c r="C231" s="21" t="s">
        <v>7305</v>
      </c>
      <c r="D231" s="21" t="s">
        <v>7306</v>
      </c>
      <c r="E231" s="21" t="s">
        <v>7307</v>
      </c>
      <c r="F231" s="21" t="s">
        <v>116</v>
      </c>
      <c r="G231" s="21" t="s">
        <v>218</v>
      </c>
      <c r="H231" s="21" t="str">
        <f t="shared" si="7"/>
        <v>SHOPIAN</v>
      </c>
      <c r="I231" s="21" t="s">
        <v>7309</v>
      </c>
      <c r="J231" s="22">
        <v>46011</v>
      </c>
      <c r="K231" s="21">
        <v>6006713170</v>
      </c>
      <c r="L231" s="21" t="s">
        <v>6564</v>
      </c>
      <c r="M231" s="23" t="s">
        <v>7605</v>
      </c>
      <c r="N231" s="22">
        <v>46015</v>
      </c>
      <c r="O231" s="21"/>
      <c r="P231" s="24"/>
      <c r="Q231" s="21"/>
      <c r="R231" s="21" t="s">
        <v>7375</v>
      </c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7470</v>
      </c>
      <c r="C258" s="21" t="s">
        <v>7462</v>
      </c>
      <c r="D258" s="21" t="s">
        <v>7512</v>
      </c>
      <c r="E258" s="21" t="s">
        <v>7454</v>
      </c>
      <c r="F258" s="21" t="s">
        <v>65</v>
      </c>
      <c r="G258" s="21" t="s">
        <v>196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7480</v>
      </c>
      <c r="J258" s="22">
        <v>46015</v>
      </c>
      <c r="K258" s="21">
        <v>6006293557</v>
      </c>
      <c r="L258" s="21" t="s">
        <v>6564</v>
      </c>
      <c r="M258" s="23" t="s">
        <v>8211</v>
      </c>
      <c r="N258" s="22">
        <v>46025</v>
      </c>
      <c r="O258" s="21"/>
      <c r="P258" s="24"/>
      <c r="Q258" s="21"/>
      <c r="R258" s="21"/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7658</v>
      </c>
      <c r="C285" s="21" t="s">
        <v>7659</v>
      </c>
      <c r="D285" s="21" t="s">
        <v>7660</v>
      </c>
      <c r="E285" s="21" t="s">
        <v>7661</v>
      </c>
      <c r="F285" s="21" t="s">
        <v>122</v>
      </c>
      <c r="G285" s="21" t="s">
        <v>171</v>
      </c>
      <c r="H285" s="21" t="str">
        <f t="shared" si="9"/>
        <v>SRINAGAR</v>
      </c>
      <c r="I285" s="21" t="s">
        <v>7673</v>
      </c>
      <c r="J285" s="22">
        <v>46019</v>
      </c>
      <c r="K285" s="21">
        <v>9622727272</v>
      </c>
      <c r="L285" s="21" t="s">
        <v>6564</v>
      </c>
      <c r="M285" s="23" t="s">
        <v>7765</v>
      </c>
      <c r="N285" s="22">
        <v>46031</v>
      </c>
      <c r="O285" s="21"/>
      <c r="P285" s="24"/>
      <c r="Q285" s="21"/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7685</v>
      </c>
      <c r="C290" s="21" t="s">
        <v>7686</v>
      </c>
      <c r="D290" s="21" t="s">
        <v>7687</v>
      </c>
      <c r="E290" s="21" t="s">
        <v>7688</v>
      </c>
      <c r="F290" s="21" t="s">
        <v>482</v>
      </c>
      <c r="G290" s="21" t="s">
        <v>196</v>
      </c>
      <c r="H290" s="21" t="str">
        <f t="shared" si="9"/>
        <v>SHOPIAN</v>
      </c>
      <c r="I290" s="21" t="s">
        <v>7691</v>
      </c>
      <c r="J290" s="22">
        <v>46020</v>
      </c>
      <c r="K290" s="21">
        <v>7006540570</v>
      </c>
      <c r="L290" s="21" t="s">
        <v>7689</v>
      </c>
      <c r="M290" s="23" t="s">
        <v>7284</v>
      </c>
      <c r="N290" s="22">
        <v>46035</v>
      </c>
      <c r="O290" s="21"/>
      <c r="P290" s="24"/>
      <c r="Q290" s="21"/>
      <c r="R290" s="21" t="s">
        <v>7721</v>
      </c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7827</v>
      </c>
      <c r="C320" s="21" t="s">
        <v>7828</v>
      </c>
      <c r="D320" s="21" t="s">
        <v>7829</v>
      </c>
      <c r="E320" s="21" t="s">
        <v>7830</v>
      </c>
      <c r="F320" s="21" t="s">
        <v>31</v>
      </c>
      <c r="G320" s="21" t="s">
        <v>197</v>
      </c>
      <c r="H320" s="21" t="str">
        <f t="shared" si="9"/>
        <v>KULGAM</v>
      </c>
      <c r="I320" s="29" t="s">
        <v>7848</v>
      </c>
      <c r="J320" s="22">
        <v>46023</v>
      </c>
      <c r="K320" s="21">
        <v>7006176206</v>
      </c>
      <c r="L320" s="21" t="s">
        <v>6564</v>
      </c>
      <c r="M320" s="23" t="s">
        <v>7284</v>
      </c>
      <c r="N320" s="22">
        <v>46035</v>
      </c>
      <c r="O320" s="21" t="s">
        <v>23</v>
      </c>
      <c r="P320" s="24">
        <v>46058</v>
      </c>
      <c r="Q320" s="21" t="s">
        <v>6454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7900</v>
      </c>
      <c r="C331" s="21" t="s">
        <v>7901</v>
      </c>
      <c r="D331" s="21" t="s">
        <v>7902</v>
      </c>
      <c r="E331" s="21" t="s">
        <v>7903</v>
      </c>
      <c r="F331" s="21" t="s">
        <v>482</v>
      </c>
      <c r="G331" s="21" t="s">
        <v>196</v>
      </c>
      <c r="H331" s="21" t="str">
        <f t="shared" si="11"/>
        <v>SHOPIAN</v>
      </c>
      <c r="I331" s="21" t="s">
        <v>7944</v>
      </c>
      <c r="J331" s="22">
        <v>46024</v>
      </c>
      <c r="K331" s="21">
        <v>7780943149</v>
      </c>
      <c r="L331" s="21" t="s">
        <v>6564</v>
      </c>
      <c r="M331" s="23" t="s">
        <v>7284</v>
      </c>
      <c r="N331" s="22">
        <v>46035</v>
      </c>
      <c r="O331" s="21"/>
      <c r="P331" s="24"/>
      <c r="Q331" s="21"/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7959</v>
      </c>
      <c r="C346" s="21" t="s">
        <v>7956</v>
      </c>
      <c r="D346" s="21" t="s">
        <v>7957</v>
      </c>
      <c r="E346" s="21" t="s">
        <v>7958</v>
      </c>
      <c r="F346" s="21" t="s">
        <v>5</v>
      </c>
      <c r="G346" s="21" t="s">
        <v>196</v>
      </c>
      <c r="H346" s="21" t="str">
        <f t="shared" si="11"/>
        <v>SHOPIAN</v>
      </c>
      <c r="I346" s="21" t="s">
        <v>7965</v>
      </c>
      <c r="J346" s="22">
        <v>46025</v>
      </c>
      <c r="K346" s="21">
        <v>9103275011</v>
      </c>
      <c r="L346" s="21" t="s">
        <v>6564</v>
      </c>
      <c r="M346" s="23" t="s">
        <v>7284</v>
      </c>
      <c r="N346" s="22">
        <v>46034</v>
      </c>
      <c r="O346" s="21"/>
      <c r="P346" s="24"/>
      <c r="Q346" s="21"/>
      <c r="R346" s="21"/>
    </row>
    <row r="347" spans="1:18" x14ac:dyDescent="0.25">
      <c r="A347" s="21">
        <f t="shared" si="10"/>
        <v>346</v>
      </c>
      <c r="B347" s="21" t="s">
        <v>7939</v>
      </c>
      <c r="C347" s="21" t="s">
        <v>7940</v>
      </c>
      <c r="D347" s="21" t="s">
        <v>7941</v>
      </c>
      <c r="E347" s="21" t="s">
        <v>7942</v>
      </c>
      <c r="F347" s="21" t="s">
        <v>5</v>
      </c>
      <c r="G347" s="21" t="s">
        <v>196</v>
      </c>
      <c r="H347" s="21" t="str">
        <f t="shared" si="11"/>
        <v>SHOPIAN</v>
      </c>
      <c r="I347" s="22" t="s">
        <v>8002</v>
      </c>
      <c r="J347" s="22">
        <v>46025</v>
      </c>
      <c r="K347" s="21">
        <v>7006820710</v>
      </c>
      <c r="L347" s="21" t="s">
        <v>6564</v>
      </c>
      <c r="M347" s="23" t="s">
        <v>7284</v>
      </c>
      <c r="N347" s="22">
        <v>46347</v>
      </c>
      <c r="O347" s="21"/>
      <c r="P347" s="24"/>
      <c r="Q347" s="21"/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8178</v>
      </c>
      <c r="C375" s="21" t="s">
        <v>8175</v>
      </c>
      <c r="D375" s="21" t="s">
        <v>8176</v>
      </c>
      <c r="E375" s="21" t="s">
        <v>8177</v>
      </c>
      <c r="F375" s="21" t="s">
        <v>6540</v>
      </c>
      <c r="G375" s="21" t="s">
        <v>197</v>
      </c>
      <c r="H375" s="21" t="str">
        <f t="shared" si="11"/>
        <v>KULGAM</v>
      </c>
      <c r="I375" s="21" t="s">
        <v>8185</v>
      </c>
      <c r="J375" s="22">
        <v>46030</v>
      </c>
      <c r="K375" s="21">
        <v>9541822070</v>
      </c>
      <c r="L375" s="21" t="s">
        <v>6564</v>
      </c>
      <c r="M375" s="23" t="s">
        <v>8215</v>
      </c>
      <c r="N375" s="22">
        <v>46034</v>
      </c>
      <c r="O375" s="21"/>
      <c r="P375" s="24"/>
      <c r="Q375" s="21"/>
      <c r="R375" s="21" t="s">
        <v>8199</v>
      </c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8255</v>
      </c>
      <c r="C378" s="21" t="s">
        <v>8256</v>
      </c>
      <c r="D378" s="21" t="s">
        <v>8258</v>
      </c>
      <c r="E378" s="21" t="s">
        <v>8257</v>
      </c>
      <c r="F378" s="21" t="s">
        <v>8259</v>
      </c>
      <c r="G378" s="21" t="s">
        <v>197</v>
      </c>
      <c r="H378" s="21" t="str">
        <f t="shared" si="11"/>
        <v>SHOPIAN</v>
      </c>
      <c r="I378" s="21" t="s">
        <v>8260</v>
      </c>
      <c r="J378" s="22">
        <v>46038</v>
      </c>
      <c r="K378" s="21">
        <v>7006595403</v>
      </c>
      <c r="L378" s="21" t="s">
        <v>6564</v>
      </c>
      <c r="M378" s="23" t="s">
        <v>8302</v>
      </c>
      <c r="N378" s="22">
        <v>46042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8306</v>
      </c>
      <c r="C385" s="21" t="s">
        <v>8303</v>
      </c>
      <c r="D385" s="21" t="s">
        <v>8304</v>
      </c>
      <c r="E385" s="21" t="s">
        <v>8305</v>
      </c>
      <c r="F385" s="21" t="s">
        <v>116</v>
      </c>
      <c r="G385" s="21" t="s">
        <v>172</v>
      </c>
      <c r="H385" s="21" t="str">
        <f t="shared" si="11"/>
        <v>SHOPIAN</v>
      </c>
      <c r="I385" s="21" t="s">
        <v>8309</v>
      </c>
      <c r="J385" s="22">
        <v>46042</v>
      </c>
      <c r="K385" s="21">
        <v>7006739253</v>
      </c>
      <c r="L385" s="21" t="s">
        <v>6564</v>
      </c>
      <c r="M385" s="23" t="s">
        <v>8302</v>
      </c>
      <c r="N385" s="22">
        <v>46059</v>
      </c>
      <c r="O385" s="21" t="s">
        <v>23</v>
      </c>
      <c r="P385" s="24">
        <v>46043</v>
      </c>
      <c r="Q385" s="21" t="s">
        <v>8155</v>
      </c>
      <c r="R385" s="21" t="s">
        <v>8340</v>
      </c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8454</v>
      </c>
      <c r="C418" s="21" t="s">
        <v>8451</v>
      </c>
      <c r="D418" s="21" t="s">
        <v>8452</v>
      </c>
      <c r="E418" s="21" t="s">
        <v>8453</v>
      </c>
      <c r="F418" s="21" t="s">
        <v>116</v>
      </c>
      <c r="G418" s="21" t="s">
        <v>171</v>
      </c>
      <c r="H418" s="21" t="str">
        <f t="shared" si="13"/>
        <v>SHOPIAN</v>
      </c>
      <c r="I418" s="21" t="s">
        <v>8460</v>
      </c>
      <c r="J418" s="22">
        <v>46052</v>
      </c>
      <c r="K418" s="21">
        <v>8899524496</v>
      </c>
      <c r="L418" s="21" t="s">
        <v>7689</v>
      </c>
      <c r="M418" s="23" t="s">
        <v>7605</v>
      </c>
      <c r="N418" s="22">
        <v>46053</v>
      </c>
      <c r="O418" s="21" t="s">
        <v>23</v>
      </c>
      <c r="P418" s="24">
        <v>46055</v>
      </c>
      <c r="Q418" s="21" t="s">
        <v>6454</v>
      </c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8672</v>
      </c>
      <c r="C444" s="21" t="s">
        <v>8673</v>
      </c>
      <c r="D444" s="21" t="s">
        <v>8674</v>
      </c>
      <c r="E444" s="21" t="s">
        <v>8675</v>
      </c>
      <c r="F444" s="21" t="s">
        <v>98</v>
      </c>
      <c r="G444" s="21" t="s">
        <v>171</v>
      </c>
      <c r="H444" s="21" t="str">
        <f t="shared" si="13"/>
        <v>SHOPIAN</v>
      </c>
      <c r="I444" s="21" t="s">
        <v>8676</v>
      </c>
      <c r="J444" s="22">
        <v>46058</v>
      </c>
      <c r="K444" s="21">
        <v>8825090520</v>
      </c>
      <c r="L444" s="21" t="s">
        <v>9241</v>
      </c>
      <c r="M444" s="23" t="s">
        <v>8754</v>
      </c>
      <c r="N444" s="22">
        <v>46064</v>
      </c>
      <c r="O444" s="21"/>
      <c r="P444" s="24"/>
      <c r="Q444" s="21"/>
      <c r="R444" s="21"/>
    </row>
    <row r="445" spans="1:18" x14ac:dyDescent="0.25">
      <c r="A445" s="21">
        <f t="shared" si="12"/>
        <v>444</v>
      </c>
      <c r="B445" s="21" t="s">
        <v>8655</v>
      </c>
      <c r="C445" s="21" t="s">
        <v>8656</v>
      </c>
      <c r="D445" s="21" t="s">
        <v>8657</v>
      </c>
      <c r="E445" s="21" t="s">
        <v>8658</v>
      </c>
      <c r="F445" s="21" t="s">
        <v>98</v>
      </c>
      <c r="G445" s="21" t="s">
        <v>178</v>
      </c>
      <c r="H445" s="21" t="str">
        <f t="shared" si="13"/>
        <v>SHOPIAN</v>
      </c>
      <c r="I445" s="21" t="s">
        <v>8665</v>
      </c>
      <c r="J445" s="22">
        <v>46058</v>
      </c>
      <c r="K445" s="21">
        <v>9419783314</v>
      </c>
      <c r="L445" s="21" t="s">
        <v>7689</v>
      </c>
      <c r="M445" s="23" t="s">
        <v>8754</v>
      </c>
      <c r="N445" s="22">
        <v>46064</v>
      </c>
      <c r="O445" s="21" t="s">
        <v>23</v>
      </c>
      <c r="P445" s="24">
        <v>46059</v>
      </c>
      <c r="Q445" s="21" t="s">
        <v>8690</v>
      </c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8778</v>
      </c>
      <c r="C462" s="21" t="s">
        <v>8779</v>
      </c>
      <c r="D462" s="21" t="s">
        <v>8780</v>
      </c>
      <c r="E462" s="21" t="s">
        <v>6215</v>
      </c>
      <c r="F462" s="21" t="s">
        <v>116</v>
      </c>
      <c r="G462" s="21" t="s">
        <v>197</v>
      </c>
      <c r="H462" s="21" t="str">
        <f t="shared" si="15"/>
        <v>SHOPIAN</v>
      </c>
      <c r="I462" s="21" t="s">
        <v>8781</v>
      </c>
      <c r="J462" s="22">
        <v>46065</v>
      </c>
      <c r="K462" s="21">
        <v>9596414585</v>
      </c>
      <c r="L462" s="21" t="s">
        <v>6564</v>
      </c>
      <c r="M462" s="23" t="s">
        <v>8930</v>
      </c>
      <c r="N462" s="22">
        <v>46073</v>
      </c>
      <c r="O462" s="21" t="s">
        <v>23</v>
      </c>
      <c r="P462" s="24">
        <v>46073</v>
      </c>
      <c r="Q462" s="21" t="s">
        <v>6454</v>
      </c>
      <c r="R462" s="21" t="s">
        <v>8790</v>
      </c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8215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8878</v>
      </c>
      <c r="C475" s="21" t="s">
        <v>8879</v>
      </c>
      <c r="D475" s="21" t="s">
        <v>8880</v>
      </c>
      <c r="E475" s="21" t="s">
        <v>8881</v>
      </c>
      <c r="F475" s="21" t="s">
        <v>98</v>
      </c>
      <c r="G475" s="21" t="s">
        <v>171</v>
      </c>
      <c r="H475" s="21" t="str">
        <f t="shared" si="15"/>
        <v>PULWAMA</v>
      </c>
      <c r="I475" s="21" t="s">
        <v>8889</v>
      </c>
      <c r="J475" s="22">
        <v>46071</v>
      </c>
      <c r="K475" s="21">
        <v>8082201253</v>
      </c>
      <c r="L475" s="21" t="s">
        <v>7689</v>
      </c>
      <c r="M475" s="23" t="s">
        <v>8930</v>
      </c>
      <c r="N475" s="22">
        <v>46077</v>
      </c>
      <c r="O475" s="21" t="s">
        <v>23</v>
      </c>
      <c r="P475" s="24">
        <v>46077</v>
      </c>
      <c r="Q475" s="21" t="s">
        <v>6454</v>
      </c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30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8941</v>
      </c>
      <c r="C484" s="21" t="s">
        <v>8939</v>
      </c>
      <c r="D484" s="21" t="s">
        <v>8940</v>
      </c>
      <c r="E484" s="21" t="s">
        <v>8938</v>
      </c>
      <c r="F484" s="21" t="s">
        <v>482</v>
      </c>
      <c r="G484" s="21" t="s">
        <v>171</v>
      </c>
      <c r="H484" s="21" t="str">
        <f t="shared" si="15"/>
        <v>SHOPIAN</v>
      </c>
      <c r="I484" s="21" t="s">
        <v>8956</v>
      </c>
      <c r="J484" s="22">
        <v>46074</v>
      </c>
      <c r="K484" s="21">
        <v>9419016072</v>
      </c>
      <c r="L484" s="21" t="s">
        <v>6564</v>
      </c>
      <c r="M484" s="23" t="s">
        <v>8930</v>
      </c>
      <c r="N484" s="22">
        <v>46077</v>
      </c>
      <c r="O484" s="21" t="s">
        <v>23</v>
      </c>
      <c r="P484" s="24">
        <v>46077</v>
      </c>
      <c r="Q484" s="21" t="s">
        <v>6454</v>
      </c>
      <c r="R484" s="21"/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10286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9157</v>
      </c>
      <c r="C517" s="21" t="s">
        <v>9154</v>
      </c>
      <c r="D517" s="21" t="s">
        <v>9155</v>
      </c>
      <c r="E517" s="21" t="s">
        <v>9156</v>
      </c>
      <c r="F517" s="21" t="s">
        <v>116</v>
      </c>
      <c r="G517" s="21" t="s">
        <v>172</v>
      </c>
      <c r="H517" s="21" t="str">
        <f t="shared" si="17"/>
        <v>SHOPIAN</v>
      </c>
      <c r="I517" s="21" t="s">
        <v>9178</v>
      </c>
      <c r="J517" s="22">
        <v>46088</v>
      </c>
      <c r="K517" s="21">
        <v>7780894721</v>
      </c>
      <c r="L517" s="21" t="s">
        <v>9241</v>
      </c>
      <c r="M517" s="23" t="s">
        <v>8930</v>
      </c>
      <c r="N517" s="22">
        <v>46095</v>
      </c>
      <c r="O517" s="21" t="s">
        <v>23</v>
      </c>
      <c r="P517" s="24">
        <v>46095</v>
      </c>
      <c r="Q517" s="21" t="s">
        <v>8155</v>
      </c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9255</v>
      </c>
      <c r="C534" s="21" t="s">
        <v>9256</v>
      </c>
      <c r="D534" s="21" t="s">
        <v>9257</v>
      </c>
      <c r="E534" s="21" t="s">
        <v>9258</v>
      </c>
      <c r="F534" s="21" t="s">
        <v>98</v>
      </c>
      <c r="G534" s="21" t="s">
        <v>171</v>
      </c>
      <c r="H534" s="21" t="str">
        <f t="shared" si="17"/>
        <v>SHOPIAN</v>
      </c>
      <c r="I534" s="21" t="s">
        <v>9263</v>
      </c>
      <c r="J534" s="22">
        <v>46094</v>
      </c>
      <c r="K534" s="21">
        <v>9622761029</v>
      </c>
      <c r="L534" s="21" t="s">
        <v>6564</v>
      </c>
      <c r="M534" s="23" t="s">
        <v>9745</v>
      </c>
      <c r="N534" s="22">
        <v>46113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9282</v>
      </c>
      <c r="C539" s="21" t="s">
        <v>9283</v>
      </c>
      <c r="D539" s="21" t="s">
        <v>9284</v>
      </c>
      <c r="E539" s="21" t="s">
        <v>1946</v>
      </c>
      <c r="F539" s="21" t="s">
        <v>6540</v>
      </c>
      <c r="G539" s="21" t="s">
        <v>6469</v>
      </c>
      <c r="H539" s="21" t="str">
        <f t="shared" si="17"/>
        <v>SHOPIAN</v>
      </c>
      <c r="I539" s="21" t="s">
        <v>9293</v>
      </c>
      <c r="J539" s="22">
        <v>46095</v>
      </c>
      <c r="K539" s="21">
        <v>7006544713</v>
      </c>
      <c r="L539" s="21" t="s">
        <v>9241</v>
      </c>
      <c r="M539" s="23" t="s">
        <v>7662</v>
      </c>
      <c r="N539" s="22">
        <v>46108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9331</v>
      </c>
      <c r="C546" s="21" t="s">
        <v>9336</v>
      </c>
      <c r="D546" s="21" t="s">
        <v>9337</v>
      </c>
      <c r="E546" s="21" t="s">
        <v>9338</v>
      </c>
      <c r="F546" s="21" t="s">
        <v>12</v>
      </c>
      <c r="G546" s="21" t="s">
        <v>197</v>
      </c>
      <c r="H546" s="21" t="str">
        <f t="shared" si="17"/>
        <v>PULWAMA</v>
      </c>
      <c r="I546" s="21" t="s">
        <v>9340</v>
      </c>
      <c r="J546" s="22">
        <v>46097</v>
      </c>
      <c r="K546" s="21">
        <v>7298762558</v>
      </c>
      <c r="L546" s="21" t="s">
        <v>6564</v>
      </c>
      <c r="M546" s="23"/>
      <c r="N546" s="22"/>
      <c r="O546" s="21"/>
      <c r="P546" s="24"/>
      <c r="Q546" s="21"/>
      <c r="R546" s="21" t="s">
        <v>9348</v>
      </c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10085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/>
      <c r="N563" s="22"/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10158</v>
      </c>
      <c r="J607" s="22">
        <v>46112</v>
      </c>
      <c r="K607" s="21">
        <v>9871157589</v>
      </c>
      <c r="L607" s="21" t="s">
        <v>10163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9769</v>
      </c>
      <c r="C624" s="21" t="s">
        <v>9766</v>
      </c>
      <c r="D624" s="21" t="s">
        <v>9767</v>
      </c>
      <c r="E624" s="21" t="s">
        <v>9768</v>
      </c>
      <c r="F624" s="21" t="s">
        <v>5</v>
      </c>
      <c r="G624" s="21" t="s">
        <v>196</v>
      </c>
      <c r="H624" s="21" t="str">
        <f t="shared" si="19"/>
        <v>BHARAT</v>
      </c>
      <c r="I624" s="21" t="s">
        <v>9825</v>
      </c>
      <c r="J624" s="22">
        <v>46119</v>
      </c>
      <c r="K624" s="21">
        <v>9149899595</v>
      </c>
      <c r="L624" s="21" t="s">
        <v>6564</v>
      </c>
      <c r="M624" s="23" t="s">
        <v>10468</v>
      </c>
      <c r="N624" s="22">
        <v>46120</v>
      </c>
      <c r="O624" s="21" t="s">
        <v>23</v>
      </c>
      <c r="P624" s="24">
        <v>46119</v>
      </c>
      <c r="Q624" s="21" t="s">
        <v>6454</v>
      </c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10027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10069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10069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10885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9950</v>
      </c>
      <c r="C645" s="21" t="s">
        <v>9951</v>
      </c>
      <c r="D645" s="21" t="s">
        <v>9952</v>
      </c>
      <c r="E645" s="21" t="s">
        <v>9953</v>
      </c>
      <c r="F645" s="21" t="s">
        <v>116</v>
      </c>
      <c r="G645" s="21" t="s">
        <v>197</v>
      </c>
      <c r="H645" s="21" t="str">
        <f t="shared" si="21"/>
        <v>SHOPIAN</v>
      </c>
      <c r="I645" s="21" t="s">
        <v>9955</v>
      </c>
      <c r="J645" s="22">
        <v>46123</v>
      </c>
      <c r="K645" s="21">
        <v>9541124924</v>
      </c>
      <c r="L645" s="21" t="s">
        <v>6564</v>
      </c>
      <c r="M645" s="23" t="s">
        <v>8302</v>
      </c>
      <c r="N645" s="22">
        <v>46140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10147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10144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10106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10670</v>
      </c>
      <c r="J655" s="22">
        <v>46126</v>
      </c>
      <c r="K655" s="21">
        <v>8492067254</v>
      </c>
      <c r="L655" s="21" t="s">
        <v>480</v>
      </c>
      <c r="M655" s="23"/>
      <c r="N655" s="22"/>
      <c r="O655" s="21"/>
      <c r="P655" s="24"/>
      <c r="Q655" s="21"/>
      <c r="R655" s="21" t="s">
        <v>10022</v>
      </c>
    </row>
    <row r="656" spans="1:18" x14ac:dyDescent="0.25">
      <c r="A656" s="21">
        <f t="shared" si="20"/>
        <v>655</v>
      </c>
      <c r="B656" s="21" t="s">
        <v>10026</v>
      </c>
      <c r="C656" s="21" t="s">
        <v>10023</v>
      </c>
      <c r="D656" s="21" t="s">
        <v>10024</v>
      </c>
      <c r="E656" s="21" t="s">
        <v>10025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10032</v>
      </c>
      <c r="J656" s="22">
        <v>46127</v>
      </c>
      <c r="K656" s="21">
        <v>6005336023</v>
      </c>
      <c r="L656" s="21" t="s">
        <v>173</v>
      </c>
      <c r="M656" s="23" t="s">
        <v>10127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10028</v>
      </c>
      <c r="C657" s="21" t="s">
        <v>10029</v>
      </c>
      <c r="D657" s="21" t="s">
        <v>10031</v>
      </c>
      <c r="E657" s="21" t="s">
        <v>10030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10033</v>
      </c>
      <c r="J657" s="22">
        <v>46127</v>
      </c>
      <c r="K657" s="21">
        <v>7780912719</v>
      </c>
      <c r="L657" s="21" t="s">
        <v>191</v>
      </c>
      <c r="M657" s="23" t="s">
        <v>10070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10034</v>
      </c>
      <c r="C658" s="21" t="s">
        <v>10035</v>
      </c>
      <c r="D658" s="21" t="s">
        <v>10036</v>
      </c>
      <c r="E658" s="21" t="s">
        <v>10037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10042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10038</v>
      </c>
      <c r="C659" s="21" t="s">
        <v>10040</v>
      </c>
      <c r="D659" s="21" t="s">
        <v>10041</v>
      </c>
      <c r="E659" s="21" t="s">
        <v>10039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10043</v>
      </c>
      <c r="J659" s="22">
        <v>46127</v>
      </c>
      <c r="K659" s="21">
        <v>8660969096</v>
      </c>
      <c r="L659" s="21" t="s">
        <v>10044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10045</v>
      </c>
      <c r="C660" s="21" t="s">
        <v>10046</v>
      </c>
      <c r="D660" s="21" t="s">
        <v>10047</v>
      </c>
      <c r="E660" s="21" t="s">
        <v>10048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10049</v>
      </c>
      <c r="J660" s="22">
        <v>46127</v>
      </c>
      <c r="K660" s="21">
        <v>9906899687</v>
      </c>
      <c r="L660" s="21" t="s">
        <v>59</v>
      </c>
      <c r="M660" s="23" t="s">
        <v>10066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10063</v>
      </c>
      <c r="C661" s="21" t="s">
        <v>10060</v>
      </c>
      <c r="D661" s="21" t="s">
        <v>10061</v>
      </c>
      <c r="E661" s="21" t="s">
        <v>10062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10064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10054</v>
      </c>
      <c r="C662" s="21" t="s">
        <v>10055</v>
      </c>
      <c r="D662" s="21" t="s">
        <v>10056</v>
      </c>
      <c r="E662" s="21" t="s">
        <v>10057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10059</v>
      </c>
      <c r="J662" s="22">
        <v>46128</v>
      </c>
      <c r="K662" s="21">
        <v>9906077990</v>
      </c>
      <c r="L662" s="21" t="s">
        <v>10058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10071</v>
      </c>
      <c r="C663" s="21" t="s">
        <v>10076</v>
      </c>
      <c r="D663" s="21" t="s">
        <v>10077</v>
      </c>
      <c r="E663" s="21" t="s">
        <v>10078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10079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10072</v>
      </c>
      <c r="C664" s="21" t="s">
        <v>10073</v>
      </c>
      <c r="D664" s="21" t="s">
        <v>10074</v>
      </c>
      <c r="E664" s="21" t="s">
        <v>10075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10080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10081</v>
      </c>
      <c r="C665" s="21" t="s">
        <v>10082</v>
      </c>
      <c r="D665" s="21" t="s">
        <v>10083</v>
      </c>
      <c r="E665" s="21" t="s">
        <v>10084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10095</v>
      </c>
      <c r="J665" s="22">
        <v>46129</v>
      </c>
      <c r="K665" s="21">
        <v>9596342716</v>
      </c>
      <c r="L665" s="21" t="s">
        <v>547</v>
      </c>
      <c r="M665" s="23" t="s">
        <v>10236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10086</v>
      </c>
      <c r="C666" s="21" t="s">
        <v>10087</v>
      </c>
      <c r="D666" s="21" t="s">
        <v>10088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10089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10090</v>
      </c>
      <c r="C667" s="21" t="s">
        <v>10091</v>
      </c>
      <c r="D667" s="21" t="s">
        <v>10092</v>
      </c>
      <c r="E667" s="21" t="s">
        <v>10093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10096</v>
      </c>
      <c r="J667" s="22">
        <v>46129</v>
      </c>
      <c r="K667" s="21">
        <v>9796113131</v>
      </c>
      <c r="L667" s="21" t="s">
        <v>2143</v>
      </c>
      <c r="M667" s="23" t="s">
        <v>10099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10100</v>
      </c>
      <c r="C668" s="21" t="s">
        <v>10101</v>
      </c>
      <c r="D668" s="21" t="s">
        <v>10102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10103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10110</v>
      </c>
      <c r="C669" s="21" t="s">
        <v>10107</v>
      </c>
      <c r="D669" s="21" t="s">
        <v>10108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10123</v>
      </c>
      <c r="J669" s="22">
        <v>46132</v>
      </c>
      <c r="K669" s="21">
        <v>7006271292</v>
      </c>
      <c r="L669" s="21" t="s">
        <v>10109</v>
      </c>
      <c r="M669" s="23" t="s">
        <v>10146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10111</v>
      </c>
      <c r="C670" s="21" t="s">
        <v>10112</v>
      </c>
      <c r="D670" s="21" t="s">
        <v>10113</v>
      </c>
      <c r="E670" s="21" t="s">
        <v>10114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10124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10118</v>
      </c>
      <c r="C671" s="21" t="s">
        <v>10119</v>
      </c>
      <c r="D671" s="21" t="s">
        <v>10121</v>
      </c>
      <c r="E671" s="21" t="s">
        <v>10120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10126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10115</v>
      </c>
      <c r="C672" s="21" t="s">
        <v>10116</v>
      </c>
      <c r="D672" s="21" t="s">
        <v>10122</v>
      </c>
      <c r="E672" s="21" t="s">
        <v>10117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10125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10129</v>
      </c>
      <c r="C673" s="21" t="s">
        <v>10130</v>
      </c>
      <c r="D673" s="21" t="s">
        <v>10141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10131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10132</v>
      </c>
      <c r="C674" s="21" t="s">
        <v>10133</v>
      </c>
      <c r="D674" s="21" t="s">
        <v>10139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10134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10135</v>
      </c>
      <c r="C675" s="21" t="s">
        <v>10136</v>
      </c>
      <c r="D675" s="21" t="s">
        <v>10140</v>
      </c>
      <c r="E675" s="21" t="s">
        <v>10137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10138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10152</v>
      </c>
      <c r="C676" s="21" t="s">
        <v>10148</v>
      </c>
      <c r="D676" s="21" t="s">
        <v>10149</v>
      </c>
      <c r="E676" s="21" t="s">
        <v>10150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10151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10159</v>
      </c>
      <c r="C677" s="21" t="s">
        <v>10160</v>
      </c>
      <c r="D677" s="21" t="s">
        <v>10161</v>
      </c>
      <c r="E677" s="21" t="s">
        <v>10162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10170</v>
      </c>
      <c r="J677" s="22">
        <v>46134</v>
      </c>
      <c r="K677" s="21">
        <v>7889536449</v>
      </c>
      <c r="L677" s="21" t="s">
        <v>10163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10165</v>
      </c>
      <c r="C678" s="21" t="s">
        <v>10166</v>
      </c>
      <c r="D678" s="21" t="s">
        <v>10168</v>
      </c>
      <c r="E678" s="21" t="s">
        <v>10167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10169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10177</v>
      </c>
      <c r="C679" s="21" t="s">
        <v>10178</v>
      </c>
      <c r="D679" s="21" t="s">
        <v>10179</v>
      </c>
      <c r="E679" s="21" t="s">
        <v>10180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10191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10153</v>
      </c>
      <c r="C680" s="21" t="s">
        <v>10154</v>
      </c>
      <c r="D680" s="21" t="s">
        <v>10155</v>
      </c>
      <c r="E680" s="21" t="s">
        <v>10156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10157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10181</v>
      </c>
      <c r="C681" s="21" t="s">
        <v>10182</v>
      </c>
      <c r="D681" s="21" t="s">
        <v>10183</v>
      </c>
      <c r="E681" s="21" t="s">
        <v>10184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10189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10188</v>
      </c>
      <c r="C682" s="21" t="s">
        <v>10185</v>
      </c>
      <c r="D682" s="21" t="s">
        <v>10186</v>
      </c>
      <c r="E682" s="21" t="s">
        <v>10187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10190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10198</v>
      </c>
      <c r="C683" s="21" t="s">
        <v>10196</v>
      </c>
      <c r="D683" s="21" t="s">
        <v>10197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10207</v>
      </c>
      <c r="J683" s="22">
        <v>46136</v>
      </c>
      <c r="K683" s="21">
        <v>9697385697</v>
      </c>
      <c r="L683" s="21" t="s">
        <v>104</v>
      </c>
      <c r="M683" s="23" t="s">
        <v>10435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10199</v>
      </c>
      <c r="C684" s="21" t="s">
        <v>10200</v>
      </c>
      <c r="D684" s="21" t="s">
        <v>10201</v>
      </c>
      <c r="E684" s="21" t="s">
        <v>10202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10208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10203</v>
      </c>
      <c r="C685" s="21" t="s">
        <v>10204</v>
      </c>
      <c r="D685" s="21" t="s">
        <v>10205</v>
      </c>
      <c r="E685" s="21" t="s">
        <v>10206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10209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10210</v>
      </c>
      <c r="C686" s="21" t="s">
        <v>10211</v>
      </c>
      <c r="D686" s="21" t="s">
        <v>10212</v>
      </c>
      <c r="E686" s="21" t="s">
        <v>10213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10220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10217</v>
      </c>
      <c r="C687" s="21" t="s">
        <v>10218</v>
      </c>
      <c r="D687" s="21" t="s">
        <v>10232</v>
      </c>
      <c r="E687" s="21" t="s">
        <v>10219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10216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10221</v>
      </c>
      <c r="C688" s="21" t="s">
        <v>10222</v>
      </c>
      <c r="D688" s="21" t="s">
        <v>10235</v>
      </c>
      <c r="E688" s="21" t="s">
        <v>10223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10228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10224</v>
      </c>
      <c r="C689" s="21" t="s">
        <v>10225</v>
      </c>
      <c r="D689" s="21" t="s">
        <v>10234</v>
      </c>
      <c r="E689" s="21" t="s">
        <v>10226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10227</v>
      </c>
      <c r="J689" s="22">
        <v>46136</v>
      </c>
      <c r="K689" s="21">
        <v>7006510365</v>
      </c>
      <c r="L689" s="21" t="s">
        <v>10243</v>
      </c>
      <c r="M689" s="23" t="s">
        <v>10236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10230</v>
      </c>
      <c r="C690" s="21" t="s">
        <v>10231</v>
      </c>
      <c r="D690" s="21" t="s">
        <v>10233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10229</v>
      </c>
      <c r="J690" s="22">
        <v>46136</v>
      </c>
      <c r="K690" s="21">
        <v>9622500584</v>
      </c>
      <c r="L690" s="21" t="s">
        <v>2168</v>
      </c>
      <c r="M690" s="23" t="s">
        <v>10346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10244</v>
      </c>
      <c r="C691" s="21" t="s">
        <v>10245</v>
      </c>
      <c r="D691" s="21" t="s">
        <v>10246</v>
      </c>
      <c r="E691" s="21" t="s">
        <v>10247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10248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10250</v>
      </c>
      <c r="C692" s="21" t="s">
        <v>10251</v>
      </c>
      <c r="D692" s="21" t="s">
        <v>10253</v>
      </c>
      <c r="E692" s="21" t="s">
        <v>10252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10254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10255</v>
      </c>
      <c r="C693" s="21" t="s">
        <v>10256</v>
      </c>
      <c r="D693" s="21" t="s">
        <v>10257</v>
      </c>
      <c r="E693" s="21" t="s">
        <v>10258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10259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10260</v>
      </c>
      <c r="C694" s="21" t="s">
        <v>10262</v>
      </c>
      <c r="D694" s="21" t="s">
        <v>10263</v>
      </c>
      <c r="E694" s="21" t="s">
        <v>10261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10264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10267</v>
      </c>
      <c r="C695" s="21" t="s">
        <v>10268</v>
      </c>
      <c r="D695" s="21" t="s">
        <v>10269</v>
      </c>
      <c r="E695" s="21" t="s">
        <v>10270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10271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10275</v>
      </c>
      <c r="C696" s="21" t="s">
        <v>10272</v>
      </c>
      <c r="D696" s="21" t="s">
        <v>10273</v>
      </c>
      <c r="E696" s="21" t="s">
        <v>10274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10281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10276</v>
      </c>
      <c r="C697" s="21" t="s">
        <v>10278</v>
      </c>
      <c r="D697" s="21" t="s">
        <v>10279</v>
      </c>
      <c r="E697" s="21" t="s">
        <v>10277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10280</v>
      </c>
      <c r="J697" s="22">
        <v>46140</v>
      </c>
      <c r="K697" s="21">
        <v>7006974580</v>
      </c>
      <c r="L697" s="21" t="s">
        <v>68</v>
      </c>
      <c r="M697" s="23" t="s">
        <v>10470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10282</v>
      </c>
      <c r="C698" s="21" t="s">
        <v>10283</v>
      </c>
      <c r="D698" s="21" t="s">
        <v>10284</v>
      </c>
      <c r="E698" s="21" t="s">
        <v>2977</v>
      </c>
      <c r="F698" s="21" t="s">
        <v>277</v>
      </c>
      <c r="G698" s="21" t="s">
        <v>197</v>
      </c>
      <c r="H698" s="21" t="str">
        <f t="shared" si="21"/>
        <v>SHOPIAN</v>
      </c>
      <c r="I698" s="21" t="s">
        <v>10285</v>
      </c>
      <c r="J698" s="22">
        <v>46140</v>
      </c>
      <c r="K698" s="21">
        <v>9797183691</v>
      </c>
      <c r="L698" s="21" t="s">
        <v>9241</v>
      </c>
      <c r="M698" s="23" t="s">
        <v>10469</v>
      </c>
      <c r="N698" s="22">
        <v>46140</v>
      </c>
      <c r="O698" s="21" t="s">
        <v>23</v>
      </c>
      <c r="P698" s="24">
        <v>46140</v>
      </c>
      <c r="Q698" s="21" t="s">
        <v>6454</v>
      </c>
      <c r="R698" s="21"/>
    </row>
    <row r="699" spans="1:18" x14ac:dyDescent="0.25">
      <c r="A699" s="21">
        <f t="shared" si="20"/>
        <v>698</v>
      </c>
      <c r="B699" s="21" t="s">
        <v>10287</v>
      </c>
      <c r="C699" s="21" t="s">
        <v>10288</v>
      </c>
      <c r="D699" s="21" t="s">
        <v>10289</v>
      </c>
      <c r="E699" s="21" t="s">
        <v>10290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10295</v>
      </c>
      <c r="J699" s="22">
        <v>46140</v>
      </c>
      <c r="K699" s="21">
        <v>9906169445</v>
      </c>
      <c r="L699" s="21" t="s">
        <v>10109</v>
      </c>
      <c r="M699" s="23" t="s">
        <v>10347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10296</v>
      </c>
      <c r="C700" s="21" t="s">
        <v>10297</v>
      </c>
      <c r="D700" s="21" t="s">
        <v>10298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10307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10299</v>
      </c>
      <c r="C701" s="21" t="s">
        <v>10300</v>
      </c>
      <c r="D701" s="21" t="s">
        <v>10301</v>
      </c>
      <c r="E701" s="21" t="s">
        <v>10302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10308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10303</v>
      </c>
      <c r="C702" s="21" t="s">
        <v>10304</v>
      </c>
      <c r="D702" s="21" t="s">
        <v>10305</v>
      </c>
      <c r="E702" s="21" t="s">
        <v>10306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10309</v>
      </c>
      <c r="J702" s="22">
        <v>46141</v>
      </c>
      <c r="K702" s="21">
        <v>9906916201</v>
      </c>
      <c r="L702" s="21" t="s">
        <v>10243</v>
      </c>
      <c r="M702" s="23" t="s">
        <v>10236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10315</v>
      </c>
      <c r="C703" s="21" t="s">
        <v>10316</v>
      </c>
      <c r="D703" s="21" t="s">
        <v>10317</v>
      </c>
      <c r="E703" s="21" t="s">
        <v>10318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10320</v>
      </c>
      <c r="J703" s="22">
        <v>46141</v>
      </c>
      <c r="K703" s="21">
        <v>7780813464</v>
      </c>
      <c r="L703" s="21" t="s">
        <v>6534</v>
      </c>
      <c r="M703" s="23" t="s">
        <v>10471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10322</v>
      </c>
      <c r="C704" s="21" t="s">
        <v>10323</v>
      </c>
      <c r="D704" s="21" t="s">
        <v>10325</v>
      </c>
      <c r="E704" s="21" t="s">
        <v>10324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10336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10326</v>
      </c>
      <c r="C705" s="21" t="s">
        <v>10327</v>
      </c>
      <c r="D705" s="21" t="s">
        <v>10328</v>
      </c>
      <c r="E705" s="21" t="s">
        <v>10329</v>
      </c>
      <c r="F705" s="21" t="s">
        <v>98</v>
      </c>
      <c r="G705" s="21" t="s">
        <v>197</v>
      </c>
      <c r="H705" s="21" t="str">
        <f t="shared" si="21"/>
        <v>PULWAMA</v>
      </c>
      <c r="I705" s="21" t="s">
        <v>10335</v>
      </c>
      <c r="J705" s="22">
        <v>46142</v>
      </c>
      <c r="K705" s="21">
        <v>7006832228</v>
      </c>
      <c r="L705" s="21" t="s">
        <v>6564</v>
      </c>
      <c r="M705" s="23"/>
      <c r="N705" s="22"/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10330</v>
      </c>
      <c r="C706" s="21" t="s">
        <v>10331</v>
      </c>
      <c r="D706" s="21" t="s">
        <v>10332</v>
      </c>
      <c r="E706" s="21" t="s">
        <v>10333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10334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10337</v>
      </c>
      <c r="C707" s="21" t="s">
        <v>10341</v>
      </c>
      <c r="D707" s="21" t="s">
        <v>10342</v>
      </c>
      <c r="E707" s="21" t="s">
        <v>10343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10344</v>
      </c>
      <c r="J707" s="22">
        <v>46142</v>
      </c>
      <c r="K707" s="21">
        <v>9906742075</v>
      </c>
      <c r="L707" s="21" t="s">
        <v>68</v>
      </c>
      <c r="M707" s="23" t="s">
        <v>10721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10340</v>
      </c>
      <c r="C708" s="21" t="s">
        <v>10338</v>
      </c>
      <c r="D708" s="21" t="s">
        <v>10339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10345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10348</v>
      </c>
      <c r="C709" s="21" t="s">
        <v>10349</v>
      </c>
      <c r="D709" s="21" t="s">
        <v>10358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10376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10350</v>
      </c>
      <c r="C710" s="21" t="s">
        <v>10351</v>
      </c>
      <c r="D710" s="21" t="s">
        <v>10357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10383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10352</v>
      </c>
      <c r="C711" s="21" t="s">
        <v>10353</v>
      </c>
      <c r="D711" s="21" t="s">
        <v>10360</v>
      </c>
      <c r="E711" s="21" t="s">
        <v>10354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10377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10355</v>
      </c>
      <c r="C712" s="21" t="s">
        <v>10356</v>
      </c>
      <c r="D712" s="21" t="s">
        <v>10359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10380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10361</v>
      </c>
      <c r="C713" s="21" t="s">
        <v>10362</v>
      </c>
      <c r="D713" s="21" t="s">
        <v>10363</v>
      </c>
      <c r="E713" s="21" t="s">
        <v>10364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10381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10733</v>
      </c>
    </row>
    <row r="714" spans="1:18" x14ac:dyDescent="0.25">
      <c r="A714" s="21">
        <f t="shared" si="22"/>
        <v>713</v>
      </c>
      <c r="B714" s="21" t="s">
        <v>10365</v>
      </c>
      <c r="C714" s="21" t="s">
        <v>10367</v>
      </c>
      <c r="D714" s="21" t="s">
        <v>10368</v>
      </c>
      <c r="E714" s="21" t="s">
        <v>10366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10378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10369</v>
      </c>
      <c r="C715" s="21" t="s">
        <v>10370</v>
      </c>
      <c r="D715" s="21" t="s">
        <v>10371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10379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10372</v>
      </c>
      <c r="C716" s="21" t="s">
        <v>10373</v>
      </c>
      <c r="D716" s="21" t="s">
        <v>10374</v>
      </c>
      <c r="E716" s="21" t="s">
        <v>10375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10382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10403</v>
      </c>
      <c r="C717" s="21" t="s">
        <v>10404</v>
      </c>
      <c r="D717" s="21" t="s">
        <v>10405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10410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10399</v>
      </c>
      <c r="C718" s="21" t="s">
        <v>10400</v>
      </c>
      <c r="D718" s="21" t="s">
        <v>10401</v>
      </c>
      <c r="E718" s="21" t="s">
        <v>10402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10411</v>
      </c>
      <c r="J718" s="22">
        <v>46144</v>
      </c>
      <c r="K718" s="21">
        <v>7006898249</v>
      </c>
      <c r="L718" s="21" t="s">
        <v>6515</v>
      </c>
      <c r="M718" s="23" t="s">
        <v>10773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10395</v>
      </c>
      <c r="C719" s="21" t="s">
        <v>10396</v>
      </c>
      <c r="D719" s="21" t="s">
        <v>10397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10398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10406</v>
      </c>
      <c r="C720" s="21" t="s">
        <v>10412</v>
      </c>
      <c r="D720" s="21" t="s">
        <v>10407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10408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10394</v>
      </c>
      <c r="C721" s="21" t="s">
        <v>10392</v>
      </c>
      <c r="D721" s="21" t="s">
        <v>10393</v>
      </c>
      <c r="E721" s="21" t="s">
        <v>10391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10409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10473</v>
      </c>
    </row>
    <row r="722" spans="1:18" x14ac:dyDescent="0.25">
      <c r="A722" s="21">
        <f t="shared" si="22"/>
        <v>721</v>
      </c>
      <c r="B722" s="21" t="s">
        <v>10420</v>
      </c>
      <c r="C722" s="21" t="s">
        <v>10417</v>
      </c>
      <c r="D722" s="21" t="s">
        <v>10418</v>
      </c>
      <c r="E722" s="21" t="s">
        <v>10419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10429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10425</v>
      </c>
      <c r="C723" s="21" t="s">
        <v>10426</v>
      </c>
      <c r="D723" s="21" t="s">
        <v>10427</v>
      </c>
      <c r="E723" s="21" t="s">
        <v>10428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10430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10421</v>
      </c>
      <c r="C724" s="21" t="s">
        <v>10422</v>
      </c>
      <c r="D724" s="21" t="s">
        <v>10423</v>
      </c>
      <c r="E724" s="21" t="s">
        <v>10424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10438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10431</v>
      </c>
      <c r="C725" s="21" t="s">
        <v>10432</v>
      </c>
      <c r="D725" s="21" t="s">
        <v>10433</v>
      </c>
      <c r="E725" s="21" t="s">
        <v>10434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10437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10445</v>
      </c>
      <c r="C726" s="21" t="s">
        <v>10446</v>
      </c>
      <c r="D726" s="21" t="s">
        <v>10447</v>
      </c>
      <c r="E726" s="21" t="s">
        <v>10448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10454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10449</v>
      </c>
      <c r="C727" s="21" t="s">
        <v>10450</v>
      </c>
      <c r="D727" s="21" t="s">
        <v>10451</v>
      </c>
      <c r="E727" s="21" t="s">
        <v>10452</v>
      </c>
      <c r="F727" s="21" t="s">
        <v>10453</v>
      </c>
      <c r="G727" s="21" t="s">
        <v>196</v>
      </c>
      <c r="H727" s="21" t="str">
        <f t="shared" si="23"/>
        <v>SRINAGAR</v>
      </c>
      <c r="I727" s="21" t="s">
        <v>10455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10456</v>
      </c>
      <c r="C728" s="21" t="s">
        <v>10457</v>
      </c>
      <c r="D728" s="21" t="s">
        <v>10458</v>
      </c>
      <c r="E728" s="21" t="s">
        <v>10459</v>
      </c>
      <c r="F728" s="21" t="s">
        <v>12</v>
      </c>
      <c r="G728" s="21" t="s">
        <v>171</v>
      </c>
      <c r="H728" s="21" t="str">
        <f t="shared" si="23"/>
        <v>SRINAGAR</v>
      </c>
      <c r="I728" s="21" t="s">
        <v>10465</v>
      </c>
      <c r="J728" s="22">
        <v>46147</v>
      </c>
      <c r="K728" s="21">
        <v>7006076673</v>
      </c>
      <c r="L728" s="21" t="s">
        <v>6564</v>
      </c>
      <c r="M728" s="23"/>
      <c r="N728" s="22"/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10460</v>
      </c>
      <c r="C729" s="21" t="s">
        <v>10461</v>
      </c>
      <c r="D729" s="21" t="s">
        <v>10462</v>
      </c>
      <c r="E729" s="21" t="s">
        <v>10463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10464</v>
      </c>
      <c r="J729" s="22">
        <v>46147</v>
      </c>
      <c r="K729" s="21">
        <v>9622856758</v>
      </c>
      <c r="L729" s="21" t="s">
        <v>2143</v>
      </c>
      <c r="M729" s="23" t="s">
        <v>6436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10474</v>
      </c>
      <c r="C730" s="21" t="s">
        <v>10475</v>
      </c>
      <c r="D730" s="21" t="s">
        <v>10476</v>
      </c>
      <c r="E730" s="21" t="s">
        <v>10477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10488</v>
      </c>
      <c r="J730" s="22">
        <v>46148</v>
      </c>
      <c r="K730" s="21">
        <v>6006411258</v>
      </c>
      <c r="L730" s="21" t="s">
        <v>6515</v>
      </c>
      <c r="M730" s="23" t="s">
        <v>10773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10478</v>
      </c>
      <c r="C731" s="21" t="s">
        <v>10479</v>
      </c>
      <c r="D731" s="21" t="s">
        <v>10480</v>
      </c>
      <c r="E731" s="21" t="s">
        <v>10481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10490</v>
      </c>
      <c r="J731" s="22">
        <v>46148</v>
      </c>
      <c r="K731" s="21">
        <v>9541581455</v>
      </c>
      <c r="L731" s="21" t="s">
        <v>10486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10482</v>
      </c>
      <c r="C732" s="21" t="s">
        <v>10483</v>
      </c>
      <c r="D732" s="21" t="s">
        <v>10484</v>
      </c>
      <c r="E732" s="21" t="s">
        <v>10485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10487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10509</v>
      </c>
      <c r="C733" s="21" t="s">
        <v>10516</v>
      </c>
      <c r="D733" s="21" t="s">
        <v>10510</v>
      </c>
      <c r="E733" s="21" t="s">
        <v>10511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10522</v>
      </c>
      <c r="J733" s="22">
        <v>46149</v>
      </c>
      <c r="K733" s="21">
        <v>8493884319</v>
      </c>
      <c r="L733" s="21" t="s">
        <v>6515</v>
      </c>
      <c r="M733" s="23" t="s">
        <v>10773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10495</v>
      </c>
      <c r="C734" s="21" t="s">
        <v>10496</v>
      </c>
      <c r="D734" s="21" t="s">
        <v>10497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10498</v>
      </c>
      <c r="J734" s="22">
        <v>46149</v>
      </c>
      <c r="K734" s="21">
        <v>9682180757</v>
      </c>
      <c r="L734" s="21" t="s">
        <v>10163</v>
      </c>
      <c r="M734" s="23" t="s">
        <v>10508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10499</v>
      </c>
      <c r="C735" s="21" t="s">
        <v>10500</v>
      </c>
      <c r="D735" s="21" t="s">
        <v>10501</v>
      </c>
      <c r="E735" s="21" t="s">
        <v>10502</v>
      </c>
      <c r="F735" s="21" t="s">
        <v>12</v>
      </c>
      <c r="G735" s="21" t="s">
        <v>197</v>
      </c>
      <c r="H735" s="21" t="str">
        <f t="shared" si="23"/>
        <v>SHOPIAN</v>
      </c>
      <c r="I735" s="21" t="s">
        <v>10503</v>
      </c>
      <c r="J735" s="22">
        <v>46149</v>
      </c>
      <c r="K735" s="21">
        <v>7006112317</v>
      </c>
      <c r="L735" s="21" t="s">
        <v>6564</v>
      </c>
      <c r="M735" s="23"/>
      <c r="N735" s="22"/>
      <c r="O735" s="21"/>
      <c r="P735" s="24"/>
      <c r="Q735" s="21"/>
      <c r="R735" s="21"/>
    </row>
    <row r="736" spans="1:18" x14ac:dyDescent="0.25">
      <c r="A736" s="21">
        <f t="shared" si="22"/>
        <v>735</v>
      </c>
      <c r="B736" s="21" t="s">
        <v>10512</v>
      </c>
      <c r="C736" s="21" t="s">
        <v>10513</v>
      </c>
      <c r="D736" s="21" t="s">
        <v>10514</v>
      </c>
      <c r="E736" s="21" t="s">
        <v>10515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10523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10517</v>
      </c>
      <c r="C737" s="21" t="s">
        <v>10518</v>
      </c>
      <c r="D737" s="21" t="s">
        <v>10519</v>
      </c>
      <c r="E737" s="21" t="s">
        <v>10520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10521</v>
      </c>
      <c r="J737" s="22">
        <v>46149</v>
      </c>
      <c r="K737" s="21">
        <v>9682364085</v>
      </c>
      <c r="L737" s="21" t="s">
        <v>303</v>
      </c>
      <c r="M737" s="23" t="s">
        <v>10776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10542</v>
      </c>
      <c r="C738" s="21" t="s">
        <v>10540</v>
      </c>
      <c r="D738" s="21" t="s">
        <v>10541</v>
      </c>
      <c r="E738" s="21" t="s">
        <v>10529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10550</v>
      </c>
      <c r="J738" s="22">
        <v>46151</v>
      </c>
      <c r="K738" s="21">
        <v>6006411019</v>
      </c>
      <c r="L738" s="21" t="s">
        <v>6515</v>
      </c>
      <c r="M738" s="23" t="s">
        <v>10773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10536</v>
      </c>
      <c r="C739" s="21" t="s">
        <v>10534</v>
      </c>
      <c r="D739" s="21" t="s">
        <v>10535</v>
      </c>
      <c r="E739" s="21" t="s">
        <v>10531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10547</v>
      </c>
      <c r="J739" s="22">
        <v>46151</v>
      </c>
      <c r="K739" s="21">
        <v>6006091335</v>
      </c>
      <c r="L739" s="21" t="s">
        <v>6515</v>
      </c>
      <c r="M739" s="23" t="s">
        <v>10773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10524</v>
      </c>
      <c r="C740" s="21" t="s">
        <v>10525</v>
      </c>
      <c r="D740" s="21" t="s">
        <v>10526</v>
      </c>
      <c r="E740" s="21" t="s">
        <v>10527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10548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10539</v>
      </c>
      <c r="C741" s="21" t="s">
        <v>10537</v>
      </c>
      <c r="D741" s="21" t="s">
        <v>10538</v>
      </c>
      <c r="E741" s="21" t="s">
        <v>10530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10546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10545</v>
      </c>
      <c r="C742" s="21" t="s">
        <v>10543</v>
      </c>
      <c r="D742" s="21" t="s">
        <v>10544</v>
      </c>
      <c r="E742" s="21" t="s">
        <v>10528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10549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10554</v>
      </c>
      <c r="C743" s="21" t="s">
        <v>10553</v>
      </c>
      <c r="D743" s="21" t="s">
        <v>10555</v>
      </c>
      <c r="E743" s="21" t="s">
        <v>10552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10556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10574</v>
      </c>
      <c r="C744" s="21" t="s">
        <v>10575</v>
      </c>
      <c r="D744" s="21" t="s">
        <v>10576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10577</v>
      </c>
      <c r="J744" s="22">
        <v>46154</v>
      </c>
      <c r="K744" s="21">
        <v>9906403170</v>
      </c>
      <c r="L744" s="21" t="s">
        <v>6515</v>
      </c>
      <c r="M744" s="23" t="s">
        <v>10774</v>
      </c>
      <c r="N744" s="22"/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10563</v>
      </c>
      <c r="C745" s="21" t="s">
        <v>10560</v>
      </c>
      <c r="D745" s="21" t="s">
        <v>10561</v>
      </c>
      <c r="E745" s="21" t="s">
        <v>10562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10578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10564</v>
      </c>
      <c r="C746" s="21" t="s">
        <v>10565</v>
      </c>
      <c r="D746" s="21" t="s">
        <v>10566</v>
      </c>
      <c r="E746" s="21" t="s">
        <v>10567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10573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10568</v>
      </c>
      <c r="C747" s="21" t="s">
        <v>10569</v>
      </c>
      <c r="D747" s="21" t="s">
        <v>10570</v>
      </c>
      <c r="E747" s="21" t="s">
        <v>10571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10572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10579</v>
      </c>
      <c r="C748" s="21" t="s">
        <v>10580</v>
      </c>
      <c r="D748" s="21" t="s">
        <v>10581</v>
      </c>
      <c r="E748" s="21" t="s">
        <v>10582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10587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10586</v>
      </c>
      <c r="C749" s="21" t="s">
        <v>10583</v>
      </c>
      <c r="D749" s="21" t="s">
        <v>10584</v>
      </c>
      <c r="E749" s="21" t="s">
        <v>10585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10588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10592</v>
      </c>
      <c r="C750" s="21" t="s">
        <v>10589</v>
      </c>
      <c r="D750" s="21" t="s">
        <v>10590</v>
      </c>
      <c r="E750" s="21" t="s">
        <v>10591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10598</v>
      </c>
      <c r="J750" s="22">
        <v>46155</v>
      </c>
      <c r="K750" s="21">
        <v>6006602208</v>
      </c>
      <c r="L750" s="21" t="s">
        <v>1122</v>
      </c>
      <c r="M750" s="23" t="s">
        <v>10626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10593</v>
      </c>
      <c r="C751" s="21" t="s">
        <v>10594</v>
      </c>
      <c r="D751" s="21" t="s">
        <v>10595</v>
      </c>
      <c r="E751" s="21" t="s">
        <v>10596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10597</v>
      </c>
      <c r="J751" s="22">
        <v>46155</v>
      </c>
      <c r="K751" s="21">
        <v>8492878158</v>
      </c>
      <c r="L751" s="21" t="s">
        <v>26</v>
      </c>
      <c r="M751" s="23"/>
      <c r="N751" s="22"/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10607</v>
      </c>
      <c r="C752" s="21" t="s">
        <v>10604</v>
      </c>
      <c r="D752" s="21" t="s">
        <v>10605</v>
      </c>
      <c r="E752" s="21" t="s">
        <v>10606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10614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10608</v>
      </c>
      <c r="C753" s="21" t="s">
        <v>10609</v>
      </c>
      <c r="D753" s="21" t="s">
        <v>10610</v>
      </c>
      <c r="E753" s="21" t="s">
        <v>10611</v>
      </c>
      <c r="F753" s="21" t="s">
        <v>5</v>
      </c>
      <c r="G753" s="21" t="s">
        <v>197</v>
      </c>
      <c r="H753" s="21" t="str">
        <f t="shared" si="23"/>
        <v>PULWAMA</v>
      </c>
      <c r="I753" s="21" t="s">
        <v>10613</v>
      </c>
      <c r="J753" s="22">
        <v>46156</v>
      </c>
      <c r="K753" s="21">
        <v>7780989757</v>
      </c>
      <c r="L753" s="21" t="s">
        <v>6564</v>
      </c>
      <c r="M753" s="23"/>
      <c r="N753" s="22"/>
      <c r="O753" s="21"/>
      <c r="P753" s="24"/>
      <c r="Q753" s="21"/>
      <c r="R753" s="21"/>
    </row>
    <row r="754" spans="1:18" x14ac:dyDescent="0.25">
      <c r="A754" s="21">
        <f t="shared" si="22"/>
        <v>753</v>
      </c>
      <c r="B754" s="21" t="s">
        <v>10615</v>
      </c>
      <c r="C754" s="21" t="s">
        <v>10616</v>
      </c>
      <c r="D754" s="21" t="s">
        <v>10617</v>
      </c>
      <c r="E754" s="21" t="s">
        <v>10618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10623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10619</v>
      </c>
      <c r="C755" s="21" t="s">
        <v>10620</v>
      </c>
      <c r="D755" s="21" t="s">
        <v>10621</v>
      </c>
      <c r="E755" s="21" t="s">
        <v>10622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10624</v>
      </c>
      <c r="J755" s="22">
        <v>46156</v>
      </c>
      <c r="K755" s="21">
        <v>9906441078</v>
      </c>
      <c r="L755" s="21" t="s">
        <v>10671</v>
      </c>
      <c r="M755" s="23"/>
      <c r="N755" s="22"/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10494</v>
      </c>
      <c r="C756" s="21" t="s">
        <v>10491</v>
      </c>
      <c r="D756" s="21" t="s">
        <v>10492</v>
      </c>
      <c r="E756" s="21" t="s">
        <v>10493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10627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10629</v>
      </c>
      <c r="C757" s="21" t="s">
        <v>10630</v>
      </c>
      <c r="D757" s="21" t="s">
        <v>10631</v>
      </c>
      <c r="E757" s="21" t="s">
        <v>10632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10638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10633</v>
      </c>
      <c r="C758" s="21" t="s">
        <v>10635</v>
      </c>
      <c r="D758" s="21" t="s">
        <v>10636</v>
      </c>
      <c r="E758" s="21" t="s">
        <v>10637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10634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10657</v>
      </c>
      <c r="C759" s="21" t="s">
        <v>10640</v>
      </c>
      <c r="D759" s="21" t="s">
        <v>10641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10650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10639</v>
      </c>
      <c r="C760" s="21" t="s">
        <v>10642</v>
      </c>
      <c r="D760" s="21" t="s">
        <v>10643</v>
      </c>
      <c r="E760" s="21" t="s">
        <v>10644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10649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10648</v>
      </c>
      <c r="C761" s="21" t="s">
        <v>10645</v>
      </c>
      <c r="D761" s="21" t="s">
        <v>10646</v>
      </c>
      <c r="E761" s="21" t="s">
        <v>10647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10651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10656</v>
      </c>
      <c r="C762" s="21" t="s">
        <v>10654</v>
      </c>
      <c r="D762" s="21" t="s">
        <v>10655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10660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10661</v>
      </c>
      <c r="C763" s="21" t="s">
        <v>10662</v>
      </c>
      <c r="D763" s="21" t="s">
        <v>10663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10673</v>
      </c>
      <c r="J763" s="22">
        <v>46158</v>
      </c>
      <c r="K763" s="21">
        <v>9797711481</v>
      </c>
      <c r="L763" s="21" t="s">
        <v>6515</v>
      </c>
      <c r="M763" s="23" t="s">
        <v>10773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10664</v>
      </c>
      <c r="C764" s="21" t="s">
        <v>10665</v>
      </c>
      <c r="D764" s="21" t="s">
        <v>10666</v>
      </c>
      <c r="E764" s="21" t="s">
        <v>10667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10672</v>
      </c>
      <c r="J764" s="22">
        <v>46158</v>
      </c>
      <c r="K764" s="21">
        <v>9622787355</v>
      </c>
      <c r="L764" s="21" t="s">
        <v>9902</v>
      </c>
      <c r="M764" s="23" t="s">
        <v>10773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10684</v>
      </c>
      <c r="C765" s="21" t="s">
        <v>10685</v>
      </c>
      <c r="D765" s="21" t="s">
        <v>10686</v>
      </c>
      <c r="E765" s="21" t="s">
        <v>10687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10688</v>
      </c>
      <c r="J765" s="22">
        <v>46158</v>
      </c>
      <c r="K765" s="21">
        <v>7006975068</v>
      </c>
      <c r="L765" s="21" t="s">
        <v>26</v>
      </c>
      <c r="M765" s="23" t="s">
        <v>6436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10692</v>
      </c>
      <c r="C766" s="21" t="s">
        <v>10690</v>
      </c>
      <c r="D766" s="21" t="s">
        <v>10691</v>
      </c>
      <c r="E766" s="21" t="s">
        <v>10689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10693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10695</v>
      </c>
      <c r="C767" s="21" t="s">
        <v>10696</v>
      </c>
      <c r="D767" s="21" t="s">
        <v>10697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10698</v>
      </c>
      <c r="J767" s="22">
        <v>46160</v>
      </c>
      <c r="K767" s="21">
        <v>7889482504</v>
      </c>
      <c r="L767" s="21" t="s">
        <v>10243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10702</v>
      </c>
      <c r="C768" s="21" t="s">
        <v>10699</v>
      </c>
      <c r="D768" s="21" t="s">
        <v>10700</v>
      </c>
      <c r="E768" s="21" t="s">
        <v>10701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10703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10707</v>
      </c>
      <c r="C769" s="21" t="s">
        <v>10704</v>
      </c>
      <c r="D769" s="21" t="s">
        <v>10705</v>
      </c>
      <c r="E769" s="21" t="s">
        <v>10706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10710</v>
      </c>
      <c r="J769" s="22">
        <v>46160</v>
      </c>
      <c r="K769" s="21">
        <v>8803043296</v>
      </c>
      <c r="L769" s="21" t="s">
        <v>59</v>
      </c>
      <c r="M769" s="23"/>
      <c r="N769" s="22"/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00" si="24">ROW()-1</f>
        <v>769</v>
      </c>
      <c r="B770" s="21" t="s">
        <v>10682</v>
      </c>
      <c r="C770" s="21" t="s">
        <v>10679</v>
      </c>
      <c r="D770" s="21" t="s">
        <v>10680</v>
      </c>
      <c r="E770" s="21" t="s">
        <v>10681</v>
      </c>
      <c r="F770" s="21" t="s">
        <v>12</v>
      </c>
      <c r="G770" s="21" t="s">
        <v>178</v>
      </c>
      <c r="H770" s="21" t="str">
        <f t="shared" ref="H770:H792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10720</v>
      </c>
      <c r="J770" s="22">
        <v>46161</v>
      </c>
      <c r="K770" s="21">
        <v>7006036071</v>
      </c>
      <c r="L770" s="21" t="s">
        <v>26</v>
      </c>
      <c r="M770" s="23"/>
      <c r="N770" s="22"/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10736</v>
      </c>
      <c r="C771" s="21" t="s">
        <v>10726</v>
      </c>
      <c r="D771" s="21" t="s">
        <v>10727</v>
      </c>
      <c r="E771" s="21" t="s">
        <v>10734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10728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10737</v>
      </c>
      <c r="C772" s="21" t="s">
        <v>10730</v>
      </c>
      <c r="D772" s="21" t="s">
        <v>10731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10729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10722</v>
      </c>
      <c r="C773" s="21" t="s">
        <v>10723</v>
      </c>
      <c r="D773" s="21" t="s">
        <v>10725</v>
      </c>
      <c r="E773" s="21" t="s">
        <v>10724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10751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10762</v>
      </c>
      <c r="C774" s="21" t="s">
        <v>10763</v>
      </c>
      <c r="D774" s="21" t="s">
        <v>10764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10765</v>
      </c>
      <c r="J774" s="22">
        <v>46162</v>
      </c>
      <c r="K774" s="21">
        <v>9596210841</v>
      </c>
      <c r="L774" s="21" t="s">
        <v>6515</v>
      </c>
      <c r="M774" s="23" t="s">
        <v>10774</v>
      </c>
      <c r="N774" s="22"/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10738</v>
      </c>
      <c r="C775" s="21" t="s">
        <v>10740</v>
      </c>
      <c r="D775" s="21" t="s">
        <v>10741</v>
      </c>
      <c r="E775" s="21" t="s">
        <v>10739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10749</v>
      </c>
      <c r="J775" s="22">
        <v>46162</v>
      </c>
      <c r="K775" s="21">
        <v>9906598118</v>
      </c>
      <c r="L775" s="21" t="s">
        <v>59</v>
      </c>
      <c r="M775" s="23"/>
      <c r="N775" s="22"/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10742</v>
      </c>
      <c r="C776" s="21" t="s">
        <v>10743</v>
      </c>
      <c r="D776" s="21" t="s">
        <v>10744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10750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10748</v>
      </c>
      <c r="C777" s="21" t="s">
        <v>10745</v>
      </c>
      <c r="D777" s="21" t="s">
        <v>10746</v>
      </c>
      <c r="E777" s="21" t="s">
        <v>10747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10752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10754</v>
      </c>
      <c r="C778" s="21" t="s">
        <v>10755</v>
      </c>
      <c r="D778" s="21" t="s">
        <v>10757</v>
      </c>
      <c r="E778" s="21" t="s">
        <v>10756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10766</v>
      </c>
      <c r="J778" s="22">
        <v>46162</v>
      </c>
      <c r="K778" s="21">
        <v>9622446603</v>
      </c>
      <c r="L778" s="21" t="s">
        <v>73</v>
      </c>
      <c r="M778" s="23"/>
      <c r="N778" s="22"/>
      <c r="O778" s="21" t="s">
        <v>23</v>
      </c>
      <c r="P778" s="24">
        <v>46162</v>
      </c>
      <c r="Q778" s="21" t="s">
        <v>10857</v>
      </c>
      <c r="R778" s="21"/>
    </row>
    <row r="779" spans="1:18" x14ac:dyDescent="0.25">
      <c r="A779" s="21">
        <f t="shared" si="24"/>
        <v>778</v>
      </c>
      <c r="B779" s="21" t="s">
        <v>10758</v>
      </c>
      <c r="C779" s="21" t="s">
        <v>10759</v>
      </c>
      <c r="D779" s="21" t="s">
        <v>10760</v>
      </c>
      <c r="E779" s="21" t="s">
        <v>10761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10767</v>
      </c>
      <c r="J779" s="22">
        <v>46162</v>
      </c>
      <c r="K779" s="21">
        <v>7889983618</v>
      </c>
      <c r="L779" s="21" t="s">
        <v>303</v>
      </c>
      <c r="M779" s="23"/>
      <c r="N779" s="22"/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10769</v>
      </c>
      <c r="C780" s="21" t="s">
        <v>10770</v>
      </c>
      <c r="D780" s="21" t="s">
        <v>10771</v>
      </c>
      <c r="E780" s="21" t="s">
        <v>10772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10775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10780</v>
      </c>
      <c r="C781" s="21" t="s">
        <v>10781</v>
      </c>
      <c r="D781" s="21" t="s">
        <v>10782</v>
      </c>
      <c r="E781" s="21" t="s">
        <v>10783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10784</v>
      </c>
      <c r="J781" s="22">
        <v>46163</v>
      </c>
      <c r="K781" s="21">
        <v>8825010525</v>
      </c>
      <c r="L781" s="21" t="s">
        <v>2244</v>
      </c>
      <c r="M781" s="23"/>
      <c r="N781" s="22"/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10777</v>
      </c>
      <c r="C782" s="21" t="s">
        <v>10778</v>
      </c>
      <c r="D782" s="21" t="s">
        <v>10779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10801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10786</v>
      </c>
      <c r="C783" s="21" t="s">
        <v>10787</v>
      </c>
      <c r="D783" s="21" t="s">
        <v>10788</v>
      </c>
      <c r="E783" s="21" t="s">
        <v>10789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10802</v>
      </c>
      <c r="J783" s="22">
        <v>46163</v>
      </c>
      <c r="K783" s="21">
        <v>9797928475</v>
      </c>
      <c r="L783" s="21" t="s">
        <v>68</v>
      </c>
      <c r="M783" s="23"/>
      <c r="N783" s="22"/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10793</v>
      </c>
      <c r="C784" s="21" t="s">
        <v>10790</v>
      </c>
      <c r="D784" s="21" t="s">
        <v>10791</v>
      </c>
      <c r="E784" s="21" t="s">
        <v>10792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10803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10794</v>
      </c>
      <c r="C785" s="21" t="s">
        <v>10795</v>
      </c>
      <c r="D785" s="21" t="s">
        <v>10796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10805</v>
      </c>
      <c r="J785" s="22">
        <v>46163</v>
      </c>
      <c r="K785" s="21">
        <v>9596171727</v>
      </c>
      <c r="L785" s="21" t="s">
        <v>303</v>
      </c>
      <c r="M785" s="23"/>
      <c r="N785" s="22"/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10797</v>
      </c>
      <c r="C786" s="21" t="s">
        <v>10798</v>
      </c>
      <c r="D786" s="21" t="s">
        <v>10799</v>
      </c>
      <c r="E786" s="21" t="s">
        <v>10800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10804</v>
      </c>
      <c r="J786" s="22">
        <v>46163</v>
      </c>
      <c r="K786" s="21">
        <v>8803833012</v>
      </c>
      <c r="L786" s="21" t="s">
        <v>303</v>
      </c>
      <c r="M786" s="23"/>
      <c r="N786" s="22"/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10815</v>
      </c>
      <c r="C787" s="21" t="s">
        <v>10812</v>
      </c>
      <c r="D787" s="21" t="s">
        <v>10813</v>
      </c>
      <c r="E787" s="21" t="s">
        <v>10814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10833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10818</v>
      </c>
      <c r="C788" s="21" t="s">
        <v>10816</v>
      </c>
      <c r="D788" s="21" t="s">
        <v>10817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10832</v>
      </c>
      <c r="J788" s="22">
        <v>46164</v>
      </c>
      <c r="K788" s="21">
        <v>9906666238</v>
      </c>
      <c r="L788" s="21" t="s">
        <v>68</v>
      </c>
      <c r="M788" s="23"/>
      <c r="N788" s="22"/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10827</v>
      </c>
      <c r="C789" s="21" t="s">
        <v>10828</v>
      </c>
      <c r="D789" s="21" t="s">
        <v>10829</v>
      </c>
      <c r="E789" s="21" t="s">
        <v>10830</v>
      </c>
      <c r="F789" s="21" t="s">
        <v>12</v>
      </c>
      <c r="G789" s="21" t="s">
        <v>178</v>
      </c>
      <c r="H789" s="21" t="str">
        <f>IF(LEFT(I789,4)="JK13","PULWAMA",IF(LEFT(I789,4)="JK01","SRINAGAR",IF(LEFT(I789,4)="JK04","BUDGAM",IF(LEFT(I789,4)="JK03","ANANTNAG",IF(LEFT(I789,4)="LA01","KARGIL",IF(LEFT(I789,4)="JK05","BARAMULLA",IF(LEFT(I789,4)="26BH","BHARAT",IF(LEFT(I789,4)="25BH","BHARAT",IF(LEFT(I789,4)="JK12","POONCH",IF(LEFT(I789,4)="JK16","GANDERBAL",IF(LEFT(I789,4)="JK18","KULGAM",IF(LEFT(I789,4)="JK22","SHOPIAN",IF(LEFT(I789,4)="JK02","JAMMU",IF(LEFT(I789,4)="JK09","KUPWARA",IF(LEFT(I789,4)="JK15","BANDIPORA",IF(LEFT(I789,4)="JK17","KISHTWAR",IF(LEFT(I789,4)="LA01","KARGIL",IF(LEFT(I789,1)="T","TEMP","NEW"))))))))))))))))))</f>
        <v>SRINAGAR</v>
      </c>
      <c r="I789" s="21" t="s">
        <v>10831</v>
      </c>
      <c r="J789" s="22">
        <v>46164</v>
      </c>
      <c r="K789" s="21">
        <v>7006107410</v>
      </c>
      <c r="L789" s="21" t="s">
        <v>6823</v>
      </c>
      <c r="M789" s="23"/>
      <c r="N789" s="22"/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10823</v>
      </c>
      <c r="C790" s="21" t="s">
        <v>10824</v>
      </c>
      <c r="D790" s="21" t="s">
        <v>10825</v>
      </c>
      <c r="E790" s="21" t="s">
        <v>10826</v>
      </c>
      <c r="F790" s="21" t="s">
        <v>12</v>
      </c>
      <c r="G790" s="21" t="s">
        <v>178</v>
      </c>
      <c r="H790" s="21" t="str">
        <f>IF(LEFT(I790,4)="JK13","PULWAMA",IF(LEFT(I790,4)="JK01","SRINAGAR",IF(LEFT(I790,4)="JK04","BUDGAM",IF(LEFT(I790,4)="JK03","ANANTNAG",IF(LEFT(I790,4)="LA01","KARGIL",IF(LEFT(I790,4)="JK05","BARAMULLA",IF(LEFT(I790,4)="26BH","BHARAT",IF(LEFT(I790,4)="25BH","BHARAT",IF(LEFT(I790,4)="JK12","POONCH",IF(LEFT(I790,4)="JK16","GANDERBAL",IF(LEFT(I790,4)="JK18","KULGAM",IF(LEFT(I790,4)="JK22","SHOPIAN",IF(LEFT(I790,4)="JK02","JAMMU",IF(LEFT(I790,4)="JK09","KUPWARA",IF(LEFT(I790,4)="JK15","BANDIPORA",IF(LEFT(I790,4)="JK17","KISHTWAR",IF(LEFT(I790,4)="LA01","KARGIL",IF(LEFT(I790,1)="T","TEMP","NEW"))))))))))))))))))</f>
        <v>TEMP</v>
      </c>
      <c r="I790" s="21" t="s">
        <v>10834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10822</v>
      </c>
      <c r="C791" s="21" t="s">
        <v>10819</v>
      </c>
      <c r="D791" s="21" t="s">
        <v>10820</v>
      </c>
      <c r="E791" s="21" t="s">
        <v>10821</v>
      </c>
      <c r="F791" s="21" t="s">
        <v>12</v>
      </c>
      <c r="G791" s="21" t="s">
        <v>197</v>
      </c>
      <c r="H791" s="21" t="str">
        <f>IF(LEFT(I791,4)="JK13","PULWAMA",IF(LEFT(I791,4)="JK01","SRINAGAR",IF(LEFT(I791,4)="JK04","BUDGAM",IF(LEFT(I791,4)="JK03","ANANTNAG",IF(LEFT(I791,4)="LA01","KARGIL",IF(LEFT(I791,4)="JK05","BARAMULLA",IF(LEFT(I791,4)="26BH","BHARAT",IF(LEFT(I791,4)="25BH","BHARAT",IF(LEFT(I791,4)="JK12","POONCH",IF(LEFT(I791,4)="JK16","GANDERBAL",IF(LEFT(I791,4)="JK18","KULGAM",IF(LEFT(I791,4)="JK22","SHOPIAN",IF(LEFT(I791,4)="JK02","JAMMU",IF(LEFT(I791,4)="JK09","KUPWARA",IF(LEFT(I791,4)="JK15","BANDIPORA",IF(LEFT(I791,4)="JK17","KISHTWAR",IF(LEFT(I791,4)="LA01","KARGIL",IF(LEFT(I791,1)="T","TEMP","NEW"))))))))))))))))))</f>
        <v>NEW</v>
      </c>
      <c r="I791" s="21"/>
      <c r="J791" s="22">
        <v>46164</v>
      </c>
      <c r="K791" s="21">
        <v>8493839221</v>
      </c>
      <c r="L791" s="21" t="s">
        <v>68</v>
      </c>
      <c r="M791" s="23"/>
      <c r="N791" s="22"/>
      <c r="O791" s="21"/>
      <c r="P791" s="24"/>
      <c r="Q791" s="21"/>
      <c r="R791" s="21"/>
    </row>
    <row r="792" spans="1:18" x14ac:dyDescent="0.25">
      <c r="A792" s="21">
        <f t="shared" si="24"/>
        <v>791</v>
      </c>
      <c r="B792" s="21" t="s">
        <v>10842</v>
      </c>
      <c r="C792" s="21" t="s">
        <v>10838</v>
      </c>
      <c r="D792" s="21" t="s">
        <v>10839</v>
      </c>
      <c r="E792" s="21" t="s">
        <v>10840</v>
      </c>
      <c r="F792" s="21" t="s">
        <v>277</v>
      </c>
      <c r="G792" s="21" t="s">
        <v>178</v>
      </c>
      <c r="H792" s="21" t="str">
        <f t="shared" si="25"/>
        <v>NEW</v>
      </c>
      <c r="I792" s="21" t="s">
        <v>10841</v>
      </c>
      <c r="J792" s="22">
        <v>46164</v>
      </c>
      <c r="K792" s="21">
        <v>8979091582</v>
      </c>
      <c r="L792" s="21" t="s">
        <v>6823</v>
      </c>
      <c r="M792" s="23"/>
      <c r="N792" s="22"/>
      <c r="O792" s="21"/>
      <c r="P792" s="24"/>
      <c r="Q792" s="21"/>
      <c r="R792" s="21"/>
    </row>
    <row r="793" spans="1:18" x14ac:dyDescent="0.25">
      <c r="A793" s="21">
        <f t="shared" si="24"/>
        <v>792</v>
      </c>
      <c r="B793" s="21" t="s">
        <v>10846</v>
      </c>
      <c r="C793" s="21" t="s">
        <v>10843</v>
      </c>
      <c r="D793" s="21" t="s">
        <v>10844</v>
      </c>
      <c r="E793" s="21" t="s">
        <v>10845</v>
      </c>
      <c r="F793" s="21" t="s">
        <v>12</v>
      </c>
      <c r="G793" s="21" t="s">
        <v>178</v>
      </c>
      <c r="H793" s="21" t="str">
        <f t="shared" ref="H793:H800" si="26">IF(LEFT(I793,4)="JK13","PULWAMA",IF(LEFT(I793,4)="JK01","SRINAGAR",IF(LEFT(I793,4)="JK04","BUDGAM",IF(LEFT(I793,4)="JK03","ANANTNAG",IF(LEFT(I793,4)="LA01","KARGIL",IF(LEFT(I793,4)="JK05","BARAMULLA",IF(LEFT(I793,4)="26BH","BHARAT",IF(LEFT(I793,4)="25BH","BHARAT",IF(LEFT(I793,4)="JK12","POONCH",IF(LEFT(I793,4)="JK16","GANDERBAL",IF(LEFT(I793,4)="JK18","KULGAM",IF(LEFT(I793,4)="JK22","SHOPIAN",IF(LEFT(I793,4)="JK02","JAMMU",IF(LEFT(I793,4)="JK09","KUPWARA",IF(LEFT(I793,4)="JK15","BANDIPORA",IF(LEFT(I793,4)="JK17","KISHTWAR",IF(LEFT(I793,4)="LA01","KARGIL",IF(LEFT(I793,1)="T","TEMP","NEW"))))))))))))))))))</f>
        <v>SRINAGAR</v>
      </c>
      <c r="I793" s="21" t="s">
        <v>10869</v>
      </c>
      <c r="J793" s="22">
        <v>46164</v>
      </c>
      <c r="K793" s="21">
        <v>9419766402</v>
      </c>
      <c r="L793" s="21" t="s">
        <v>10243</v>
      </c>
      <c r="M793" s="23"/>
      <c r="N793" s="22"/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10847</v>
      </c>
      <c r="C794" s="21" t="s">
        <v>10848</v>
      </c>
      <c r="D794" s="21" t="s">
        <v>10849</v>
      </c>
      <c r="E794" s="21" t="s">
        <v>10850</v>
      </c>
      <c r="F794" s="21" t="s">
        <v>5</v>
      </c>
      <c r="G794" s="21" t="s">
        <v>196</v>
      </c>
      <c r="H794" s="21" t="str">
        <f t="shared" si="26"/>
        <v>KUPWARA</v>
      </c>
      <c r="I794" s="21" t="s">
        <v>10868</v>
      </c>
      <c r="J794" s="22">
        <v>46164</v>
      </c>
      <c r="K794" s="21">
        <v>9797964101</v>
      </c>
      <c r="L794" s="21" t="s">
        <v>7689</v>
      </c>
      <c r="M794" s="23"/>
      <c r="N794" s="22"/>
      <c r="O794" s="21"/>
      <c r="P794" s="24"/>
      <c r="Q794" s="21"/>
      <c r="R794" s="21"/>
    </row>
    <row r="795" spans="1:18" x14ac:dyDescent="0.25">
      <c r="A795" s="21">
        <f t="shared" si="24"/>
        <v>794</v>
      </c>
      <c r="B795" s="21" t="s">
        <v>10863</v>
      </c>
      <c r="C795" s="21" t="s">
        <v>10860</v>
      </c>
      <c r="D795" s="21" t="s">
        <v>10861</v>
      </c>
      <c r="E795" s="21" t="s">
        <v>10862</v>
      </c>
      <c r="F795" s="21" t="s">
        <v>5</v>
      </c>
      <c r="G795" s="21" t="s">
        <v>196</v>
      </c>
      <c r="H795" s="21" t="str">
        <f t="shared" si="26"/>
        <v>KULGAM</v>
      </c>
      <c r="I795" s="21" t="s">
        <v>10871</v>
      </c>
      <c r="J795" s="22">
        <v>46165</v>
      </c>
      <c r="K795" s="21">
        <v>6006180214</v>
      </c>
      <c r="L795" s="21" t="s">
        <v>434</v>
      </c>
      <c r="M795" s="23"/>
      <c r="N795" s="22"/>
      <c r="O795" s="21" t="s">
        <v>23</v>
      </c>
      <c r="P795" s="24">
        <v>46165</v>
      </c>
      <c r="Q795" s="21" t="s">
        <v>6454</v>
      </c>
      <c r="R795" s="21"/>
    </row>
    <row r="796" spans="1:18" x14ac:dyDescent="0.25">
      <c r="A796" s="21">
        <f t="shared" si="24"/>
        <v>795</v>
      </c>
      <c r="B796" s="21" t="s">
        <v>10864</v>
      </c>
      <c r="C796" s="21" t="s">
        <v>10865</v>
      </c>
      <c r="D796" s="21" t="s">
        <v>10866</v>
      </c>
      <c r="E796" s="21" t="s">
        <v>10867</v>
      </c>
      <c r="F796" s="21" t="s">
        <v>65</v>
      </c>
      <c r="G796" s="21" t="s">
        <v>197</v>
      </c>
      <c r="H796" s="21" t="str">
        <f t="shared" si="26"/>
        <v>PULWAMA</v>
      </c>
      <c r="I796" s="21" t="s">
        <v>10870</v>
      </c>
      <c r="J796" s="22">
        <v>46165</v>
      </c>
      <c r="K796" s="21">
        <v>9622728446</v>
      </c>
      <c r="L796" s="21" t="s">
        <v>7228</v>
      </c>
      <c r="M796" s="23"/>
      <c r="N796" s="22"/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10873</v>
      </c>
      <c r="C797" s="21" t="s">
        <v>10874</v>
      </c>
      <c r="D797" s="21" t="s">
        <v>10875</v>
      </c>
      <c r="E797" s="21" t="s">
        <v>10876</v>
      </c>
      <c r="F797" s="21" t="s">
        <v>190</v>
      </c>
      <c r="G797" s="21" t="s">
        <v>196</v>
      </c>
      <c r="H797" s="21" t="str">
        <f t="shared" si="26"/>
        <v>SRINAGAR</v>
      </c>
      <c r="I797" s="21" t="s">
        <v>10877</v>
      </c>
      <c r="J797" s="22">
        <v>46165</v>
      </c>
      <c r="K797" s="21">
        <v>6005528953</v>
      </c>
      <c r="L797" s="21" t="s">
        <v>2143</v>
      </c>
      <c r="M797" s="23"/>
      <c r="N797" s="22"/>
      <c r="O797" s="21" t="s">
        <v>23</v>
      </c>
      <c r="P797" s="24">
        <v>46165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10884</v>
      </c>
      <c r="C798" s="21" t="s">
        <v>10882</v>
      </c>
      <c r="D798" s="21" t="s">
        <v>10883</v>
      </c>
      <c r="E798" s="21" t="s">
        <v>10881</v>
      </c>
      <c r="F798" s="21" t="s">
        <v>12</v>
      </c>
      <c r="G798" s="21" t="s">
        <v>178</v>
      </c>
      <c r="H798" s="21" t="str">
        <f t="shared" si="26"/>
        <v>NEW</v>
      </c>
      <c r="I798" s="21" t="s">
        <v>10886</v>
      </c>
      <c r="J798" s="22">
        <v>46165</v>
      </c>
      <c r="K798" s="21">
        <v>9622281979</v>
      </c>
      <c r="L798" s="21" t="s">
        <v>547</v>
      </c>
      <c r="M798" s="23"/>
      <c r="N798" s="22"/>
      <c r="O798" s="21"/>
      <c r="P798" s="24"/>
      <c r="Q798" s="21"/>
      <c r="R798" s="21"/>
    </row>
    <row r="799" spans="1:18" x14ac:dyDescent="0.25">
      <c r="A799" s="21">
        <f t="shared" si="24"/>
        <v>798</v>
      </c>
      <c r="B799" s="21"/>
      <c r="C799" s="21"/>
      <c r="D799" s="21"/>
      <c r="E799" s="21"/>
      <c r="F799" s="21"/>
      <c r="G799" s="21"/>
      <c r="H799" s="21" t="str">
        <f t="shared" si="26"/>
        <v>NEW</v>
      </c>
      <c r="I799" s="21"/>
      <c r="J799" s="22"/>
      <c r="K799" s="21"/>
      <c r="L799" s="21"/>
      <c r="M799" s="23"/>
      <c r="N799" s="22"/>
      <c r="O799" s="21"/>
      <c r="P799" s="24"/>
      <c r="Q799" s="21"/>
      <c r="R799" s="21"/>
    </row>
    <row r="800" spans="1:18" x14ac:dyDescent="0.25">
      <c r="A800" s="21">
        <f t="shared" si="24"/>
        <v>799</v>
      </c>
      <c r="B800" s="21"/>
      <c r="C800" s="21"/>
      <c r="D800" s="21"/>
      <c r="E800" s="21"/>
      <c r="F800" s="21"/>
      <c r="G800" s="21"/>
      <c r="H800" s="21" t="str">
        <f t="shared" si="26"/>
        <v>NEW</v>
      </c>
      <c r="I800" s="21"/>
      <c r="J800" s="22"/>
      <c r="K800" s="21"/>
      <c r="L800" s="21"/>
      <c r="M800" s="23"/>
      <c r="N800" s="22"/>
      <c r="O800" s="21"/>
      <c r="P800" s="24"/>
      <c r="Q800" s="21"/>
      <c r="R800" s="21"/>
    </row>
    <row r="801" spans="1:13" ht="15.75" x14ac:dyDescent="0.25">
      <c r="A801" s="21"/>
      <c r="B801" s="21"/>
      <c r="C801" s="21"/>
      <c r="D801" s="21"/>
      <c r="E801" s="21"/>
      <c r="F801" s="21"/>
      <c r="G801" s="21"/>
      <c r="H801" s="21"/>
      <c r="I801" s="21"/>
      <c r="J801" s="12"/>
      <c r="K801" s="21"/>
      <c r="L801" s="21"/>
      <c r="M801" t="s">
        <v>43</v>
      </c>
    </row>
    <row r="802" spans="1:13" ht="15.75" x14ac:dyDescent="0.25">
      <c r="A802" s="21"/>
      <c r="B802" s="21"/>
      <c r="C802" s="21"/>
      <c r="D802" s="21"/>
      <c r="E802" s="21"/>
      <c r="F802" s="21"/>
      <c r="G802" s="21"/>
      <c r="H802" s="1"/>
      <c r="I802" s="13"/>
      <c r="K802" s="21"/>
      <c r="L802" s="21"/>
    </row>
    <row r="803" spans="1:13" x14ac:dyDescent="0.25">
      <c r="K803" s="21"/>
    </row>
    <row r="804" spans="1:13" x14ac:dyDescent="0.25">
      <c r="K804" s="21"/>
    </row>
    <row r="805" spans="1:13" x14ac:dyDescent="0.25">
      <c r="K805" s="21"/>
    </row>
    <row r="806" spans="1:13" x14ac:dyDescent="0.25">
      <c r="K806" s="21"/>
    </row>
    <row r="807" spans="1:13" x14ac:dyDescent="0.25">
      <c r="K807" s="21"/>
    </row>
    <row r="808" spans="1:13" x14ac:dyDescent="0.25">
      <c r="K808" s="21"/>
    </row>
    <row r="809" spans="1:13" x14ac:dyDescent="0.25">
      <c r="K809" s="21"/>
    </row>
    <row r="810" spans="1:13" x14ac:dyDescent="0.25">
      <c r="K810" s="21"/>
    </row>
    <row r="811" spans="1:13" x14ac:dyDescent="0.25">
      <c r="K811" s="21"/>
    </row>
    <row r="812" spans="1:13" x14ac:dyDescent="0.25">
      <c r="K812" s="21"/>
    </row>
    <row r="813" spans="1:13" x14ac:dyDescent="0.25">
      <c r="K813" s="21"/>
    </row>
    <row r="814" spans="1:13" x14ac:dyDescent="0.25">
      <c r="K814" s="21"/>
    </row>
    <row r="815" spans="1:13" x14ac:dyDescent="0.25">
      <c r="K815" s="21"/>
    </row>
    <row r="816" spans="1:13" x14ac:dyDescent="0.25">
      <c r="K816" s="21"/>
    </row>
    <row r="817" spans="11:11" x14ac:dyDescent="0.25">
      <c r="K817" s="21"/>
    </row>
    <row r="818" spans="11:11" x14ac:dyDescent="0.25">
      <c r="K818" s="21"/>
    </row>
    <row r="819" spans="11:11" x14ac:dyDescent="0.25">
      <c r="K819" s="21"/>
    </row>
    <row r="820" spans="11:11" x14ac:dyDescent="0.25">
      <c r="K820" s="21"/>
    </row>
    <row r="821" spans="11:11" x14ac:dyDescent="0.25">
      <c r="K821" s="21"/>
    </row>
    <row r="822" spans="11:11" x14ac:dyDescent="0.25">
      <c r="K822" s="21"/>
    </row>
    <row r="823" spans="11:11" x14ac:dyDescent="0.25">
      <c r="K823" s="21"/>
    </row>
    <row r="824" spans="11:11" x14ac:dyDescent="0.25">
      <c r="K824" s="21"/>
    </row>
    <row r="825" spans="11:11" x14ac:dyDescent="0.25">
      <c r="K825" s="21"/>
    </row>
    <row r="826" spans="11:11" x14ac:dyDescent="0.25">
      <c r="K826" s="21"/>
    </row>
    <row r="827" spans="11:11" x14ac:dyDescent="0.25">
      <c r="K827" s="21"/>
    </row>
    <row r="828" spans="11:11" x14ac:dyDescent="0.25">
      <c r="K828" s="21"/>
    </row>
    <row r="829" spans="11:11" x14ac:dyDescent="0.25">
      <c r="K829" s="21"/>
    </row>
    <row r="830" spans="11:11" x14ac:dyDescent="0.25">
      <c r="K830" s="21"/>
    </row>
    <row r="831" spans="11:11" x14ac:dyDescent="0.25">
      <c r="K831" s="21"/>
    </row>
    <row r="832" spans="11:11" x14ac:dyDescent="0.25">
      <c r="K832" s="21"/>
    </row>
    <row r="833" spans="11:11" x14ac:dyDescent="0.25">
      <c r="K833" s="21"/>
    </row>
    <row r="834" spans="11:11" x14ac:dyDescent="0.25">
      <c r="K834" s="21"/>
    </row>
    <row r="835" spans="11:11" x14ac:dyDescent="0.25">
      <c r="K835" s="21"/>
    </row>
    <row r="836" spans="11:11" x14ac:dyDescent="0.25">
      <c r="K836" s="21"/>
    </row>
    <row r="837" spans="11:11" x14ac:dyDescent="0.25">
      <c r="K837" s="21"/>
    </row>
    <row r="838" spans="11:11" x14ac:dyDescent="0.25">
      <c r="K838" s="21"/>
    </row>
    <row r="839" spans="11:11" x14ac:dyDescent="0.25">
      <c r="K839" s="21"/>
    </row>
    <row r="840" spans="11:11" x14ac:dyDescent="0.25">
      <c r="K840" s="21"/>
    </row>
    <row r="841" spans="11:11" x14ac:dyDescent="0.25">
      <c r="K841" s="21"/>
    </row>
    <row r="842" spans="11:11" x14ac:dyDescent="0.25">
      <c r="K842" s="21"/>
    </row>
    <row r="843" spans="11:11" x14ac:dyDescent="0.25">
      <c r="K843" s="21"/>
    </row>
    <row r="844" spans="11:11" x14ac:dyDescent="0.25">
      <c r="K844" s="21"/>
    </row>
    <row r="845" spans="11:11" x14ac:dyDescent="0.25">
      <c r="K845" s="21"/>
    </row>
    <row r="846" spans="11:11" x14ac:dyDescent="0.25">
      <c r="K846" s="21"/>
    </row>
    <row r="847" spans="11:11" x14ac:dyDescent="0.25">
      <c r="K847" s="21"/>
    </row>
    <row r="848" spans="11:11" x14ac:dyDescent="0.25">
      <c r="K848" s="21"/>
    </row>
    <row r="849" spans="11:11" x14ac:dyDescent="0.25">
      <c r="K849" s="21"/>
    </row>
    <row r="850" spans="11:11" x14ac:dyDescent="0.25">
      <c r="K850" s="21"/>
    </row>
    <row r="851" spans="11:11" x14ac:dyDescent="0.25">
      <c r="K851" s="21"/>
    </row>
    <row r="852" spans="11:11" x14ac:dyDescent="0.25">
      <c r="K852" s="21"/>
    </row>
    <row r="853" spans="11:11" x14ac:dyDescent="0.25">
      <c r="K853" s="21"/>
    </row>
    <row r="854" spans="11:11" x14ac:dyDescent="0.25">
      <c r="K854" s="21"/>
    </row>
    <row r="855" spans="11:11" x14ac:dyDescent="0.25">
      <c r="K855" s="21"/>
    </row>
    <row r="856" spans="11:11" x14ac:dyDescent="0.25">
      <c r="K856" s="21"/>
    </row>
    <row r="857" spans="11:11" x14ac:dyDescent="0.25">
      <c r="K857" s="21"/>
    </row>
    <row r="858" spans="11:11" x14ac:dyDescent="0.25">
      <c r="K858" s="21"/>
    </row>
    <row r="859" spans="11:11" x14ac:dyDescent="0.25">
      <c r="K859" s="21"/>
    </row>
    <row r="860" spans="11:11" x14ac:dyDescent="0.25">
      <c r="K860" s="21"/>
    </row>
    <row r="861" spans="11:11" x14ac:dyDescent="0.25">
      <c r="K861" s="21"/>
    </row>
    <row r="862" spans="11:11" x14ac:dyDescent="0.25">
      <c r="K862" s="21"/>
    </row>
    <row r="863" spans="11:11" x14ac:dyDescent="0.25">
      <c r="K863" s="21"/>
    </row>
    <row r="864" spans="11:11" x14ac:dyDescent="0.25">
      <c r="K864" s="21"/>
    </row>
    <row r="865" spans="11:11" x14ac:dyDescent="0.25">
      <c r="K865" s="21"/>
    </row>
    <row r="866" spans="11:11" x14ac:dyDescent="0.25">
      <c r="K866" s="21"/>
    </row>
    <row r="867" spans="11:11" x14ac:dyDescent="0.25">
      <c r="K867" s="21"/>
    </row>
    <row r="868" spans="11:11" x14ac:dyDescent="0.25">
      <c r="K868" s="21"/>
    </row>
    <row r="869" spans="11:11" x14ac:dyDescent="0.25">
      <c r="K869" s="21"/>
    </row>
    <row r="870" spans="11:11" x14ac:dyDescent="0.25">
      <c r="K870" s="21"/>
    </row>
    <row r="871" spans="11:11" x14ac:dyDescent="0.25">
      <c r="K871" s="21"/>
    </row>
    <row r="872" spans="11:11" x14ac:dyDescent="0.25">
      <c r="K872" s="21"/>
    </row>
    <row r="873" spans="11:11" x14ac:dyDescent="0.25">
      <c r="K873" s="21"/>
    </row>
    <row r="874" spans="11:11" x14ac:dyDescent="0.25">
      <c r="K874" s="21"/>
    </row>
    <row r="875" spans="11:11" x14ac:dyDescent="0.25">
      <c r="K875" s="21"/>
    </row>
    <row r="876" spans="11:11" x14ac:dyDescent="0.25">
      <c r="K876" s="21"/>
    </row>
    <row r="877" spans="11:11" x14ac:dyDescent="0.25">
      <c r="K877" s="21"/>
    </row>
    <row r="878" spans="11:11" x14ac:dyDescent="0.25">
      <c r="K878" s="21"/>
    </row>
    <row r="879" spans="11:11" x14ac:dyDescent="0.25">
      <c r="K879" s="21"/>
    </row>
    <row r="880" spans="11:11" x14ac:dyDescent="0.25">
      <c r="K880" s="21"/>
    </row>
    <row r="881" spans="11:11" ht="15.75" x14ac:dyDescent="0.25">
      <c r="K881" s="12"/>
    </row>
    <row r="882" spans="11:11" ht="15.75" x14ac:dyDescent="0.25">
      <c r="K882" s="12"/>
    </row>
    <row r="883" spans="11:11" ht="15.75" x14ac:dyDescent="0.25">
      <c r="K883" s="12"/>
    </row>
    <row r="884" spans="11:11" ht="15.75" x14ac:dyDescent="0.25">
      <c r="K884" s="12"/>
    </row>
    <row r="885" spans="11:11" ht="15.75" x14ac:dyDescent="0.25">
      <c r="K885" s="12"/>
    </row>
    <row r="886" spans="11:11" ht="15.75" x14ac:dyDescent="0.25">
      <c r="K886" s="12"/>
    </row>
    <row r="887" spans="11:11" ht="15.75" x14ac:dyDescent="0.25">
      <c r="K887" s="12"/>
    </row>
    <row r="888" spans="11:11" ht="15.75" x14ac:dyDescent="0.25">
      <c r="K888" s="12"/>
    </row>
    <row r="889" spans="11:11" ht="15.75" x14ac:dyDescent="0.25">
      <c r="K889" s="12"/>
    </row>
    <row r="890" spans="11:11" ht="15.75" x14ac:dyDescent="0.25">
      <c r="K890" s="12"/>
    </row>
    <row r="891" spans="11:11" ht="15.75" x14ac:dyDescent="0.25">
      <c r="K891" s="12"/>
    </row>
    <row r="892" spans="11:11" ht="15.75" x14ac:dyDescent="0.25">
      <c r="K892" s="12"/>
    </row>
    <row r="893" spans="11:11" ht="15.75" x14ac:dyDescent="0.25">
      <c r="K893" s="12"/>
    </row>
    <row r="894" spans="11:11" ht="15.75" x14ac:dyDescent="0.25">
      <c r="K894" s="12"/>
    </row>
    <row r="895" spans="11:11" ht="15.75" x14ac:dyDescent="0.25">
      <c r="K895" s="12"/>
    </row>
    <row r="896" spans="11:11" ht="15.75" x14ac:dyDescent="0.25">
      <c r="K896" s="12"/>
    </row>
    <row r="897" spans="11:11" ht="15.75" x14ac:dyDescent="0.25">
      <c r="K897" s="12"/>
    </row>
    <row r="898" spans="11:11" ht="15.75" x14ac:dyDescent="0.25">
      <c r="K898" s="12"/>
    </row>
    <row r="899" spans="11:11" ht="15.75" x14ac:dyDescent="0.25">
      <c r="K899" s="12"/>
    </row>
    <row r="900" spans="11:11" ht="15.75" x14ac:dyDescent="0.25">
      <c r="K900" s="12"/>
    </row>
    <row r="901" spans="11:11" ht="15.75" x14ac:dyDescent="0.25">
      <c r="K901" s="12"/>
    </row>
    <row r="902" spans="11:11" ht="15.75" x14ac:dyDescent="0.25">
      <c r="K902" s="12"/>
    </row>
    <row r="903" spans="11:11" ht="15.75" x14ac:dyDescent="0.25">
      <c r="K903" s="12"/>
    </row>
    <row r="904" spans="11:11" ht="15.75" x14ac:dyDescent="0.25">
      <c r="K904" s="12"/>
    </row>
    <row r="905" spans="11:11" ht="15.75" x14ac:dyDescent="0.25">
      <c r="K905" s="12"/>
    </row>
    <row r="906" spans="11:11" ht="15.75" x14ac:dyDescent="0.25">
      <c r="K906" s="12"/>
    </row>
    <row r="907" spans="11:11" ht="15.75" x14ac:dyDescent="0.25">
      <c r="K907" s="12"/>
    </row>
    <row r="908" spans="11:11" ht="15.75" x14ac:dyDescent="0.25">
      <c r="K908" s="12"/>
    </row>
    <row r="909" spans="11:11" ht="15.75" x14ac:dyDescent="0.25">
      <c r="K909" s="12"/>
    </row>
    <row r="910" spans="11:11" ht="15.75" x14ac:dyDescent="0.25">
      <c r="K910" s="12"/>
    </row>
    <row r="911" spans="11:11" ht="15.75" x14ac:dyDescent="0.25">
      <c r="K911" s="12"/>
    </row>
    <row r="912" spans="11:11" ht="15.75" x14ac:dyDescent="0.25">
      <c r="K912" s="12"/>
    </row>
    <row r="913" spans="11:11" ht="15.75" x14ac:dyDescent="0.25">
      <c r="K913" s="12"/>
    </row>
    <row r="914" spans="11:11" ht="15.75" x14ac:dyDescent="0.25">
      <c r="K914" s="12"/>
    </row>
    <row r="915" spans="11:11" ht="15.75" x14ac:dyDescent="0.25">
      <c r="K915" s="12"/>
    </row>
    <row r="916" spans="11:11" ht="15.75" x14ac:dyDescent="0.25">
      <c r="K916" s="12"/>
    </row>
    <row r="917" spans="11:11" ht="15.75" x14ac:dyDescent="0.25">
      <c r="K917" s="12"/>
    </row>
    <row r="918" spans="11:11" ht="15.75" x14ac:dyDescent="0.25">
      <c r="K918" s="12"/>
    </row>
    <row r="919" spans="11:11" ht="15.75" x14ac:dyDescent="0.25">
      <c r="K919" s="12"/>
    </row>
    <row r="920" spans="11:11" ht="15.75" x14ac:dyDescent="0.25">
      <c r="K920" s="12"/>
    </row>
    <row r="921" spans="11:11" ht="15.75" x14ac:dyDescent="0.25">
      <c r="K921" s="12"/>
    </row>
    <row r="922" spans="11:11" ht="15.75" x14ac:dyDescent="0.25">
      <c r="K922" s="12"/>
    </row>
    <row r="923" spans="11:11" ht="15.75" x14ac:dyDescent="0.25">
      <c r="K923" s="12"/>
    </row>
    <row r="924" spans="11:11" ht="15.75" x14ac:dyDescent="0.25">
      <c r="K924" s="12"/>
    </row>
    <row r="925" spans="11:11" ht="15.75" x14ac:dyDescent="0.25">
      <c r="K925" s="12"/>
    </row>
    <row r="926" spans="11:11" ht="15.75" x14ac:dyDescent="0.25">
      <c r="K926" s="12"/>
    </row>
    <row r="927" spans="11:11" ht="15.75" x14ac:dyDescent="0.25">
      <c r="K927" s="12"/>
    </row>
    <row r="928" spans="11:11" ht="15.75" x14ac:dyDescent="0.25">
      <c r="K928" s="12"/>
    </row>
    <row r="929" spans="11:11" ht="15.75" x14ac:dyDescent="0.25">
      <c r="K929" s="12"/>
    </row>
    <row r="930" spans="11:11" x14ac:dyDescent="0.25">
      <c r="K930" s="20"/>
    </row>
    <row r="931" spans="11:11" ht="15.75" x14ac:dyDescent="0.25">
      <c r="K931" s="12"/>
    </row>
    <row r="932" spans="11:11" ht="15.75" x14ac:dyDescent="0.25">
      <c r="K932" s="12"/>
    </row>
    <row r="933" spans="11:11" ht="15.75" x14ac:dyDescent="0.25">
      <c r="K933" s="12"/>
    </row>
    <row r="934" spans="11:11" ht="15.75" x14ac:dyDescent="0.25">
      <c r="K934" s="12"/>
    </row>
    <row r="935" spans="11:11" ht="15.75" x14ac:dyDescent="0.25">
      <c r="K935" s="12"/>
    </row>
    <row r="936" spans="11:11" ht="15.75" x14ac:dyDescent="0.25">
      <c r="K936" s="12"/>
    </row>
    <row r="937" spans="11:11" ht="15.75" x14ac:dyDescent="0.25">
      <c r="K937" s="12"/>
    </row>
    <row r="938" spans="11:11" ht="15.75" x14ac:dyDescent="0.25">
      <c r="K938" s="12"/>
    </row>
    <row r="939" spans="11:11" ht="15.75" x14ac:dyDescent="0.25">
      <c r="K939" s="12"/>
    </row>
    <row r="940" spans="11:11" ht="15.75" x14ac:dyDescent="0.25">
      <c r="K940" s="12"/>
    </row>
    <row r="941" spans="11:11" ht="15.75" x14ac:dyDescent="0.25">
      <c r="K941" s="12"/>
    </row>
    <row r="942" spans="11:11" ht="15.75" x14ac:dyDescent="0.25">
      <c r="K942" s="12"/>
    </row>
    <row r="943" spans="11:11" ht="15.75" x14ac:dyDescent="0.25">
      <c r="K943" s="12"/>
    </row>
    <row r="944" spans="11:11" ht="15.75" x14ac:dyDescent="0.25">
      <c r="K944" s="12"/>
    </row>
    <row r="945" spans="11:11" ht="15.75" x14ac:dyDescent="0.25">
      <c r="K945" s="12"/>
    </row>
    <row r="946" spans="11:11" ht="15.75" x14ac:dyDescent="0.25">
      <c r="K946" s="12"/>
    </row>
    <row r="947" spans="11:11" ht="15.75" x14ac:dyDescent="0.25">
      <c r="K947" s="12"/>
    </row>
    <row r="948" spans="11:11" ht="15.75" x14ac:dyDescent="0.25">
      <c r="K948" s="12"/>
    </row>
    <row r="949" spans="11:11" ht="15.75" x14ac:dyDescent="0.25">
      <c r="K949" s="12"/>
    </row>
    <row r="950" spans="11:11" ht="15.75" x14ac:dyDescent="0.25">
      <c r="K950" s="12"/>
    </row>
    <row r="951" spans="11:11" ht="15.75" x14ac:dyDescent="0.25">
      <c r="K951" s="12"/>
    </row>
    <row r="952" spans="11:11" ht="15.75" x14ac:dyDescent="0.25">
      <c r="K952" s="12"/>
    </row>
    <row r="953" spans="11:11" ht="15.75" x14ac:dyDescent="0.25">
      <c r="K953" s="12"/>
    </row>
    <row r="954" spans="11:11" ht="15.75" x14ac:dyDescent="0.25">
      <c r="K954" s="12"/>
    </row>
    <row r="955" spans="11:11" ht="15.75" x14ac:dyDescent="0.25">
      <c r="K955" s="12"/>
    </row>
    <row r="956" spans="11:11" ht="15.75" x14ac:dyDescent="0.25">
      <c r="K956" s="12"/>
    </row>
    <row r="957" spans="11:11" ht="15.75" x14ac:dyDescent="0.25">
      <c r="K957" s="12"/>
    </row>
    <row r="958" spans="11:11" ht="15.75" x14ac:dyDescent="0.25">
      <c r="K958" s="12"/>
    </row>
    <row r="959" spans="11:11" ht="15.75" x14ac:dyDescent="0.25">
      <c r="K959" s="12"/>
    </row>
    <row r="960" spans="11:11" ht="15.75" x14ac:dyDescent="0.25">
      <c r="K960" s="12"/>
    </row>
    <row r="961" spans="11:11" ht="15.75" x14ac:dyDescent="0.25">
      <c r="K961" s="12"/>
    </row>
    <row r="962" spans="11:11" ht="15.75" x14ac:dyDescent="0.25">
      <c r="K962" s="12"/>
    </row>
    <row r="963" spans="11:11" ht="15.75" x14ac:dyDescent="0.25">
      <c r="K963" s="12"/>
    </row>
    <row r="964" spans="11:11" ht="15.75" x14ac:dyDescent="0.25">
      <c r="K964" s="12"/>
    </row>
    <row r="965" spans="11:11" ht="15.75" x14ac:dyDescent="0.25">
      <c r="K965" s="12"/>
    </row>
    <row r="966" spans="11:11" ht="15.75" x14ac:dyDescent="0.25">
      <c r="K966" s="12"/>
    </row>
    <row r="967" spans="11:11" ht="15.75" x14ac:dyDescent="0.25">
      <c r="K967" s="12"/>
    </row>
    <row r="968" spans="11:11" ht="15.75" x14ac:dyDescent="0.25">
      <c r="K968" s="12"/>
    </row>
  </sheetData>
  <conditionalFormatting sqref="A2:N2 N2:R13 J2:J14 P2:P23 I3:N13 A3:G217 H3:H764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5 I765:J765 B765:H768 B768:G770 H769 H770:R770 O771 B771:H784 K771:K784 J773 J775:J784 G785:H788 J785:K790 B789:H790 H791:K791 A799:R800 K801:L802 G796:H796 J794:J796 H792:H795 J792:K793 I772:I796 A797:J797 A767:A798 H798:J798 L777:R798 K792:K800 B777:G798">
    <cfRule type="expression" dxfId="17" priority="20">
      <formula>CELL("row")=ROW()</formula>
    </cfRule>
  </conditionalFormatting>
  <conditionalFormatting sqref="B257:G290 B291:B300 C291:G301">
    <cfRule type="expression" dxfId="16" priority="18">
      <formula>CELL("row")=ROW()</formula>
    </cfRule>
  </conditionalFormatting>
  <conditionalFormatting sqref="B772:G772">
    <cfRule type="expression" dxfId="15" priority="1">
      <formula>CELL("row")=ROW()</formula>
    </cfRule>
  </conditionalFormatting>
  <conditionalFormatting sqref="F398">
    <cfRule type="expression" dxfId="14" priority="13">
      <formula>CELL("row")=ROW()</formula>
    </cfRule>
  </conditionalFormatting>
  <conditionalFormatting sqref="F420">
    <cfRule type="expression" dxfId="13" priority="12">
      <formula>CELL("row")=ROW()</formula>
    </cfRule>
  </conditionalFormatting>
  <conditionalFormatting sqref="F326:G326">
    <cfRule type="expression" dxfId="12" priority="15">
      <formula>CELL("row")=ROW()</formula>
    </cfRule>
  </conditionalFormatting>
  <conditionalFormatting sqref="G266">
    <cfRule type="expression" dxfId="11" priority="17">
      <formula>CELL("row")=ROW()</formula>
    </cfRule>
  </conditionalFormatting>
  <conditionalFormatting sqref="I558">
    <cfRule type="expression" dxfId="10" priority="8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51 A713:B713 A714:G726 B720:G751 I724:I734 J726:J727 A727:A738 J728:K729 J730:J733 I734:J734 I735:K745 A739:B739 A740:A751 J746:K747 I746:I749 K747:K751 J748:J749 I750:J751 I752:R757 I758:J758 K758:R761 I758:I764 J759:J764 A766:E766 I766:R772 J773:R773 I774:J774 K774:R776 B801:I801 A801:G802 K802:K880">
    <cfRule type="expression" dxfId="9" priority="6">
      <formula>CELL("row")=ROW()</formula>
    </cfRule>
  </conditionalFormatting>
  <conditionalFormatting sqref="K672:K697 K698:L700 L701">
    <cfRule type="expression" dxfId="8" priority="5">
      <formula>CELL("row")=ROW()</formula>
    </cfRule>
  </conditionalFormatting>
  <conditionalFormatting sqref="L532:L535">
    <cfRule type="expression" dxfId="7" priority="10">
      <formula>CELL("row")=ROW()</formula>
    </cfRule>
  </conditionalFormatting>
  <conditionalFormatting sqref="M801:O802">
    <cfRule type="expression" dxfId="6" priority="29">
      <formula>ROW(O93)=HighlightRow</formula>
    </cfRule>
  </conditionalFormatting>
  <conditionalFormatting sqref="N698">
    <cfRule type="expression" dxfId="5" priority="3">
      <formula>CELL("row")=ROW()</formula>
    </cfRule>
  </conditionalFormatting>
  <conditionalFormatting sqref="P801:Q802">
    <cfRule type="expression" dxfId="4" priority="33">
      <formula>ROW(S93)=HighlightRow</formula>
    </cfRule>
  </conditionalFormatting>
  <conditionalFormatting sqref="S105:XFD105">
    <cfRule type="expression" dxfId="3" priority="34">
      <formula>ROW(T94)=HighlightRow</formula>
    </cfRule>
  </conditionalFormatting>
  <conditionalFormatting sqref="S106:XFD114">
    <cfRule type="expression" dxfId="2" priority="31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338" zoomScaleNormal="100" workbookViewId="0">
      <selection activeCell="B351" sqref="B3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10683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4221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20"/>
  <sheetViews>
    <sheetView topLeftCell="A502" zoomScaleNormal="100" workbookViewId="0">
      <selection activeCell="E506" sqref="E506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6648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10039</v>
      </c>
      <c r="C402" s="21">
        <v>8660969096</v>
      </c>
      <c r="D402" s="21" t="s">
        <v>10050</v>
      </c>
      <c r="E402" s="21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10030</v>
      </c>
      <c r="C403" s="21">
        <v>9541554947</v>
      </c>
      <c r="D403" s="21" t="s">
        <v>10051</v>
      </c>
      <c r="E403" s="21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10025</v>
      </c>
      <c r="C404" s="21">
        <v>6005336023</v>
      </c>
      <c r="D404" s="21" t="s">
        <v>10052</v>
      </c>
      <c r="E404" s="21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10053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10048</v>
      </c>
      <c r="C406" s="21">
        <v>9906899687</v>
      </c>
      <c r="D406" s="21" t="s">
        <v>10065</v>
      </c>
      <c r="E406" s="21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10037</v>
      </c>
      <c r="C407" s="21">
        <v>6005089007</v>
      </c>
      <c r="D407" s="21" t="s">
        <v>10067</v>
      </c>
      <c r="E407" s="21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10062</v>
      </c>
      <c r="C408" s="21">
        <v>6006239070</v>
      </c>
      <c r="D408" s="21" t="s">
        <v>10068</v>
      </c>
      <c r="E408" s="21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10075</v>
      </c>
      <c r="C409" s="21">
        <v>9622584881</v>
      </c>
      <c r="D409" s="21" t="s">
        <v>10094</v>
      </c>
      <c r="E409" s="21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10078</v>
      </c>
      <c r="C410" s="21">
        <v>9149775608</v>
      </c>
      <c r="D410" s="21" t="s">
        <v>10097</v>
      </c>
      <c r="E410" s="21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10084</v>
      </c>
      <c r="C411" s="21">
        <v>9596342716</v>
      </c>
      <c r="D411" s="21" t="s">
        <v>10098</v>
      </c>
      <c r="E411" s="21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10104</v>
      </c>
      <c r="E412" s="21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10093</v>
      </c>
      <c r="C413" s="21">
        <v>9796113131</v>
      </c>
      <c r="D413" s="21" t="s">
        <v>10105</v>
      </c>
      <c r="E413" s="21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10128</v>
      </c>
      <c r="E414" s="21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10142</v>
      </c>
      <c r="E415" s="21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10137</v>
      </c>
      <c r="C416" s="21"/>
      <c r="D416" s="21" t="s">
        <v>10143</v>
      </c>
      <c r="E416" s="21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10145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10164</v>
      </c>
      <c r="E418" s="21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10120</v>
      </c>
      <c r="C419" s="21">
        <v>9906599599</v>
      </c>
      <c r="D419" s="21" t="s">
        <v>10171</v>
      </c>
      <c r="E419" s="21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10162</v>
      </c>
      <c r="C420" s="21">
        <v>7889536449</v>
      </c>
      <c r="D420" s="21" t="s">
        <v>10172</v>
      </c>
      <c r="E420" s="21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10173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10176</v>
      </c>
      <c r="C422" s="21">
        <v>6005669330</v>
      </c>
      <c r="D422" s="21" t="s">
        <v>10174</v>
      </c>
      <c r="E422" s="21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10150</v>
      </c>
      <c r="C423" s="21">
        <v>6005538221</v>
      </c>
      <c r="D423" s="21" t="s">
        <v>10175</v>
      </c>
      <c r="E423" s="21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10187</v>
      </c>
      <c r="C424" s="21">
        <v>9622844543</v>
      </c>
      <c r="D424" s="21" t="s">
        <v>10192</v>
      </c>
      <c r="E424" s="21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10194</v>
      </c>
      <c r="C425" s="21">
        <v>9797996370</v>
      </c>
      <c r="D425" s="21" t="s">
        <v>10193</v>
      </c>
      <c r="E425" s="21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10184</v>
      </c>
      <c r="C426" s="21">
        <v>7780959516</v>
      </c>
      <c r="D426" s="21" t="s">
        <v>10195</v>
      </c>
      <c r="E426" s="21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10214</v>
      </c>
      <c r="C427" s="21">
        <v>8825098042</v>
      </c>
      <c r="D427" s="21" t="s">
        <v>10215</v>
      </c>
      <c r="E427" s="21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10202</v>
      </c>
      <c r="C428" s="21">
        <v>7889667593</v>
      </c>
      <c r="D428" s="21" t="s">
        <v>10237</v>
      </c>
      <c r="E428" s="21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10238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10239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10240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10241</v>
      </c>
      <c r="E432" s="21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10223</v>
      </c>
      <c r="C433" s="21">
        <v>9797242450</v>
      </c>
      <c r="D433" s="21" t="s">
        <v>10242</v>
      </c>
      <c r="E433" s="21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10213</v>
      </c>
      <c r="C434" s="21">
        <v>9682368636</v>
      </c>
      <c r="D434" s="21" t="s">
        <v>10249</v>
      </c>
      <c r="E434" s="21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10252</v>
      </c>
      <c r="C435" s="21">
        <v>9419274448</v>
      </c>
      <c r="D435" s="21" t="s">
        <v>10265</v>
      </c>
      <c r="E435" s="21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10261</v>
      </c>
      <c r="C436" s="21">
        <v>7006563570</v>
      </c>
      <c r="D436" s="21" t="s">
        <v>10266</v>
      </c>
      <c r="E436" s="21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10291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10274</v>
      </c>
      <c r="C438" s="21">
        <v>8493061512</v>
      </c>
      <c r="D438" s="21" t="s">
        <v>10292</v>
      </c>
      <c r="E438" s="21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10293</v>
      </c>
      <c r="E439" s="21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10277</v>
      </c>
      <c r="C440" s="21">
        <v>7006974580</v>
      </c>
      <c r="D440" s="21" t="s">
        <v>10294</v>
      </c>
      <c r="E440" s="21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10302</v>
      </c>
      <c r="C441" s="21">
        <v>9622793345</v>
      </c>
      <c r="D441" s="21" t="s">
        <v>10311</v>
      </c>
      <c r="E441" s="21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10270</v>
      </c>
      <c r="C442" s="21">
        <v>7780838222</v>
      </c>
      <c r="D442" s="21" t="s">
        <v>10312</v>
      </c>
      <c r="E442" s="21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10310</v>
      </c>
      <c r="C443" s="21">
        <v>7889514057</v>
      </c>
      <c r="D443" s="21" t="s">
        <v>10313</v>
      </c>
      <c r="E443" s="21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10314</v>
      </c>
      <c r="E444" s="21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10306</v>
      </c>
      <c r="C445" s="21">
        <v>9906916201</v>
      </c>
      <c r="D445" s="21" t="s">
        <v>10319</v>
      </c>
      <c r="E445" s="21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10318</v>
      </c>
      <c r="C446" s="21">
        <v>7780813464</v>
      </c>
      <c r="D446" s="21" t="s">
        <v>10321</v>
      </c>
      <c r="E446" s="21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10333</v>
      </c>
      <c r="C447" s="21">
        <v>9906838909</v>
      </c>
      <c r="D447" s="21" t="s">
        <v>10384</v>
      </c>
      <c r="E447" s="21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10343</v>
      </c>
      <c r="C448" s="21">
        <v>9906742075</v>
      </c>
      <c r="D448" s="21" t="s">
        <v>10385</v>
      </c>
      <c r="E448" s="21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10324</v>
      </c>
      <c r="C449" s="21">
        <v>9596304308</v>
      </c>
      <c r="D449" s="21" t="s">
        <v>10386</v>
      </c>
      <c r="E449" s="21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10387</v>
      </c>
      <c r="E450" s="21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10388</v>
      </c>
      <c r="E451" s="21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10366</v>
      </c>
      <c r="C452" s="21">
        <v>9858469144</v>
      </c>
      <c r="D452" s="21" t="s">
        <v>10389</v>
      </c>
      <c r="E452" s="21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10354</v>
      </c>
      <c r="C453" s="21">
        <v>9906005757</v>
      </c>
      <c r="D453" s="21" t="s">
        <v>10390</v>
      </c>
      <c r="E453" s="21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10413</v>
      </c>
      <c r="E454" s="21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10391</v>
      </c>
      <c r="C455" s="21">
        <v>6005066384</v>
      </c>
      <c r="D455" s="21" t="s">
        <v>10414</v>
      </c>
      <c r="E455" s="21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10415</v>
      </c>
      <c r="E456" s="21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10416</v>
      </c>
      <c r="E457" s="21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10436</v>
      </c>
      <c r="E458" s="21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10439</v>
      </c>
      <c r="C459" s="21">
        <v>9682376321</v>
      </c>
      <c r="D459" s="21" t="s">
        <v>10440</v>
      </c>
      <c r="E459" s="21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10441</v>
      </c>
      <c r="E460" s="21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10428</v>
      </c>
      <c r="C461" s="21">
        <v>9596000703</v>
      </c>
      <c r="D461" s="21" t="s">
        <v>10442</v>
      </c>
      <c r="E461" s="21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10434</v>
      </c>
      <c r="C462" s="21">
        <v>9596999599</v>
      </c>
      <c r="D462" s="21" t="s">
        <v>10443</v>
      </c>
      <c r="E462" s="21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10364</v>
      </c>
      <c r="C463" s="21">
        <v>7006471127</v>
      </c>
      <c r="D463" s="21" t="s">
        <v>10444</v>
      </c>
      <c r="E463" s="21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10452</v>
      </c>
      <c r="C464" s="21">
        <v>9797666466</v>
      </c>
      <c r="D464" s="21" t="s">
        <v>10466</v>
      </c>
      <c r="E464" s="21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10424</v>
      </c>
      <c r="C465" s="21">
        <v>7780954751</v>
      </c>
      <c r="D465" s="21" t="s">
        <v>10467</v>
      </c>
      <c r="E465" s="21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10505</v>
      </c>
      <c r="C466" s="21">
        <v>7889743548</v>
      </c>
      <c r="D466" s="21" t="s">
        <v>10489</v>
      </c>
      <c r="E466" s="21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10485</v>
      </c>
      <c r="C467" s="21">
        <v>9622985718</v>
      </c>
      <c r="D467" s="21" t="s">
        <v>10504</v>
      </c>
      <c r="E467" s="21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10507</v>
      </c>
      <c r="E468" s="21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10532</v>
      </c>
      <c r="C469" s="21">
        <v>9682364085</v>
      </c>
      <c r="D469" s="21" t="s">
        <v>10533</v>
      </c>
      <c r="E469" s="21" t="s">
        <v>10521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10528</v>
      </c>
      <c r="C470" s="21">
        <v>9419590065</v>
      </c>
      <c r="D470" s="21" t="s">
        <v>10551</v>
      </c>
      <c r="E470" s="21" t="s">
        <v>10549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10557</v>
      </c>
      <c r="C471" s="21">
        <v>7889456974</v>
      </c>
      <c r="D471" s="21" t="s">
        <v>10558</v>
      </c>
      <c r="E471" s="21" t="s">
        <v>10546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10515</v>
      </c>
      <c r="C472" s="21">
        <v>6005859681</v>
      </c>
      <c r="D472" s="21" t="s">
        <v>10559</v>
      </c>
      <c r="E472" s="21" t="s">
        <v>10523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10463</v>
      </c>
      <c r="C473" s="21">
        <v>9622856758</v>
      </c>
      <c r="D473" s="21" t="s">
        <v>10599</v>
      </c>
      <c r="E473" s="21" t="s">
        <v>10464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10481</v>
      </c>
      <c r="C474" s="21">
        <v>9541581455</v>
      </c>
      <c r="D474" s="21" t="s">
        <v>10600</v>
      </c>
      <c r="E474" s="21" t="s">
        <v>10490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10591</v>
      </c>
      <c r="C475" s="21">
        <v>6006602208</v>
      </c>
      <c r="D475" s="21" t="s">
        <v>10601</v>
      </c>
      <c r="E475" s="21" t="s">
        <v>10598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10585</v>
      </c>
      <c r="C476" s="21">
        <v>9541013033</v>
      </c>
      <c r="D476" s="21" t="s">
        <v>10602</v>
      </c>
      <c r="E476" s="21" t="s">
        <v>10588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10582</v>
      </c>
      <c r="C477" s="21">
        <v>7051749282</v>
      </c>
      <c r="D477" s="21" t="s">
        <v>10603</v>
      </c>
      <c r="E477" s="21" t="s">
        <v>10587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10567</v>
      </c>
      <c r="C478" s="21">
        <v>9541234994</v>
      </c>
      <c r="D478" s="21" t="s">
        <v>10612</v>
      </c>
      <c r="E478" s="21" t="s">
        <v>10573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10606</v>
      </c>
      <c r="C479" s="21">
        <v>7006655788</v>
      </c>
      <c r="D479" s="21" t="s">
        <v>10625</v>
      </c>
      <c r="E479" s="21" t="s">
        <v>10614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10527</v>
      </c>
      <c r="C480" s="21">
        <v>8899923120</v>
      </c>
      <c r="D480" s="21" t="s">
        <v>10628</v>
      </c>
      <c r="E480" s="21" t="s">
        <v>10548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10493</v>
      </c>
      <c r="C481" s="21">
        <v>8825019298</v>
      </c>
      <c r="D481" s="21" t="s">
        <v>10652</v>
      </c>
      <c r="E481" s="21" t="s">
        <v>10627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10632</v>
      </c>
      <c r="C482" s="21">
        <v>7051777629</v>
      </c>
      <c r="D482" s="21" t="s">
        <v>10653</v>
      </c>
      <c r="E482" s="21" t="s">
        <v>10638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10637</v>
      </c>
      <c r="C483" s="21">
        <v>9906260598</v>
      </c>
      <c r="D483" s="21" t="s">
        <v>10658</v>
      </c>
      <c r="E483" s="21" t="s">
        <v>10634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10678</v>
      </c>
      <c r="C484" s="21">
        <v>9971997124</v>
      </c>
      <c r="D484" s="21" t="s">
        <v>10659</v>
      </c>
      <c r="E484" s="21" t="s">
        <v>10651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10622</v>
      </c>
      <c r="C485" s="21">
        <v>9906441078</v>
      </c>
      <c r="D485" s="21" t="s">
        <v>10674</v>
      </c>
      <c r="E485" s="21" t="s">
        <v>10624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10675</v>
      </c>
      <c r="C486" s="21">
        <v>9419002969</v>
      </c>
      <c r="D486" s="21" t="s">
        <v>10676</v>
      </c>
      <c r="E486" s="21" t="s">
        <v>10650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10618</v>
      </c>
      <c r="C487" s="21">
        <v>7006333483</v>
      </c>
      <c r="D487" s="21" t="s">
        <v>10677</v>
      </c>
      <c r="E487" s="21" t="s">
        <v>10623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10644</v>
      </c>
      <c r="C488" s="21">
        <v>9797214183</v>
      </c>
      <c r="D488" s="21" t="s">
        <v>10694</v>
      </c>
      <c r="E488" s="21" t="s">
        <v>10649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10708</v>
      </c>
      <c r="E489" s="21" t="s">
        <v>10698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10687</v>
      </c>
      <c r="C490" s="21">
        <v>7006975068</v>
      </c>
      <c r="D490" s="21" t="s">
        <v>10709</v>
      </c>
      <c r="E490" s="21" t="s">
        <v>10688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10701</v>
      </c>
      <c r="C491" s="21">
        <v>9797979206</v>
      </c>
      <c r="D491" s="21" t="s">
        <v>10711</v>
      </c>
      <c r="E491" s="21" t="s">
        <v>10703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10689</v>
      </c>
      <c r="C492" s="21">
        <v>7889405476</v>
      </c>
      <c r="D492" s="21" t="s">
        <v>10712</v>
      </c>
      <c r="E492" s="21" t="s">
        <v>10690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10706</v>
      </c>
      <c r="C493" s="21">
        <v>8803043296</v>
      </c>
      <c r="D493" s="21" t="s">
        <v>10719</v>
      </c>
      <c r="E493" s="21" t="s">
        <v>10710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10681</v>
      </c>
      <c r="C494" s="21">
        <v>7006036071</v>
      </c>
      <c r="D494" s="21" t="s">
        <v>10732</v>
      </c>
      <c r="E494" s="21" t="s">
        <v>10720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10734</v>
      </c>
      <c r="C495" s="21">
        <v>8825065703</v>
      </c>
      <c r="D495" s="21" t="s">
        <v>10735</v>
      </c>
      <c r="E495" s="21" t="s">
        <v>10728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10724</v>
      </c>
      <c r="C496" s="21">
        <v>8899288728</v>
      </c>
      <c r="D496" s="21" t="s">
        <v>10753</v>
      </c>
      <c r="E496" s="21" t="s">
        <v>10751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10747</v>
      </c>
      <c r="C497" s="21">
        <v>9797984252</v>
      </c>
      <c r="D497" s="21" t="s">
        <v>10768</v>
      </c>
      <c r="E497" s="21" t="s">
        <v>10752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10761</v>
      </c>
      <c r="C498" s="21">
        <v>7889983618</v>
      </c>
      <c r="D498" s="21" t="s">
        <v>10785</v>
      </c>
      <c r="E498" s="21" t="s">
        <v>10767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10806</v>
      </c>
      <c r="C499" s="21">
        <v>9797928475</v>
      </c>
      <c r="D499" s="21" t="s">
        <v>10807</v>
      </c>
      <c r="E499" s="21" t="s">
        <v>10802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10808</v>
      </c>
      <c r="C500" s="21">
        <v>9906598118</v>
      </c>
      <c r="D500" s="21" t="s">
        <v>10809</v>
      </c>
      <c r="E500" s="21" t="s">
        <v>10749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10792</v>
      </c>
      <c r="C501" s="21">
        <v>7006694541</v>
      </c>
      <c r="D501" s="21" t="s">
        <v>10810</v>
      </c>
      <c r="E501" s="21" t="s">
        <v>10803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10783</v>
      </c>
      <c r="C502" s="21">
        <v>8825010525</v>
      </c>
      <c r="D502" s="21" t="s">
        <v>10811</v>
      </c>
      <c r="E502" s="21" t="s">
        <v>10784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10226</v>
      </c>
      <c r="C503" s="21">
        <v>7889390665</v>
      </c>
      <c r="D503" s="21" t="s">
        <v>10835</v>
      </c>
      <c r="E503" s="21" t="s">
        <v>10227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10836</v>
      </c>
      <c r="E504" s="21" t="s">
        <v>10805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10826</v>
      </c>
      <c r="C505" s="21">
        <v>9484057404</v>
      </c>
      <c r="D505" s="21" t="s">
        <v>10837</v>
      </c>
      <c r="E505" s="21" t="s">
        <v>10824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10851</v>
      </c>
      <c r="C506" s="21">
        <v>9796990530</v>
      </c>
      <c r="D506" s="21" t="s">
        <v>10852</v>
      </c>
      <c r="E506" s="21" t="s">
        <v>10853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10814</v>
      </c>
      <c r="C507" s="21">
        <v>6006286690</v>
      </c>
      <c r="D507" s="21" t="s">
        <v>10854</v>
      </c>
      <c r="E507" s="21" t="s">
        <v>10833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10855</v>
      </c>
      <c r="E508" s="21" t="s">
        <v>10832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10830</v>
      </c>
      <c r="C509" s="21">
        <v>7006107410</v>
      </c>
      <c r="D509" s="21" t="s">
        <v>10856</v>
      </c>
      <c r="E509" s="21" t="s">
        <v>10831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10756</v>
      </c>
      <c r="C510" s="21"/>
      <c r="D510" s="21" t="s">
        <v>10858</v>
      </c>
      <c r="E510" s="21" t="s">
        <v>10766</v>
      </c>
      <c r="F510" s="14">
        <v>46162</v>
      </c>
      <c r="G510" s="14" t="s">
        <v>337</v>
      </c>
      <c r="H510" s="12" t="s">
        <v>10859</v>
      </c>
    </row>
    <row r="511" spans="1:8" ht="15.75" x14ac:dyDescent="0.25">
      <c r="A511" s="12">
        <f t="shared" si="7"/>
        <v>509</v>
      </c>
      <c r="B511" s="21" t="s">
        <v>10876</v>
      </c>
      <c r="C511" s="21">
        <v>6005528953</v>
      </c>
      <c r="D511" s="21" t="s">
        <v>10878</v>
      </c>
      <c r="E511" s="21" t="s">
        <v>10877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10862</v>
      </c>
      <c r="C512" s="21">
        <v>6006180214</v>
      </c>
      <c r="D512" s="21" t="s">
        <v>10879</v>
      </c>
      <c r="E512" s="21" t="s">
        <v>10871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10845</v>
      </c>
      <c r="C513" s="21">
        <v>9419766402</v>
      </c>
      <c r="D513" s="21" t="s">
        <v>10880</v>
      </c>
      <c r="E513" s="21" t="s">
        <v>10869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12"/>
      <c r="C514" s="12"/>
      <c r="D514" s="12"/>
      <c r="E514" s="12"/>
      <c r="F514" s="14"/>
      <c r="G514" s="14"/>
      <c r="H514" s="12"/>
    </row>
    <row r="515" spans="1:8" ht="15.75" x14ac:dyDescent="0.25">
      <c r="A515" s="12">
        <f t="shared" si="7"/>
        <v>513</v>
      </c>
      <c r="B515" s="12"/>
      <c r="C515" s="12"/>
      <c r="D515" s="12"/>
      <c r="E515" s="12"/>
      <c r="F515" s="14"/>
      <c r="G515" s="14"/>
      <c r="H515" s="12"/>
    </row>
    <row r="516" spans="1:8" ht="15.75" x14ac:dyDescent="0.25">
      <c r="A516" s="12">
        <f t="shared" si="7"/>
        <v>514</v>
      </c>
      <c r="B516" s="12"/>
      <c r="C516" s="12"/>
      <c r="D516" s="12"/>
      <c r="E516" s="12"/>
      <c r="F516" s="14"/>
      <c r="G516" s="14"/>
      <c r="H516" s="12"/>
    </row>
    <row r="517" spans="1:8" ht="15.75" x14ac:dyDescent="0.25">
      <c r="A517" s="12">
        <f t="shared" si="7"/>
        <v>515</v>
      </c>
      <c r="B517" s="12"/>
      <c r="C517" s="12"/>
      <c r="D517" s="12"/>
      <c r="E517" s="12"/>
      <c r="F517" s="14"/>
      <c r="G517" s="14"/>
      <c r="H517" s="12"/>
    </row>
    <row r="518" spans="1:8" ht="15.75" x14ac:dyDescent="0.25">
      <c r="A518" s="12">
        <f t="shared" si="7"/>
        <v>516</v>
      </c>
      <c r="B518" s="12"/>
      <c r="C518" s="12"/>
      <c r="D518" s="12"/>
      <c r="E518" s="12"/>
      <c r="F518" s="14"/>
      <c r="G518" s="14"/>
      <c r="H518" s="12"/>
    </row>
    <row r="519" spans="1:8" ht="15.75" x14ac:dyDescent="0.25">
      <c r="A519" s="12">
        <f t="shared" ref="A519:A520" si="8">ROW()-2</f>
        <v>517</v>
      </c>
      <c r="B519" s="12"/>
      <c r="C519" s="12"/>
      <c r="D519" s="12"/>
      <c r="E519" s="12"/>
      <c r="F519" s="14"/>
      <c r="G519" s="14"/>
      <c r="H519" s="12"/>
    </row>
    <row r="520" spans="1:8" ht="15.75" x14ac:dyDescent="0.25">
      <c r="A520" s="12">
        <f t="shared" si="8"/>
        <v>518</v>
      </c>
      <c r="B520" s="12"/>
      <c r="C520" s="12"/>
      <c r="D520" s="12"/>
      <c r="E520" s="12"/>
      <c r="F520" s="14"/>
      <c r="G520" s="14"/>
      <c r="H520" s="12"/>
    </row>
  </sheetData>
  <mergeCells count="1">
    <mergeCell ref="A1:H1"/>
  </mergeCells>
  <phoneticPr fontId="26" type="noConversion"/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</sheetPr>
  <dimension ref="A1:I9"/>
  <sheetViews>
    <sheetView workbookViewId="0">
      <selection activeCell="F22" sqref="F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9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1"/>
      <c r="C8" s="21"/>
      <c r="D8" s="21"/>
      <c r="E8" s="21"/>
      <c r="F8" s="21"/>
      <c r="G8" s="21"/>
      <c r="H8" s="21"/>
      <c r="I8" s="21"/>
    </row>
    <row r="9" spans="1:9" x14ac:dyDescent="0.25">
      <c r="A9" s="21">
        <f t="shared" si="0"/>
        <v>7</v>
      </c>
      <c r="B9" s="21"/>
      <c r="C9" s="21"/>
      <c r="D9" s="21"/>
      <c r="E9" s="21"/>
      <c r="F9" s="21"/>
      <c r="G9" s="21"/>
      <c r="H9" s="21"/>
      <c r="I9" s="21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D16" sqref="D16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10713</v>
      </c>
      <c r="B1" s="51"/>
      <c r="C1" s="42"/>
      <c r="D1" s="36"/>
    </row>
    <row r="2" spans="1:6" ht="23.25" x14ac:dyDescent="0.35">
      <c r="A2" s="52" t="s">
        <v>10714</v>
      </c>
      <c r="B2" s="52"/>
      <c r="C2" s="41"/>
    </row>
    <row r="3" spans="1:6" ht="23.25" x14ac:dyDescent="0.35">
      <c r="A3" s="41" t="s">
        <v>10715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10718</v>
      </c>
      <c r="B5" s="43">
        <f>85+9</f>
        <v>94</v>
      </c>
      <c r="C5" s="41"/>
    </row>
    <row r="6" spans="1:6" ht="23.25" x14ac:dyDescent="0.35">
      <c r="A6" s="41" t="s">
        <v>10716</v>
      </c>
      <c r="B6" s="43">
        <v>159</v>
      </c>
      <c r="C6" s="41"/>
    </row>
    <row r="7" spans="1:6" ht="23.25" x14ac:dyDescent="0.35">
      <c r="A7" s="41" t="s">
        <v>10717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2026-05-23T11:57:00Z</dcterms:modified>
</cp:coreProperties>
</file>