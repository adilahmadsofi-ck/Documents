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61A8D609-D42B-4BD4-B24D-AEC2B6819067}" xr6:coauthVersionLast="47" xr6:coauthVersionMax="47" xr10:uidLastSave="{00000000-0000-0000-0000-000000000000}"/>
  <bookViews>
    <workbookView xWindow="-120" yWindow="-120" windowWidth="24240" windowHeight="13020" tabRatio="387" activeTab="2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457" i="4" l="1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H452" i="4"/>
  <c r="H453" i="4"/>
  <c r="H454" i="4"/>
  <c r="H455" i="4"/>
  <c r="H456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H446" i="4"/>
  <c r="H444" i="4"/>
  <c r="H443" i="4"/>
  <c r="H445" i="4"/>
  <c r="H447" i="4"/>
  <c r="H449" i="4"/>
  <c r="H348" i="4"/>
  <c r="H448" i="4"/>
  <c r="H450" i="4"/>
  <c r="H451" i="4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H437" i="4"/>
  <c r="H436" i="4"/>
  <c r="H432" i="4"/>
  <c r="H435" i="4"/>
  <c r="H440" i="4"/>
  <c r="H441" i="4"/>
  <c r="H442" i="4"/>
  <c r="A437" i="4"/>
  <c r="A436" i="4"/>
  <c r="A432" i="4"/>
  <c r="A435" i="4"/>
  <c r="A440" i="4"/>
  <c r="A441" i="4"/>
  <c r="A442" i="4"/>
  <c r="A446" i="4"/>
  <c r="A444" i="4"/>
  <c r="A443" i="4"/>
  <c r="A445" i="4"/>
  <c r="A447" i="4"/>
  <c r="A449" i="4"/>
  <c r="A348" i="4"/>
  <c r="A448" i="4"/>
  <c r="A450" i="4"/>
  <c r="A451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H431" i="4"/>
  <c r="H430" i="4"/>
  <c r="H428" i="4"/>
  <c r="H429" i="4"/>
  <c r="H434" i="4"/>
  <c r="H439" i="4"/>
  <c r="H433" i="4"/>
  <c r="H438" i="4"/>
  <c r="A431" i="4"/>
  <c r="A430" i="4"/>
  <c r="A428" i="4"/>
  <c r="A429" i="4"/>
  <c r="A434" i="4"/>
  <c r="A439" i="4"/>
  <c r="A433" i="4"/>
  <c r="A438" i="4"/>
  <c r="H422" i="4"/>
  <c r="H427" i="4"/>
  <c r="H424" i="4"/>
  <c r="H425" i="4"/>
  <c r="H423" i="4"/>
  <c r="H426" i="4"/>
  <c r="H421" i="4"/>
  <c r="A422" i="4"/>
  <c r="A427" i="4"/>
  <c r="A424" i="4"/>
  <c r="A425" i="4"/>
  <c r="A423" i="4"/>
  <c r="A426" i="4"/>
  <c r="A421" i="4"/>
  <c r="A205" i="7"/>
  <c r="A207" i="7"/>
  <c r="A210" i="7"/>
  <c r="A209" i="7"/>
  <c r="A208" i="7"/>
  <c r="A211" i="7"/>
  <c r="H418" i="4"/>
  <c r="H414" i="4"/>
  <c r="H412" i="4"/>
  <c r="H420" i="4"/>
  <c r="A418" i="4"/>
  <c r="A414" i="4"/>
  <c r="A412" i="4"/>
  <c r="A420" i="4"/>
  <c r="H417" i="4"/>
  <c r="H411" i="4"/>
  <c r="H413" i="4"/>
  <c r="H419" i="4"/>
  <c r="H416" i="4"/>
  <c r="H415" i="4"/>
  <c r="A417" i="4"/>
  <c r="A411" i="4"/>
  <c r="A413" i="4"/>
  <c r="A419" i="4"/>
  <c r="A416" i="4"/>
  <c r="A415" i="4"/>
  <c r="A201" i="7"/>
  <c r="A202" i="7"/>
  <c r="A203" i="7"/>
  <c r="A204" i="7"/>
  <c r="A206" i="7"/>
  <c r="H399" i="4"/>
  <c r="H398" i="4"/>
  <c r="H400" i="4"/>
  <c r="H404" i="4"/>
  <c r="H405" i="4"/>
  <c r="H408" i="4"/>
  <c r="H406" i="4"/>
  <c r="H410" i="4"/>
  <c r="H409" i="4"/>
  <c r="H402" i="4"/>
  <c r="H407" i="4"/>
  <c r="H401" i="4"/>
  <c r="H403" i="4"/>
  <c r="A399" i="4"/>
  <c r="A398" i="4"/>
  <c r="A400" i="4"/>
  <c r="A404" i="4"/>
  <c r="A405" i="4"/>
  <c r="A408" i="4"/>
  <c r="A406" i="4"/>
  <c r="A410" i="4"/>
  <c r="A409" i="4"/>
  <c r="A402" i="4"/>
  <c r="A407" i="4"/>
  <c r="A401" i="4"/>
  <c r="A403" i="4"/>
  <c r="A197" i="7"/>
  <c r="A198" i="7"/>
  <c r="A199" i="7"/>
  <c r="A200" i="7"/>
  <c r="H392" i="4"/>
  <c r="H393" i="4"/>
  <c r="H389" i="4"/>
  <c r="H388" i="4"/>
  <c r="H394" i="4"/>
  <c r="H395" i="4"/>
  <c r="H397" i="4"/>
  <c r="H396" i="4"/>
  <c r="A392" i="4"/>
  <c r="A393" i="4"/>
  <c r="A389" i="4"/>
  <c r="A388" i="4"/>
  <c r="A394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H3" i="4"/>
  <c r="H4" i="4"/>
  <c r="H6" i="4"/>
  <c r="H5" i="4"/>
  <c r="H7" i="4"/>
  <c r="H48" i="4"/>
  <c r="H9" i="4"/>
  <c r="H10" i="4"/>
  <c r="H45" i="4"/>
  <c r="H12" i="4"/>
  <c r="H14" i="4"/>
  <c r="H13" i="4"/>
  <c r="H16" i="4"/>
  <c r="H15" i="4"/>
  <c r="H17" i="4"/>
  <c r="H19" i="4"/>
  <c r="H18" i="4"/>
  <c r="H21" i="4"/>
  <c r="H20" i="4"/>
  <c r="H22" i="4"/>
  <c r="H24" i="4"/>
  <c r="H23" i="4"/>
  <c r="H25" i="4"/>
  <c r="H28" i="4"/>
  <c r="H27" i="4"/>
  <c r="H26" i="4"/>
  <c r="H29" i="4"/>
  <c r="H31" i="4"/>
  <c r="H30" i="4"/>
  <c r="H34" i="4"/>
  <c r="H35" i="4"/>
  <c r="H32" i="4"/>
  <c r="H37" i="4"/>
  <c r="H33" i="4"/>
  <c r="H38" i="4"/>
  <c r="H36" i="4"/>
  <c r="H42" i="4"/>
  <c r="H41" i="4"/>
  <c r="H39" i="4"/>
  <c r="H40" i="4"/>
  <c r="H44" i="4"/>
  <c r="H43" i="4"/>
  <c r="H11" i="4"/>
  <c r="H46" i="4"/>
  <c r="H49" i="4"/>
  <c r="H47" i="4"/>
  <c r="H160" i="4"/>
  <c r="H50" i="4"/>
  <c r="H53" i="4"/>
  <c r="H52" i="4"/>
  <c r="H51" i="4"/>
  <c r="H57" i="4"/>
  <c r="H54" i="4"/>
  <c r="H55" i="4"/>
  <c r="H56" i="4"/>
  <c r="H58" i="4"/>
  <c r="H60" i="4"/>
  <c r="H61" i="4"/>
  <c r="H62" i="4"/>
  <c r="H59" i="4"/>
  <c r="H63" i="4"/>
  <c r="H66" i="4"/>
  <c r="H131" i="4"/>
  <c r="H67" i="4"/>
  <c r="H64" i="4"/>
  <c r="H69" i="4"/>
  <c r="H71" i="4"/>
  <c r="H74" i="4"/>
  <c r="H72" i="4"/>
  <c r="H73" i="4"/>
  <c r="H141" i="4"/>
  <c r="H70" i="4"/>
  <c r="H75" i="4"/>
  <c r="H77" i="4"/>
  <c r="H76" i="4"/>
  <c r="H79" i="4"/>
  <c r="H78" i="4"/>
  <c r="H80" i="4"/>
  <c r="H81" i="4"/>
  <c r="H82" i="4"/>
  <c r="H87" i="4"/>
  <c r="H90" i="4"/>
  <c r="H83" i="4"/>
  <c r="H88" i="4"/>
  <c r="H84" i="4"/>
  <c r="H85" i="4"/>
  <c r="H86" i="4"/>
  <c r="H89" i="4"/>
  <c r="H91" i="4"/>
  <c r="H96" i="4"/>
  <c r="H95" i="4"/>
  <c r="H92" i="4"/>
  <c r="H93" i="4"/>
  <c r="H295" i="4"/>
  <c r="H97" i="4"/>
  <c r="H99" i="4"/>
  <c r="H98" i="4"/>
  <c r="H103" i="4"/>
  <c r="H102" i="4"/>
  <c r="H105" i="4"/>
  <c r="H100" i="4"/>
  <c r="H101" i="4"/>
  <c r="H168" i="4"/>
  <c r="H285" i="4"/>
  <c r="H104" i="4"/>
  <c r="H109" i="4"/>
  <c r="H110" i="4"/>
  <c r="H108" i="4"/>
  <c r="H112" i="4"/>
  <c r="H113" i="4"/>
  <c r="H115" i="4"/>
  <c r="H114" i="4"/>
  <c r="H223" i="4"/>
  <c r="H117" i="4"/>
  <c r="H116" i="4"/>
  <c r="H118" i="4"/>
  <c r="H120" i="4"/>
  <c r="H119" i="4"/>
  <c r="H121" i="4"/>
  <c r="H122" i="4"/>
  <c r="H123" i="4"/>
  <c r="H124" i="4"/>
  <c r="H125" i="4"/>
  <c r="H127" i="4"/>
  <c r="H126" i="4"/>
  <c r="H128" i="4"/>
  <c r="H129" i="4"/>
  <c r="H130" i="4"/>
  <c r="H134" i="4"/>
  <c r="H221" i="4"/>
  <c r="H225" i="4"/>
  <c r="H133" i="4"/>
  <c r="H139" i="4"/>
  <c r="H138" i="4"/>
  <c r="H136" i="4"/>
  <c r="H135" i="4"/>
  <c r="H137" i="4"/>
  <c r="H145" i="4"/>
  <c r="H236" i="4"/>
  <c r="H143" i="4"/>
  <c r="H346" i="4"/>
  <c r="H142" i="4"/>
  <c r="H146" i="4"/>
  <c r="H144" i="4"/>
  <c r="H140" i="4"/>
  <c r="H152" i="4"/>
  <c r="H149" i="4"/>
  <c r="H151" i="4"/>
  <c r="H150" i="4"/>
  <c r="H148" i="4"/>
  <c r="H374" i="4"/>
  <c r="H157" i="4"/>
  <c r="H154" i="4"/>
  <c r="H155" i="4"/>
  <c r="H153" i="4"/>
  <c r="H156" i="4"/>
  <c r="H204" i="4"/>
  <c r="H158" i="4"/>
  <c r="H341" i="4"/>
  <c r="H167" i="4"/>
  <c r="H169" i="4"/>
  <c r="H162" i="4"/>
  <c r="H224" i="4"/>
  <c r="H163" i="4"/>
  <c r="H164" i="4"/>
  <c r="H165" i="4"/>
  <c r="H166" i="4"/>
  <c r="H172" i="4"/>
  <c r="H170" i="4"/>
  <c r="H171" i="4"/>
  <c r="H173" i="4"/>
  <c r="H174" i="4"/>
  <c r="H217" i="4"/>
  <c r="H178" i="4"/>
  <c r="H177" i="4"/>
  <c r="H176" i="4"/>
  <c r="H175" i="4"/>
  <c r="H147" i="4"/>
  <c r="H179" i="4"/>
  <c r="H183" i="4"/>
  <c r="H270" i="4"/>
  <c r="H275" i="4"/>
  <c r="H185" i="4"/>
  <c r="H187" i="4"/>
  <c r="H218" i="4"/>
  <c r="H182" i="4"/>
  <c r="H191" i="4"/>
  <c r="H190" i="4"/>
  <c r="H192" i="4"/>
  <c r="H189" i="4"/>
  <c r="H196" i="4"/>
  <c r="H193" i="4"/>
  <c r="H194" i="4"/>
  <c r="H195" i="4"/>
  <c r="H159" i="4"/>
  <c r="H202" i="4"/>
  <c r="H197" i="4"/>
  <c r="H367" i="4"/>
  <c r="H344" i="4"/>
  <c r="H201" i="4"/>
  <c r="H199" i="4"/>
  <c r="H198" i="4"/>
  <c r="H203" i="4"/>
  <c r="H209" i="4"/>
  <c r="H212" i="4"/>
  <c r="H213" i="4"/>
  <c r="H208" i="4"/>
  <c r="H210" i="4"/>
  <c r="H211" i="4"/>
  <c r="H206" i="4"/>
  <c r="H207" i="4"/>
  <c r="H216" i="4"/>
  <c r="H161" i="4"/>
  <c r="H181" i="4"/>
  <c r="H214" i="4"/>
  <c r="H180" i="4"/>
  <c r="H200" i="4"/>
  <c r="H220" i="4"/>
  <c r="H306" i="4"/>
  <c r="H279" i="4"/>
  <c r="H222" i="4"/>
  <c r="H375" i="4"/>
  <c r="H132" i="4"/>
  <c r="H186" i="4"/>
  <c r="H107" i="4"/>
  <c r="H230" i="4"/>
  <c r="H227" i="4"/>
  <c r="H228" i="4"/>
  <c r="H226" i="4"/>
  <c r="H234" i="4"/>
  <c r="H232" i="4"/>
  <c r="H237" i="4"/>
  <c r="H233" i="4"/>
  <c r="H111" i="4"/>
  <c r="H235" i="4"/>
  <c r="H68" i="4"/>
  <c r="H243" i="4"/>
  <c r="H242" i="4"/>
  <c r="H239" i="4"/>
  <c r="H241" i="4"/>
  <c r="H244" i="4"/>
  <c r="H240" i="4"/>
  <c r="H245" i="4"/>
  <c r="H247" i="4"/>
  <c r="H246" i="4"/>
  <c r="H248" i="4"/>
  <c r="H249" i="4"/>
  <c r="H257" i="4"/>
  <c r="H256" i="4"/>
  <c r="H255" i="4"/>
  <c r="H254" i="4"/>
  <c r="H253" i="4"/>
  <c r="H215" i="4"/>
  <c r="H8" i="4"/>
  <c r="H252" i="4"/>
  <c r="H250" i="4"/>
  <c r="H259" i="4"/>
  <c r="H261" i="4"/>
  <c r="H262" i="4"/>
  <c r="H205" i="4"/>
  <c r="H184" i="4"/>
  <c r="H260" i="4"/>
  <c r="H229" i="4"/>
  <c r="H263" i="4"/>
  <c r="H267" i="4"/>
  <c r="H265" i="4"/>
  <c r="H273" i="4"/>
  <c r="H269" i="4"/>
  <c r="H282" i="4"/>
  <c r="H272" i="4"/>
  <c r="H106" i="4"/>
  <c r="H274" i="4"/>
  <c r="H94" i="4"/>
  <c r="H271" i="4"/>
  <c r="H278" i="4"/>
  <c r="H284" i="4"/>
  <c r="H277" i="4"/>
  <c r="H266" i="4"/>
  <c r="H280" i="4"/>
  <c r="H281" i="4"/>
  <c r="H65" i="4"/>
  <c r="H238" i="4"/>
  <c r="H219" i="4"/>
  <c r="H288" i="4"/>
  <c r="H289" i="4"/>
  <c r="H290" i="4"/>
  <c r="H301" i="4"/>
  <c r="H291" i="4"/>
  <c r="H287" i="4"/>
  <c r="H292" i="4"/>
  <c r="H297" i="4"/>
  <c r="H300" i="4"/>
  <c r="H293" i="4"/>
  <c r="H188" i="4"/>
  <c r="H296" i="4"/>
  <c r="H299" i="4"/>
  <c r="H286" i="4"/>
  <c r="H294" i="4"/>
  <c r="H264" i="4"/>
  <c r="H302" i="4"/>
  <c r="H305" i="4"/>
  <c r="H298" i="4"/>
  <c r="H303" i="4"/>
  <c r="H304" i="4"/>
  <c r="H315" i="4"/>
  <c r="H307" i="4"/>
  <c r="H314" i="4"/>
  <c r="H309" i="4"/>
  <c r="H317" i="4"/>
  <c r="H231" i="4"/>
  <c r="H308" i="4"/>
  <c r="H310" i="4"/>
  <c r="H320" i="4"/>
  <c r="H319" i="4"/>
  <c r="H318" i="4"/>
  <c r="H316" i="4"/>
  <c r="H313" i="4"/>
  <c r="H312" i="4"/>
  <c r="H311" i="4"/>
  <c r="H330" i="4"/>
  <c r="H326" i="4"/>
  <c r="H331" i="4"/>
  <c r="H325" i="4"/>
  <c r="H323" i="4"/>
  <c r="H258" i="4"/>
  <c r="H329" i="4"/>
  <c r="H355" i="4"/>
  <c r="H327" i="4"/>
  <c r="H328" i="4"/>
  <c r="H322" i="4"/>
  <c r="H321" i="4"/>
  <c r="H345" i="4"/>
  <c r="H357" i="4"/>
  <c r="H332" i="4"/>
  <c r="H336" i="4"/>
  <c r="H339" i="4"/>
  <c r="H334" i="4"/>
  <c r="H338" i="4"/>
  <c r="H337" i="4"/>
  <c r="H333" i="4"/>
  <c r="H335" i="4"/>
  <c r="H340" i="4"/>
  <c r="H342" i="4"/>
  <c r="H343" i="4"/>
  <c r="H251" i="4"/>
  <c r="H354" i="4"/>
  <c r="H360" i="4"/>
  <c r="H356" i="4"/>
  <c r="H353" i="4"/>
  <c r="H352" i="4"/>
  <c r="H350" i="4"/>
  <c r="H276" i="4"/>
  <c r="H351" i="4"/>
  <c r="H359" i="4"/>
  <c r="H324" i="4"/>
  <c r="H358" i="4"/>
  <c r="H349" i="4"/>
  <c r="H363" i="4"/>
  <c r="H364" i="4"/>
  <c r="H361" i="4"/>
  <c r="H365" i="4"/>
  <c r="H268" i="4"/>
  <c r="H362" i="4"/>
  <c r="H366" i="4"/>
  <c r="H369" i="4"/>
  <c r="H368" i="4"/>
  <c r="H370" i="4"/>
  <c r="H347" i="4"/>
  <c r="H283" i="4"/>
  <c r="H372" i="4"/>
  <c r="H371" i="4"/>
  <c r="H373" i="4"/>
  <c r="H376" i="4"/>
  <c r="H390" i="4"/>
  <c r="H378" i="4"/>
  <c r="H377" i="4"/>
  <c r="H383" i="4"/>
  <c r="H379" i="4"/>
  <c r="H382" i="4"/>
  <c r="H381" i="4"/>
  <c r="H380" i="4"/>
  <c r="H385" i="4"/>
  <c r="H384" i="4"/>
  <c r="H386" i="4"/>
  <c r="H387" i="4"/>
  <c r="H391" i="4"/>
  <c r="H2" i="4"/>
  <c r="A178" i="7"/>
  <c r="A179" i="7"/>
  <c r="A180" i="7"/>
  <c r="A181" i="7"/>
  <c r="A182" i="7"/>
  <c r="A184" i="7"/>
  <c r="A185" i="7"/>
  <c r="A379" i="4"/>
  <c r="A382" i="4"/>
  <c r="A381" i="4"/>
  <c r="A380" i="4"/>
  <c r="A385" i="4"/>
  <c r="A384" i="4"/>
  <c r="A386" i="4"/>
  <c r="A387" i="4"/>
  <c r="A391" i="4"/>
  <c r="A175" i="7"/>
  <c r="A183" i="7"/>
  <c r="A176" i="7"/>
  <c r="A177" i="7"/>
  <c r="A170" i="7"/>
  <c r="A169" i="7"/>
  <c r="A171" i="7"/>
  <c r="A172" i="7"/>
  <c r="A173" i="7"/>
  <c r="A174" i="7"/>
  <c r="A376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24" i="4"/>
  <c r="A327" i="4"/>
  <c r="A328" i="4"/>
  <c r="A322" i="4"/>
  <c r="A347" i="4"/>
  <c r="A345" i="4"/>
  <c r="A344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55" i="4"/>
  <c r="A353" i="4"/>
  <c r="A352" i="4"/>
  <c r="A350" i="4"/>
  <c r="A357" i="4"/>
  <c r="A351" i="4"/>
  <c r="A359" i="4"/>
  <c r="A356" i="4"/>
  <c r="A358" i="4"/>
  <c r="A349" i="4"/>
  <c r="A363" i="4"/>
  <c r="A364" i="4"/>
  <c r="A361" i="4"/>
  <c r="A365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312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295" i="4"/>
  <c r="A302" i="4"/>
  <c r="A305" i="4"/>
  <c r="A30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298" i="4"/>
  <c r="A282" i="4"/>
  <c r="A283" i="4"/>
  <c r="A285" i="4"/>
  <c r="A288" i="4"/>
  <c r="A267" i="4"/>
  <c r="A265" i="4"/>
  <c r="A259" i="4"/>
  <c r="A273" i="4"/>
  <c r="A269" i="4"/>
  <c r="A270" i="4"/>
  <c r="A272" i="4"/>
  <c r="A275" i="4"/>
  <c r="A274" i="4"/>
  <c r="A27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264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237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18" i="4"/>
  <c r="A220" i="4"/>
  <c r="A224" i="4"/>
  <c r="A221" i="4"/>
  <c r="A206" i="4"/>
  <c r="A207" i="4"/>
  <c r="A216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76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94" i="4"/>
  <c r="A97" i="4"/>
  <c r="A99" i="4"/>
  <c r="A98" i="4"/>
  <c r="A103" i="4"/>
  <c r="A102" i="4"/>
  <c r="A105" i="4"/>
  <c r="A100" i="4"/>
  <c r="A101" i="4"/>
  <c r="A106" i="4"/>
  <c r="A107" i="4"/>
  <c r="A104" i="4"/>
  <c r="A109" i="4"/>
  <c r="A110" i="4"/>
  <c r="A108" i="4"/>
  <c r="A112" i="4"/>
  <c r="A113" i="4"/>
  <c r="A115" i="4"/>
  <c r="A114" i="4"/>
  <c r="A111" i="4"/>
  <c r="A117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68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184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00" i="4"/>
  <c r="A202" i="4"/>
  <c r="A197" i="4"/>
  <c r="A205" i="4"/>
  <c r="A204" i="4"/>
  <c r="A201" i="4"/>
  <c r="A199" i="4"/>
  <c r="A198" i="4"/>
  <c r="A2" i="4"/>
</calcChain>
</file>

<file path=xl/sharedStrings.xml><?xml version="1.0" encoding="utf-8"?>
<sst xmlns="http://schemas.openxmlformats.org/spreadsheetml/2006/main" count="22420" uniqueCount="8814">
  <si>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</si>
  <si>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</si>
  <si>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</si>
  <si>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</si>
  <si>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</si>
  <si>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</si>
  <si>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</si>
  <si>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</si>
  <si>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</si>
  <si>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</si>
  <si>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</si>
  <si>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</si>
  <si>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</si>
  <si>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</si>
  <si>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</si>
  <si>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</si>
  <si>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</si>
  <si>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</si>
  <si>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</si>
  <si>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</si>
  <si>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</si>
  <si>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</si>
  <si>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</si>
  <si>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</si>
  <si>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</si>
  <si>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</si>
  <si>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</si>
  <si>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</si>
  <si>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</si>
  <si>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</si>
  <si>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</si>
  <si>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</si>
  <si>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</si>
  <si>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</si>
  <si>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</si>
  <si>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</si>
  <si>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</si>
  <si>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</si>
  <si>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</si>
  <si>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</si>
  <si>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</si>
  <si>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</si>
  <si>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</si>
  <si>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</si>
  <si>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</si>
  <si>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</si>
  <si>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</si>
  <si>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</si>
  <si>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</si>
  <si>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</si>
  <si>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</si>
  <si>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</si>
  <si>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</si>
  <si>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</si>
  <si>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</si>
  <si>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</si>
  <si>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</si>
  <si>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</si>
  <si>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</si>
  <si>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</si>
  <si>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</si>
  <si>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</si>
  <si>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</si>
  <si>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</si>
  <si>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</si>
  <si>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</si>
  <si>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</si>
  <si>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</si>
  <si>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</si>
  <si>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</si>
  <si>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</si>
  <si>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</si>
  <si>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</si>
  <si>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</si>
  <si>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</si>
  <si>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</si>
  <si>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</si>
  <si>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</si>
  <si>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</si>
  <si>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</si>
  <si>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</si>
  <si>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</si>
  <si>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</si>
  <si>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</si>
  <si>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</si>
  <si>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</si>
  <si>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</si>
  <si>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</si>
  <si>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</si>
  <si>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</si>
  <si>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</si>
  <si>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</si>
  <si>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</si>
  <si>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</si>
  <si>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</si>
  <si>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</si>
  <si>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</si>
  <si>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</si>
  <si>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</si>
  <si>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</si>
  <si>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</si>
  <si>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</si>
  <si>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</si>
  <si>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</si>
  <si>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</si>
  <si>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</si>
  <si>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</si>
  <si>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</si>
  <si>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</si>
  <si>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</si>
  <si>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</si>
  <si>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</si>
  <si>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</si>
  <si>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</si>
  <si>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</si>
  <si>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</si>
  <si>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</si>
  <si>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</si>
  <si>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</si>
  <si>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</si>
  <si>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</si>
  <si>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</si>
  <si>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</si>
  <si>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</si>
  <si>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</si>
  <si>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</si>
  <si>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</si>
  <si>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</si>
  <si>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</si>
  <si>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</si>
  <si>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</si>
  <si>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</si>
  <si>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</si>
  <si>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</si>
  <si>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</si>
  <si>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</si>
  <si>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</si>
  <si>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</si>
  <si>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</si>
  <si>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</si>
  <si>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</si>
  <si>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</si>
  <si>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</si>
  <si>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</si>
  <si>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</si>
  <si>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</si>
  <si>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</si>
  <si>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</si>
  <si>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</si>
  <si>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</si>
  <si>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</si>
  <si>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</si>
  <si>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</si>
  <si>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</si>
  <si>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</si>
  <si>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</si>
  <si>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</si>
  <si>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</si>
  <si>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</si>
  <si>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</si>
  <si>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</si>
  <si>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</si>
  <si>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</si>
  <si>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</si>
  <si>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</si>
  <si>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</si>
  <si>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</si>
  <si>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</si>
  <si>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</si>
  <si>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</si>
  <si>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</si>
  <si>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</si>
  <si>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</si>
  <si>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</si>
  <si>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</si>
  <si>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</si>
  <si>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</si>
  <si>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</si>
  <si>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</si>
  <si>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</si>
  <si>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</si>
  <si>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</si>
  <si>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</si>
  <si>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</si>
  <si>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</si>
  <si>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</si>
  <si>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</si>
  <si>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</si>
  <si>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</si>
  <si>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</si>
  <si>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</si>
  <si>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</si>
  <si>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</si>
  <si>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</si>
  <si>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</si>
  <si>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</si>
  <si>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</si>
  <si>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</si>
  <si>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</si>
  <si>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</si>
  <si>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</si>
  <si>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</si>
  <si>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</si>
  <si>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</si>
  <si>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</si>
  <si>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</si>
  <si>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</si>
  <si>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</si>
  <si>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</si>
  <si>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</si>
  <si>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</si>
  <si>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</si>
  <si>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</si>
  <si>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</si>
  <si>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</si>
  <si>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</si>
  <si>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</si>
  <si>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</si>
  <si>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</si>
  <si>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</si>
  <si>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</si>
  <si>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</si>
  <si>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</si>
  <si>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</si>
  <si>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</si>
  <si>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</si>
  <si>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</si>
  <si>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</si>
  <si>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</si>
  <si>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</si>
  <si>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</si>
  <si>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</si>
  <si>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</si>
  <si>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</si>
  <si>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</si>
  <si>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</si>
  <si>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</si>
  <si>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</si>
  <si>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</si>
  <si>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</si>
  <si>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</si>
  <si>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</si>
  <si>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</si>
  <si>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</si>
  <si>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</si>
  <si>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</si>
  <si>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</si>
  <si>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</si>
  <si>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</si>
  <si>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</si>
  <si>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</si>
  <si>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</si>
  <si>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</si>
  <si>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</si>
  <si>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</si>
  <si>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</si>
  <si>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</si>
  <si>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</si>
  <si>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</si>
  <si>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</si>
  <si>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</si>
  <si>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</si>
  <si>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</si>
  <si>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</si>
  <si>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</si>
  <si>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</si>
  <si>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</si>
  <si>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</si>
  <si>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</si>
  <si>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</si>
  <si>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</si>
  <si>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</si>
  <si>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</si>
  <si>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</si>
  <si>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</si>
  <si>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</si>
  <si>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</si>
  <si>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</si>
  <si>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</si>
  <si>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</si>
  <si>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</si>
  <si>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</si>
  <si>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</si>
  <si>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</si>
  <si>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</si>
  <si>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</si>
  <si>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</si>
  <si>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</si>
  <si>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</si>
  <si>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</si>
  <si>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</si>
  <si>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</si>
  <si>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</si>
  <si>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</si>
  <si>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</si>
  <si>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</si>
  <si>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</si>
  <si>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</si>
  <si>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</si>
  <si>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</si>
  <si>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</si>
  <si>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</si>
  <si>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</si>
  <si>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</si>
  <si>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</si>
  <si>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</si>
  <si>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</si>
  <si>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</si>
  <si>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</si>
  <si>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</si>
  <si>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</si>
  <si>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</si>
  <si>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</si>
  <si>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</si>
  <si>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</si>
  <si>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</si>
  <si>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</si>
  <si>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</si>
  <si>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</si>
  <si>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</si>
  <si>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</si>
  <si>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</si>
  <si>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</si>
  <si>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</si>
  <si>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</si>
  <si>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</si>
  <si>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</si>
  <si>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</si>
  <si>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</si>
  <si>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</si>
  <si>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</si>
  <si>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</si>
  <si>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</si>
  <si>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</si>
  <si>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</si>
  <si>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</si>
  <si>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</si>
  <si>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</si>
  <si>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</si>
  <si>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</si>
  <si>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</si>
  <si>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</si>
  <si>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</si>
  <si>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</si>
  <si>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</si>
  <si>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</si>
  <si>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</si>
  <si>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</si>
  <si>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</si>
  <si>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</si>
  <si>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</si>
  <si>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</si>
  <si>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</si>
  <si>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</si>
  <si>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</si>
  <si>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</si>
  <si>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</si>
  <si>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</si>
  <si>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</si>
  <si>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</si>
  <si>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</si>
  <si>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</si>
  <si>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</si>
  <si>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</si>
  <si>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</si>
  <si>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</si>
  <si>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</si>
  <si>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</si>
  <si>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</si>
  <si>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</si>
  <si>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</si>
  <si>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</si>
  <si>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</si>
  <si>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</si>
  <si>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</si>
  <si>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</si>
  <si>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</si>
  <si>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</si>
  <si>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</si>
  <si>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</si>
  <si>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</si>
  <si>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</si>
  <si>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</si>
  <si>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</si>
  <si>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</si>
  <si>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</si>
  <si>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</si>
  <si>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</si>
  <si>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</si>
  <si>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</si>
  <si>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</si>
  <si>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</si>
  <si>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</si>
  <si>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</si>
  <si>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</si>
  <si>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</si>
  <si>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</si>
  <si>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</si>
  <si>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</si>
  <si>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</si>
  <si>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</si>
  <si>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</si>
  <si>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</si>
  <si>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</si>
  <si>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</si>
  <si>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</si>
  <si>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</si>
  <si>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</si>
  <si>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</si>
  <si>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</si>
  <si>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</si>
  <si>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</si>
  <si>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</si>
  <si>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</si>
  <si>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</si>
  <si>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</si>
  <si>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</si>
  <si>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</si>
  <si>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</si>
  <si>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</si>
  <si>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</si>
  <si>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</si>
  <si>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</si>
  <si>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</si>
  <si>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</si>
  <si>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</si>
  <si>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</si>
  <si>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</si>
  <si>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</si>
  <si>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</si>
  <si>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</si>
  <si>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</si>
  <si>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</si>
  <si>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</si>
  <si>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</si>
  <si>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</si>
  <si>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</si>
  <si>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</si>
  <si>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</si>
  <si>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</si>
  <si>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</si>
  <si>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</si>
  <si>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</si>
  <si>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</si>
  <si>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</si>
  <si>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</si>
  <si>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</si>
  <si>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</si>
  <si>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</si>
  <si>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</si>
  <si>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</si>
  <si>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</si>
  <si>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</si>
  <si>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</si>
  <si>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</si>
  <si>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</si>
  <si>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</si>
  <si>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</si>
  <si>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</si>
  <si>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</si>
  <si>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</si>
  <si>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</si>
  <si>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</si>
  <si>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</si>
  <si>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</si>
  <si>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</si>
  <si>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</si>
  <si>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</si>
  <si>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</si>
  <si>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</si>
  <si>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</si>
  <si>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</si>
  <si>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</si>
  <si>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</si>
  <si>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</si>
  <si>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</si>
  <si>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</si>
  <si>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</si>
  <si>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</si>
  <si>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</si>
  <si>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</si>
  <si>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</si>
  <si>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</si>
  <si>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</si>
  <si>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</si>
  <si>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</si>
  <si>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</si>
  <si>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</si>
  <si>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</si>
  <si>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</si>
  <si>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</si>
  <si>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</si>
  <si>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</si>
  <si>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</si>
  <si>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</si>
  <si>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</si>
  <si>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</si>
  <si>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</si>
  <si>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</si>
  <si>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</si>
  <si>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</si>
  <si>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</si>
  <si>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</si>
  <si>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</si>
  <si>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</si>
  <si>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</si>
  <si>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</si>
  <si>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</si>
  <si>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</si>
  <si>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</si>
  <si>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</si>
  <si>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</si>
  <si>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</si>
  <si>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</si>
  <si>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</si>
  <si>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</si>
  <si>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</si>
  <si>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</si>
  <si>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</si>
  <si>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</si>
  <si>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</si>
  <si>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</si>
  <si>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</si>
  <si>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</si>
  <si>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</si>
  <si>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</si>
  <si>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</si>
  <si>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</si>
  <si>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</si>
  <si>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</si>
  <si>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</si>
  <si>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</si>
  <si>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</si>
  <si>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</si>
  <si>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</si>
  <si>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</si>
  <si>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</si>
  <si>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</si>
  <si>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</si>
  <si>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</si>
  <si>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</si>
  <si>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</si>
  <si>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</si>
  <si>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</si>
  <si>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</si>
  <si>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</si>
  <si>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</si>
  <si>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</si>
  <si>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</si>
  <si>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</si>
  <si>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</si>
  <si>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</si>
  <si>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</si>
  <si>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</si>
  <si>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</si>
  <si>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</si>
  <si>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</si>
  <si>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</si>
  <si>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</si>
  <si>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</si>
  <si>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</si>
  <si>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</si>
  <si>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</si>
  <si>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</si>
  <si>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</si>
  <si>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</si>
  <si>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</si>
  <si>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</si>
  <si>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</si>
  <si>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</si>
  <si>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</si>
  <si>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</si>
  <si>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</si>
  <si>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</si>
  <si>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</si>
  <si>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</si>
  <si>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</si>
  <si>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</si>
  <si>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</si>
  <si>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</si>
  <si>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</si>
  <si>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</si>
  <si>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</si>
  <si>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</si>
  <si>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</si>
  <si>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</si>
  <si>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</si>
  <si>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</si>
  <si>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</si>
  <si>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</si>
  <si>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</si>
  <si>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</si>
  <si>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</si>
  <si>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</si>
  <si>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</si>
  <si>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</si>
  <si>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</si>
  <si>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</si>
  <si>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</si>
  <si>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</si>
  <si>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</si>
  <si>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</si>
  <si>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</si>
  <si>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</si>
  <si>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</si>
  <si>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</si>
  <si>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</si>
  <si>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</si>
  <si>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</si>
  <si>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</si>
  <si>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</si>
  <si>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</si>
  <si>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</si>
  <si>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</si>
  <si>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</si>
  <si>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</si>
  <si>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</si>
  <si>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</si>
  <si>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</si>
  <si>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</si>
  <si>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</si>
  <si>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</si>
  <si>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</si>
  <si>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</si>
  <si>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</si>
  <si>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</si>
  <si>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</si>
  <si>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</si>
  <si>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</si>
  <si>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</si>
  <si>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</si>
  <si>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</si>
  <si>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</si>
  <si>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</si>
  <si>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</si>
  <si>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</si>
  <si>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</si>
  <si>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</si>
  <si>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</si>
  <si>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</si>
  <si>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</si>
  <si>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</si>
  <si>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</si>
  <si>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</si>
  <si>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</si>
  <si>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</si>
  <si>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</si>
  <si>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</si>
  <si>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</si>
  <si>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</si>
  <si>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</si>
  <si>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</si>
  <si>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</si>
  <si>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</si>
  <si>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</si>
  <si>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</si>
  <si>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</si>
  <si>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</si>
  <si>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</si>
  <si>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</si>
  <si>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</si>
  <si>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</si>
  <si>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</si>
  <si>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</si>
  <si>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</si>
  <si>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</si>
  <si>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</si>
  <si>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</si>
  <si>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</si>
  <si>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</si>
  <si>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</si>
  <si>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</si>
  <si>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</si>
  <si>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</si>
  <si>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</si>
  <si>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</si>
  <si>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</si>
  <si>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</si>
  <si>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</si>
  <si>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</si>
  <si>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</si>
  <si>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</si>
  <si>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</si>
  <si>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</si>
  <si>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</si>
  <si>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</si>
  <si>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</si>
  <si>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</si>
  <si>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</si>
  <si>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</si>
  <si>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</si>
  <si>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</si>
  <si>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</si>
  <si>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</si>
  <si>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</si>
  <si>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</si>
  <si>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</si>
  <si>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</si>
  <si>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</si>
  <si>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</si>
  <si>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</si>
  <si>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</si>
  <si>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</si>
  <si>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</si>
  <si>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</si>
  <si>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</si>
  <si>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</si>
  <si>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</si>
  <si>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</si>
  <si>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</si>
  <si>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</si>
  <si>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</si>
  <si>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</si>
  <si>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</si>
  <si>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</si>
  <si>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</si>
  <si>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</si>
  <si>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</si>
  <si>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</si>
  <si>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</si>
  <si>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</si>
  <si>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</si>
  <si>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</si>
  <si>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</si>
  <si>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</si>
  <si>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</si>
  <si>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</si>
  <si>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</si>
  <si>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</si>
  <si>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</si>
  <si>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</si>
  <si>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</si>
  <si>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</si>
  <si>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</si>
  <si>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</si>
  <si>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</si>
  <si>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</si>
  <si>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</si>
  <si>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</si>
  <si>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</si>
  <si>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</si>
  <si>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</si>
  <si>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</si>
  <si>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</si>
  <si>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</si>
  <si>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</si>
  <si>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</si>
  <si>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</si>
  <si>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</si>
  <si>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</si>
  <si>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</si>
  <si>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</si>
  <si>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</si>
  <si>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</si>
  <si>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</si>
  <si>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</si>
  <si>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</si>
  <si>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</si>
  <si>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</si>
  <si>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</si>
  <si>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</si>
  <si>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</si>
  <si>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</si>
  <si>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</si>
  <si>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</si>
  <si>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</si>
  <si>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</si>
  <si>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</si>
  <si>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</si>
  <si>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</si>
  <si>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</si>
  <si>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</si>
  <si>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</si>
  <si>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</si>
  <si>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</si>
  <si>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</si>
  <si>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</si>
  <si>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</si>
  <si>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</si>
  <si>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</si>
  <si>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</si>
  <si>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</si>
  <si>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</si>
  <si>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</si>
  <si>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</si>
  <si>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</si>
  <si>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</si>
  <si>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</si>
  <si>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</si>
  <si>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</si>
  <si>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</si>
  <si>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</si>
  <si>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</si>
  <si>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</si>
  <si>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</si>
  <si>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</si>
  <si>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</si>
  <si>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</si>
  <si>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</si>
  <si>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</si>
  <si>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</si>
  <si>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</si>
  <si>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</si>
  <si>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</si>
  <si>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</si>
  <si>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</si>
  <si>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</si>
  <si>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</si>
  <si>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</si>
  <si>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</si>
  <si>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</si>
  <si>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</si>
  <si>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</si>
  <si>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</si>
  <si>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</si>
  <si>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</si>
  <si>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</si>
  <si>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</si>
  <si>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</si>
  <si>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</si>
  <si>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</si>
  <si>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</si>
  <si>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</si>
  <si>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</si>
  <si>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</si>
  <si>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</si>
  <si>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</si>
  <si>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</si>
  <si>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</si>
  <si>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</si>
  <si>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</si>
  <si>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</si>
  <si>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</si>
  <si>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</si>
  <si>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</si>
  <si>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</si>
  <si>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</si>
  <si>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</si>
  <si>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</si>
  <si>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</si>
  <si>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</si>
  <si>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</si>
  <si>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</si>
  <si>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</si>
  <si>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</si>
  <si>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</si>
  <si>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</si>
  <si>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</si>
  <si>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</si>
  <si>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</si>
  <si>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</si>
  <si>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</si>
  <si>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</si>
  <si>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</si>
  <si>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</si>
  <si>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</si>
  <si>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</si>
  <si>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</si>
  <si>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</si>
  <si>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</si>
  <si>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</si>
  <si>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</si>
  <si>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</si>
  <si>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</si>
  <si>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</si>
  <si>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</si>
  <si>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</si>
  <si>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</si>
  <si>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</si>
  <si>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</si>
  <si>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</si>
  <si>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</si>
  <si>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</si>
  <si>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</si>
  <si>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</si>
  <si>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</si>
  <si>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</si>
  <si>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</si>
  <si>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</si>
  <si>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</si>
  <si>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</si>
  <si>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</si>
  <si>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</si>
  <si>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</si>
  <si>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</si>
  <si>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</si>
  <si>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</si>
  <si>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</si>
  <si>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</si>
  <si>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</si>
  <si>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</si>
  <si>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</si>
  <si>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</si>
  <si>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</si>
  <si>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</si>
  <si>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</si>
  <si>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</si>
  <si>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</si>
  <si>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</si>
  <si>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</si>
  <si>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</si>
  <si>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</si>
  <si>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</si>
  <si>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</si>
  <si>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</si>
  <si>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</si>
  <si>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</si>
  <si>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</si>
  <si>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</si>
  <si>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</si>
  <si>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</si>
  <si>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</si>
  <si>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</si>
  <si>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</si>
  <si>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</si>
  <si>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</si>
  <si>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</si>
  <si>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</si>
  <si>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</si>
  <si>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</si>
  <si>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</si>
  <si>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</si>
  <si>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</si>
  <si>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</si>
  <si>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</si>
  <si>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</si>
  <si>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</si>
  <si>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</si>
  <si>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</si>
  <si>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</si>
  <si>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</si>
  <si>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</si>
  <si>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</si>
  <si>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</si>
  <si>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</si>
  <si>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</si>
  <si>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</si>
  <si>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</si>
  <si>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</si>
  <si>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</si>
  <si>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</si>
  <si>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</si>
  <si>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</si>
  <si>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</si>
  <si>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</si>
  <si>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</si>
  <si>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</si>
  <si>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</si>
  <si>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</si>
  <si>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</si>
  <si>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</si>
  <si>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</si>
  <si>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</si>
  <si>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</si>
  <si>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</si>
  <si>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</si>
  <si>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</si>
  <si>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</si>
  <si>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</si>
  <si>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</si>
  <si>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</si>
  <si>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</si>
  <si>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</si>
  <si>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</si>
  <si>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</si>
  <si>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</si>
  <si>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</si>
  <si>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</si>
  <si>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</si>
  <si>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</si>
  <si>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</si>
  <si>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</si>
  <si>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</si>
  <si>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</si>
  <si>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</si>
  <si>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</si>
  <si>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</si>
  <si>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</si>
  <si>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</si>
  <si>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</si>
  <si>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</si>
  <si>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</si>
  <si>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</si>
  <si>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</si>
  <si>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</si>
  <si>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</si>
  <si>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</si>
  <si>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</si>
  <si>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</si>
  <si>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</si>
  <si>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</si>
  <si>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</si>
  <si>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</si>
  <si>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</si>
  <si>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</si>
  <si>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</si>
  <si>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</si>
  <si>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</si>
  <si>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</si>
  <si>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</si>
  <si>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</si>
  <si>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</si>
  <si>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</si>
  <si>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</si>
  <si>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</si>
  <si>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</si>
  <si>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</si>
  <si>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</si>
  <si>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</si>
  <si>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</si>
  <si>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</si>
  <si>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</si>
  <si>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</si>
  <si>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</si>
  <si>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</si>
  <si>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</si>
  <si>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</si>
  <si>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</si>
  <si>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</si>
  <si>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</si>
  <si>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</si>
  <si>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</si>
  <si>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</si>
  <si>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</si>
  <si>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</si>
  <si>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</si>
  <si>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</si>
  <si>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</si>
  <si>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</si>
  <si>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</si>
  <si>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</si>
  <si>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</si>
  <si>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</si>
  <si>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</si>
  <si>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</si>
  <si>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</si>
  <si>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</si>
  <si>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</si>
  <si>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</si>
  <si>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</si>
  <si>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</si>
  <si>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</si>
  <si>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</si>
  <si>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</si>
  <si>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</si>
  <si>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</si>
  <si>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</si>
  <si>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</si>
  <si>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</si>
  <si>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</si>
  <si>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</si>
  <si>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</si>
  <si>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</si>
  <si>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</si>
  <si>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</si>
  <si>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</si>
  <si>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</si>
  <si>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</si>
  <si>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</si>
  <si>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</si>
  <si>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</si>
  <si>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</si>
  <si>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</si>
  <si>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</si>
  <si>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</si>
  <si>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</si>
  <si>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</si>
  <si>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</si>
  <si>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</si>
  <si>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</si>
  <si>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</si>
  <si>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</si>
  <si>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</si>
  <si>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</si>
  <si>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</si>
  <si>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</si>
  <si>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</si>
  <si>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</si>
  <si>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</si>
  <si>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</si>
  <si>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</si>
  <si>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</si>
  <si>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</si>
  <si>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</si>
  <si>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</si>
  <si>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</si>
  <si>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</si>
  <si>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</si>
  <si>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</si>
  <si>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</si>
  <si>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</si>
  <si>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</si>
  <si>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</si>
  <si>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</si>
  <si>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</si>
  <si>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</si>
  <si>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</si>
  <si>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</si>
  <si>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</si>
  <si>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</si>
  <si>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</si>
  <si>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</si>
  <si>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</si>
  <si>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</si>
  <si>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</si>
  <si>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</si>
  <si>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</si>
  <si>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</si>
  <si>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</si>
  <si>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</si>
  <si>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</si>
  <si>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</si>
  <si>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</si>
  <si>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</si>
  <si>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</si>
  <si>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</si>
  <si>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</si>
  <si>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</si>
  <si>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</si>
  <si>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</si>
  <si>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</si>
  <si>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</si>
  <si>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</si>
  <si>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</si>
  <si>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</si>
  <si>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</si>
  <si>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</si>
  <si>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</si>
  <si>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</si>
  <si>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</si>
  <si>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</si>
  <si>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</si>
  <si>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</si>
  <si>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</si>
  <si>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</si>
  <si>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</si>
  <si>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</si>
  <si>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</si>
  <si>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</si>
  <si>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</si>
  <si>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</si>
  <si>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</si>
  <si>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</si>
  <si>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</si>
  <si>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</si>
  <si>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</si>
  <si>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</si>
  <si>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</si>
  <si>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</si>
  <si>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</si>
  <si>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</si>
  <si>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</si>
  <si>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</si>
  <si>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</si>
  <si>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</si>
  <si>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</si>
  <si>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</si>
  <si>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</si>
  <si>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</si>
  <si>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</si>
  <si>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</si>
  <si>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</si>
  <si>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</si>
  <si>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</si>
  <si>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</si>
  <si>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</si>
  <si>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</si>
  <si>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</si>
  <si>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</si>
  <si>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</si>
  <si>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</si>
  <si>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</si>
  <si>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</si>
  <si>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</si>
  <si>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</si>
  <si>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</si>
  <si>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</si>
  <si>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</si>
  <si>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</si>
  <si>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</si>
  <si>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</si>
  <si>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</si>
  <si>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</si>
  <si>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</si>
  <si>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</si>
  <si>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</si>
  <si>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</si>
  <si>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</si>
  <si>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</si>
  <si>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</si>
  <si>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</si>
  <si>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</si>
  <si>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</si>
  <si>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</si>
  <si>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</si>
  <si>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</si>
  <si>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</si>
  <si>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</si>
  <si>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</si>
  <si>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</si>
  <si>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</si>
  <si>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</si>
  <si>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</si>
  <si>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</si>
  <si>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</si>
  <si>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</si>
  <si>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</si>
  <si>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</si>
  <si>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</si>
  <si>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</si>
  <si>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</si>
  <si>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</si>
  <si>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</si>
  <si>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</si>
  <si>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</si>
  <si>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</si>
  <si>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</si>
  <si>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</si>
  <si>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</si>
  <si>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</si>
  <si>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</si>
  <si>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</si>
  <si>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</si>
  <si>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</si>
  <si>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</si>
  <si>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</si>
  <si>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</si>
  <si>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</si>
  <si>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</si>
  <si>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</si>
  <si>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</si>
  <si>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</si>
  <si>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</si>
  <si>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</si>
  <si>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</si>
  <si>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</si>
  <si>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</si>
  <si>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</si>
  <si>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</si>
  <si>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</si>
  <si>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</si>
  <si>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</si>
  <si>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</si>
  <si>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</si>
  <si>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</si>
  <si>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</si>
  <si>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</si>
  <si>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</si>
  <si>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</si>
  <si>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</si>
  <si>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</si>
  <si>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</si>
  <si>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</si>
  <si>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</si>
  <si>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</si>
  <si>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</si>
  <si>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</si>
  <si>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</si>
  <si>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</si>
  <si>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</si>
  <si>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</si>
  <si>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</si>
  <si>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</si>
  <si>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</si>
  <si>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</si>
  <si>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</si>
  <si>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</si>
  <si>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</si>
  <si>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</si>
  <si>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</si>
  <si>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</si>
  <si>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</si>
  <si>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</si>
  <si>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</si>
  <si>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</si>
  <si>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</si>
  <si>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</si>
  <si>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</si>
  <si>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</si>
  <si>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</si>
  <si>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</si>
  <si>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</si>
  <si>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</si>
  <si>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</si>
  <si>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</si>
  <si>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</si>
  <si>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</si>
  <si>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</si>
  <si>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</si>
  <si>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</si>
  <si>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</si>
  <si>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</si>
  <si>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</si>
  <si>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</si>
  <si>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</si>
  <si>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</si>
  <si>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</si>
  <si>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</si>
  <si>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</si>
  <si>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</si>
  <si>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</si>
  <si>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</si>
  <si>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</si>
  <si>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</si>
  <si>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</si>
  <si>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</si>
  <si>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</si>
  <si>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</si>
  <si>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</si>
  <si>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</si>
  <si>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</si>
  <si>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</si>
  <si>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</si>
  <si>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</si>
  <si>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</si>
  <si>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</si>
  <si>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</si>
  <si>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</si>
  <si>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</si>
  <si>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</si>
  <si>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</si>
  <si>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</si>
  <si>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</si>
  <si>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</si>
  <si>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</si>
  <si>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</si>
  <si>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</si>
  <si>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</si>
  <si>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</si>
  <si>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</si>
  <si>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</si>
  <si>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</si>
  <si>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</si>
  <si>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</si>
  <si>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</si>
  <si>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</si>
  <si>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</si>
  <si>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</si>
  <si>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</si>
  <si>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</si>
  <si>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</si>
  <si>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</si>
  <si>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</si>
  <si>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</si>
  <si>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</si>
  <si>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</si>
  <si>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</si>
  <si>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</si>
  <si>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</si>
  <si>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</si>
  <si>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</si>
  <si>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</si>
  <si>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</si>
  <si>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</si>
  <si>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</si>
  <si>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</si>
  <si>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</si>
  <si>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</si>
  <si>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</si>
  <si>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</si>
  <si>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</si>
  <si>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</si>
  <si>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</si>
  <si>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</si>
  <si>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</si>
  <si>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</si>
  <si>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</si>
  <si>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</si>
  <si>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</si>
  <si>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</si>
  <si>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</si>
  <si>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</si>
  <si>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</si>
  <si>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</si>
  <si>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</si>
  <si>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</si>
  <si>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</si>
  <si>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</si>
  <si>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</si>
  <si>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</si>
  <si>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</si>
  <si>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</si>
  <si>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</si>
  <si>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</si>
  <si>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</si>
  <si>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</si>
  <si>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</si>
  <si>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</si>
  <si>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</si>
  <si>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</si>
  <si>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</si>
  <si>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</si>
  <si>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</si>
  <si>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</si>
  <si>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</si>
  <si>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</si>
  <si>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</si>
  <si>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</si>
  <si>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</si>
  <si>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</si>
  <si>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</si>
  <si>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</si>
  <si>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</si>
  <si>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</si>
  <si>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</si>
  <si>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</si>
  <si>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</si>
  <si>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</si>
  <si>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</si>
  <si>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</si>
  <si>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</si>
  <si>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</si>
  <si>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</si>
  <si>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</si>
  <si>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</si>
  <si>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</si>
  <si>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</si>
  <si>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</si>
  <si>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</si>
  <si>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</si>
  <si>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</si>
  <si>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</si>
  <si>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</si>
  <si>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</si>
  <si>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</si>
  <si>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</si>
  <si>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</si>
  <si>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</si>
  <si>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</si>
  <si>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</si>
  <si>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</si>
  <si>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</si>
  <si>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</si>
  <si>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</si>
  <si>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</si>
  <si>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</si>
  <si>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</si>
  <si>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</si>
  <si>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</si>
  <si>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</si>
  <si>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</si>
  <si>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</si>
  <si>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</si>
  <si>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</si>
  <si>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</si>
  <si>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</si>
  <si>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</si>
  <si>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</si>
  <si>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</si>
  <si>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</si>
  <si>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</si>
  <si>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</si>
  <si>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</si>
  <si>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</si>
  <si>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</si>
  <si>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</si>
  <si>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</si>
  <si>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</si>
  <si>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</si>
  <si>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</si>
  <si>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</si>
  <si>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</si>
  <si>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</si>
  <si>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</si>
  <si>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</si>
  <si>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</si>
  <si>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</si>
  <si>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</si>
  <si>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</si>
  <si>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</si>
  <si>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</si>
  <si>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</si>
  <si>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</si>
  <si>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</si>
  <si>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</si>
  <si>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</si>
  <si>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</si>
  <si>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</si>
  <si>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</si>
  <si>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</si>
  <si>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</si>
  <si>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</si>
  <si>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</si>
  <si>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</si>
  <si>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</si>
  <si>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</si>
  <si>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</si>
  <si>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</si>
  <si>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</si>
  <si>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</si>
  <si>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</si>
  <si>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</si>
  <si>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</si>
  <si>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</si>
  <si>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</si>
  <si>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</si>
  <si>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</si>
  <si>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</si>
  <si>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</si>
  <si>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</si>
  <si>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</si>
  <si>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</si>
  <si>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</si>
  <si>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</si>
  <si>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</si>
  <si>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</si>
  <si>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</si>
  <si>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</si>
  <si>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</si>
  <si>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</si>
  <si>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</si>
  <si>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</si>
  <si>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</si>
  <si>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</si>
  <si>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</si>
  <si>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</si>
  <si>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</si>
  <si>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</si>
  <si>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</si>
  <si>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</si>
  <si>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</si>
  <si>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</si>
  <si>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</si>
  <si>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</si>
  <si>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</si>
  <si>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</si>
  <si>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</si>
  <si>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</si>
  <si>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</si>
  <si>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</si>
  <si>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</si>
  <si>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</si>
  <si>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</si>
  <si>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</si>
  <si>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</si>
  <si>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</si>
  <si>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</si>
  <si>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</si>
  <si>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</si>
  <si>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</si>
  <si>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</si>
  <si>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</si>
  <si>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</si>
  <si>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</si>
  <si>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</si>
  <si>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</si>
  <si>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</si>
  <si>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</si>
  <si>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</si>
  <si>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</si>
  <si>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</si>
  <si>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</si>
  <si>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</si>
  <si>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</si>
  <si>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</si>
  <si>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</si>
  <si>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</si>
  <si>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</si>
  <si>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</si>
  <si>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</si>
  <si>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</si>
  <si>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</si>
  <si>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</si>
  <si>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</si>
  <si>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</si>
  <si>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</si>
  <si>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</si>
  <si>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</si>
  <si>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</si>
  <si>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</si>
  <si>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</si>
  <si>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</si>
  <si>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</si>
  <si>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</si>
  <si>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</si>
  <si>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</si>
  <si>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</si>
  <si>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</si>
  <si>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</si>
  <si>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</si>
  <si>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</si>
  <si>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</si>
  <si>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</si>
  <si>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</si>
  <si>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</si>
  <si>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</si>
  <si>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</si>
  <si>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</si>
  <si>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</si>
  <si>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</si>
  <si>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</si>
  <si>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</si>
  <si>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</si>
  <si>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</si>
  <si>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</si>
  <si>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</si>
  <si>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</si>
  <si>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</si>
  <si>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</si>
  <si>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</si>
  <si>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</si>
  <si>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</si>
  <si>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</si>
  <si>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</si>
  <si>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</si>
  <si>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</si>
  <si>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</si>
  <si>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</si>
  <si>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</si>
  <si>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</si>
  <si>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</si>
  <si>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</si>
  <si>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</si>
  <si>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</si>
  <si>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</si>
  <si>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</si>
  <si>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</si>
  <si>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</si>
  <si>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</si>
  <si>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</si>
  <si>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</si>
  <si>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</si>
  <si>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</si>
  <si>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</si>
  <si>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</si>
  <si>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</si>
  <si>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</si>
  <si>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</si>
  <si>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</si>
  <si>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</si>
  <si>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</si>
  <si>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</si>
  <si>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</si>
  <si>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</si>
  <si>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</si>
  <si>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</si>
  <si>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</si>
  <si>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</si>
  <si>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</si>
  <si>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</si>
  <si>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</si>
  <si>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</si>
  <si>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</si>
  <si>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</si>
  <si>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</si>
  <si>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</si>
  <si>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</si>
  <si>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</si>
  <si>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</si>
  <si>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</si>
  <si>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</si>
  <si>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</si>
  <si>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</si>
  <si>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</si>
  <si>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</si>
  <si>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</si>
  <si>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</si>
  <si>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</si>
  <si>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</si>
  <si>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</si>
  <si>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</si>
  <si>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</si>
  <si>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</si>
  <si>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</si>
  <si>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</si>
  <si>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</si>
  <si>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</si>
  <si>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</si>
  <si>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</si>
  <si>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</si>
  <si>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</si>
  <si>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</si>
  <si>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</si>
  <si>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</si>
  <si>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</si>
  <si>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</si>
  <si>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</si>
  <si>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</si>
  <si>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</si>
  <si>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</si>
  <si>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</si>
  <si>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</si>
  <si>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</si>
  <si>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</si>
  <si>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</si>
  <si>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</si>
  <si>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</si>
  <si>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</si>
  <si>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</si>
  <si>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</si>
  <si>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</si>
  <si>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</si>
  <si>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</si>
  <si>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</si>
  <si>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</si>
  <si>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</si>
  <si>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</si>
  <si>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</si>
  <si>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</si>
  <si>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</si>
  <si>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</si>
  <si>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</si>
  <si>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</si>
  <si>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</si>
  <si>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</si>
  <si>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</si>
  <si>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</si>
  <si>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</si>
  <si>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</si>
  <si>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</si>
  <si>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</si>
  <si>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</si>
  <si>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</si>
  <si>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</si>
  <si>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</si>
  <si>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</si>
  <si>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</si>
  <si>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</si>
  <si>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</si>
  <si>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</si>
  <si>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</si>
  <si>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</si>
  <si>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</si>
  <si>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</si>
  <si>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</si>
  <si>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</si>
  <si>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</si>
  <si>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</si>
  <si>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</si>
  <si>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</si>
  <si>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</si>
  <si>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</si>
  <si>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</si>
  <si>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</si>
  <si>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</si>
  <si>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</si>
  <si>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</si>
  <si>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</si>
  <si>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</si>
  <si>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</si>
  <si>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</si>
  <si>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</si>
  <si>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</si>
  <si>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</si>
  <si>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</si>
  <si>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</si>
  <si>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</si>
  <si>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</si>
  <si>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</si>
  <si>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</si>
  <si>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</si>
  <si>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</si>
  <si>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</si>
  <si>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</si>
  <si>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</si>
  <si>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</si>
  <si>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</si>
  <si>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</si>
  <si>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</si>
  <si>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</si>
  <si>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</si>
  <si>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</si>
  <si>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</si>
  <si>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</si>
  <si>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</si>
  <si>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</si>
  <si>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</si>
  <si>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</si>
  <si>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</si>
  <si>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</si>
  <si>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</si>
  <si>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</si>
  <si>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</si>
  <si>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</si>
  <si>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</si>
  <si>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</si>
  <si>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</si>
  <si>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</si>
  <si>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</si>
  <si>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</si>
  <si>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</si>
  <si>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</si>
  <si>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</si>
  <si>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</si>
  <si>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</si>
  <si>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</si>
  <si>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</si>
  <si>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</si>
  <si>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</si>
  <si>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</si>
  <si>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</si>
  <si>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</si>
  <si>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</si>
  <si>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</si>
  <si>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</si>
  <si>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</si>
  <si>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</si>
  <si>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</si>
  <si>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</si>
  <si>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</si>
  <si>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</si>
  <si>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</si>
  <si>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</si>
  <si>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</si>
  <si>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</si>
  <si>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</si>
  <si>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</si>
  <si>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</si>
  <si>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</si>
  <si>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</si>
  <si>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</si>
  <si>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</si>
  <si>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</si>
  <si>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</si>
  <si>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</si>
  <si>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</si>
  <si>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</si>
  <si>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</si>
  <si>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</si>
  <si>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</si>
  <si>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</si>
  <si>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</si>
  <si>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</si>
  <si>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</si>
  <si>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</si>
  <si>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</si>
  <si>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</si>
  <si>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</si>
  <si>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</si>
  <si>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</si>
  <si>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</si>
  <si>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</si>
  <si>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</si>
  <si>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</si>
  <si>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</si>
  <si>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</si>
  <si>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</si>
  <si>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</si>
  <si>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</si>
  <si>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</si>
  <si>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</si>
  <si>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</si>
  <si>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</si>
  <si>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</si>
  <si>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</si>
  <si>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</si>
  <si>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</si>
  <si>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</si>
  <si>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</si>
  <si>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</si>
  <si>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</si>
  <si>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</si>
  <si>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</si>
  <si>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</si>
  <si>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</si>
  <si>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</si>
  <si>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</si>
  <si>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</si>
  <si>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</si>
  <si>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</si>
  <si>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</si>
  <si>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</si>
  <si>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</si>
  <si>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</si>
  <si>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</si>
  <si>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</si>
  <si>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</si>
  <si>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</si>
  <si>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</si>
  <si>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</si>
  <si>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</si>
  <si>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</si>
  <si>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</si>
  <si>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</si>
  <si>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</si>
  <si>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</si>
  <si>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</si>
  <si>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</si>
  <si>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</si>
  <si>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</si>
  <si>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</si>
  <si>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</si>
  <si>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</si>
  <si>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</si>
  <si>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</si>
  <si>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</si>
  <si>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</si>
  <si>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</si>
  <si>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</si>
  <si>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</si>
  <si>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</si>
  <si>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</si>
  <si>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</si>
  <si>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</si>
  <si>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</si>
  <si>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</si>
  <si>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</si>
  <si>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</si>
  <si>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</si>
  <si>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</si>
  <si>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</si>
  <si>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</si>
  <si>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</si>
  <si>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</si>
  <si>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</si>
  <si>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</si>
  <si>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</si>
  <si>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</si>
  <si>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</si>
  <si>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</si>
  <si>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</si>
  <si>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</si>
  <si>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</si>
  <si>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</si>
  <si>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</si>
  <si>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</si>
  <si>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</si>
  <si>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</si>
  <si>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</si>
  <si>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</si>
  <si>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</si>
  <si>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</si>
  <si>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</si>
  <si>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</si>
  <si>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</si>
  <si>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</si>
  <si>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</si>
  <si>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</si>
  <si>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</si>
  <si>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</si>
  <si>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</si>
  <si>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</si>
  <si>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</si>
  <si>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</si>
  <si>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</si>
  <si>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</si>
  <si>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</si>
  <si>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</si>
  <si>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</si>
  <si>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</si>
  <si>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</si>
  <si>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</si>
  <si>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</si>
  <si>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</si>
  <si>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</si>
  <si>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</si>
  <si>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</si>
  <si>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</si>
  <si>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</si>
  <si>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</si>
  <si>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</si>
  <si>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</si>
  <si>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</si>
  <si>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</si>
  <si>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</si>
  <si>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</si>
  <si>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</si>
  <si>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</si>
  <si>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</si>
  <si>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</si>
  <si>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</si>
  <si>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</si>
  <si>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</si>
  <si>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</si>
  <si>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</si>
  <si>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</si>
  <si>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</si>
  <si>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</si>
  <si>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</si>
  <si>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</si>
  <si>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</si>
  <si>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</si>
  <si>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</si>
  <si>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</si>
  <si>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</si>
  <si>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</si>
  <si>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</si>
  <si>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</si>
  <si>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</si>
  <si>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</si>
  <si>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</si>
  <si>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</si>
  <si>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</si>
  <si>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</si>
  <si>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</si>
  <si>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</si>
  <si>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</si>
  <si>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</si>
  <si>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</si>
  <si>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</si>
  <si>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</si>
  <si>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</si>
  <si>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</si>
  <si>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</si>
  <si>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</si>
  <si>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</si>
  <si>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</si>
  <si>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</si>
  <si>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</si>
  <si>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</si>
  <si>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</si>
  <si>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</si>
  <si>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</si>
  <si>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</si>
  <si>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</si>
  <si>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</si>
  <si>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</si>
  <si>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</si>
  <si>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</si>
  <si>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</si>
  <si>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</si>
  <si>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</si>
  <si>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</si>
  <si>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</si>
  <si>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</si>
  <si>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</si>
  <si>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</si>
  <si>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</si>
  <si>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</si>
  <si>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</si>
  <si>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</si>
  <si>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</si>
  <si>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</si>
  <si>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</si>
  <si>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</si>
  <si>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</si>
  <si>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</si>
  <si>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</si>
  <si>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</si>
  <si>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</si>
  <si>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</si>
  <si>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</si>
  <si>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</si>
  <si>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</si>
  <si>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</si>
  <si>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</si>
  <si>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</si>
  <si>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</si>
  <si>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</si>
  <si>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</si>
  <si>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</si>
  <si>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</si>
  <si>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</si>
  <si>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</si>
  <si>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</si>
  <si>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</si>
  <si>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</si>
  <si>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</si>
  <si>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</si>
  <si>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</si>
  <si>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</si>
  <si>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</si>
  <si>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</si>
  <si>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</si>
  <si>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</si>
  <si>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</si>
  <si>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</si>
  <si>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</si>
  <si>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</si>
  <si>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</si>
  <si>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</si>
  <si>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</si>
  <si>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</si>
  <si>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</si>
  <si>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</si>
  <si>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</si>
  <si>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</si>
  <si>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</si>
  <si>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</si>
  <si>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</si>
  <si>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</si>
  <si>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</si>
  <si>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</si>
  <si>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</si>
  <si>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</si>
  <si>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</si>
  <si>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</si>
  <si>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</si>
  <si>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</si>
  <si>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</si>
  <si>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</si>
  <si>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</si>
  <si>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</si>
  <si>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</si>
  <si>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</si>
  <si>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</si>
  <si>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</si>
  <si>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</si>
  <si>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</si>
  <si>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</si>
  <si>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</si>
  <si>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</si>
  <si>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</si>
  <si>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</si>
  <si>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</si>
  <si>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</si>
  <si>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</si>
  <si>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</si>
  <si>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</si>
  <si>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</si>
  <si>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</si>
  <si>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</si>
  <si>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</si>
  <si>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</si>
  <si>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</si>
  <si>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</si>
  <si>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</si>
  <si>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</si>
  <si>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</si>
  <si>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</si>
  <si>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</si>
  <si>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</si>
  <si>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</si>
  <si>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</si>
  <si>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</si>
  <si>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</si>
  <si>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</si>
  <si>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</si>
  <si>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</si>
  <si>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</si>
  <si>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</si>
  <si>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</si>
  <si>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</si>
  <si>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</si>
  <si>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</si>
  <si>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</si>
  <si>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</si>
  <si>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</si>
  <si>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</si>
  <si>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</si>
  <si>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</si>
  <si>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</si>
  <si>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</si>
  <si>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</si>
  <si>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</si>
  <si>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</si>
  <si>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</si>
  <si>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</si>
  <si>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</si>
  <si>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</si>
  <si>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</si>
  <si>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</si>
  <si>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</si>
  <si>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</si>
  <si>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</si>
  <si>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</si>
  <si>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</si>
  <si>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</si>
  <si>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</si>
  <si>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</si>
  <si>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</si>
  <si>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</si>
  <si>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</si>
  <si>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</si>
  <si>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</si>
  <si>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</si>
  <si>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</si>
  <si>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</si>
  <si>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</si>
  <si>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</si>
  <si>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</si>
  <si>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</si>
  <si>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</si>
  <si>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</si>
  <si>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</si>
  <si>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</si>
  <si>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</si>
  <si>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</si>
  <si>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</si>
  <si>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</si>
  <si>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</si>
  <si>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</si>
  <si>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</si>
  <si>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</si>
  <si>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</si>
  <si>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</si>
  <si>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</si>
  <si>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</si>
  <si>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</si>
  <si>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</si>
  <si>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</si>
  <si>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</si>
  <si>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</si>
  <si>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</si>
  <si>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</si>
  <si>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</si>
  <si>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</si>
  <si>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</si>
  <si>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</si>
  <si>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</si>
  <si>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</si>
  <si>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</si>
  <si>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</si>
  <si>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</si>
  <si>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</si>
  <si>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</si>
  <si>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</si>
  <si>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</si>
  <si>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</si>
  <si>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</si>
  <si>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</si>
  <si>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</si>
  <si>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</si>
  <si>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</si>
  <si>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</si>
  <si>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</si>
  <si>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</si>
  <si>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</si>
  <si>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</si>
  <si>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</si>
  <si>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</si>
  <si>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</si>
  <si>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</si>
  <si>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</si>
  <si>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</si>
  <si>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</si>
  <si>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</si>
  <si>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</si>
  <si>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</si>
  <si>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</si>
  <si>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</si>
  <si>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</si>
  <si>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</si>
  <si>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</si>
  <si>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</si>
  <si>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</si>
  <si>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</si>
  <si>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</si>
  <si>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</si>
  <si>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</si>
  <si>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</si>
  <si>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</si>
  <si>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</si>
  <si>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</si>
  <si>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</si>
  <si>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</si>
  <si>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</si>
  <si>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</si>
  <si>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</si>
  <si>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</si>
  <si>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</si>
  <si>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</si>
  <si>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</si>
  <si>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</si>
  <si>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</si>
  <si>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</si>
  <si>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</si>
  <si>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</si>
  <si>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</si>
  <si>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</si>
  <si>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</si>
  <si>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</si>
  <si>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</si>
  <si>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</si>
  <si>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</si>
  <si>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</si>
  <si>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</si>
  <si>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</si>
  <si>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</si>
  <si>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</si>
  <si>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</si>
  <si>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</si>
  <si>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</si>
  <si>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</si>
  <si>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</si>
  <si>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</si>
  <si>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</si>
  <si>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</si>
  <si>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</si>
  <si>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</si>
  <si>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</si>
  <si>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</si>
  <si>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</si>
  <si>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</si>
  <si>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</si>
  <si>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</si>
  <si>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</si>
  <si>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</si>
  <si>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</si>
  <si>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</si>
  <si>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</si>
  <si>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</si>
  <si>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</si>
  <si>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</si>
  <si>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</si>
  <si>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</si>
  <si>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</si>
  <si>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</si>
  <si>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</si>
  <si>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</si>
  <si>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</si>
  <si>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</si>
  <si>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</si>
  <si>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</si>
  <si>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</si>
  <si>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</si>
  <si>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</si>
  <si>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</si>
  <si>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</si>
  <si>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</si>
  <si>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</si>
  <si>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</si>
  <si>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</si>
  <si>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</si>
  <si>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</si>
  <si>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</si>
  <si>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</si>
  <si>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</si>
  <si>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</si>
  <si>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</si>
  <si>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</si>
  <si>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</si>
  <si>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</si>
  <si>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</si>
  <si>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</si>
  <si>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</si>
  <si>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</si>
  <si>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</si>
  <si>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</si>
  <si>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</si>
  <si>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</si>
  <si>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</si>
  <si>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</si>
  <si>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</si>
  <si>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</si>
  <si>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</si>
  <si>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</si>
  <si>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</si>
  <si>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</si>
  <si>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</si>
  <si>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</si>
  <si>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</si>
  <si>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</si>
  <si>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</si>
  <si>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</si>
  <si>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</si>
  <si>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</si>
  <si>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</si>
  <si>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</si>
  <si>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</si>
  <si>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</si>
  <si>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</si>
  <si>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</si>
  <si>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</si>
  <si>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</si>
  <si>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</si>
  <si>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</si>
  <si>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</si>
  <si>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</si>
  <si>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</si>
  <si>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</si>
  <si>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</si>
  <si>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</si>
  <si>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</si>
  <si>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</si>
  <si>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</si>
  <si>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</si>
  <si>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</si>
  <si>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</si>
  <si>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</si>
  <si>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</si>
  <si>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</si>
  <si>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</si>
  <si>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</si>
  <si>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</si>
  <si>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</si>
  <si>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</si>
  <si>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</si>
  <si>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</si>
  <si>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</si>
  <si>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</si>
  <si>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</si>
  <si>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</si>
  <si>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</si>
  <si>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</si>
  <si>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</si>
  <si>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</si>
  <si>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</si>
  <si>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</si>
  <si>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</si>
  <si>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</si>
  <si>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</si>
  <si>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</si>
  <si>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</si>
  <si>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</si>
  <si>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</si>
  <si>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</si>
  <si>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</si>
  <si>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</si>
  <si>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</si>
  <si>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</si>
  <si>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</si>
  <si>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</si>
  <si>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</si>
  <si>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</si>
  <si>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</si>
  <si>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</si>
  <si>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</si>
  <si>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</si>
  <si>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</si>
  <si>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</si>
  <si>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</si>
  <si>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</si>
  <si>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</si>
  <si>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</si>
  <si>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</si>
  <si>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</si>
  <si>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</si>
  <si>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</si>
  <si>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</si>
  <si>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</si>
  <si>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</si>
  <si>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</si>
  <si>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</si>
  <si>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</si>
  <si>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</si>
  <si>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</si>
  <si>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</si>
  <si>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</si>
  <si>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</si>
  <si>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</si>
  <si>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</si>
  <si>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</si>
  <si>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</si>
  <si>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</si>
  <si>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</si>
  <si>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</si>
  <si>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</si>
  <si>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</si>
  <si>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</si>
  <si>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</si>
  <si>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</si>
  <si>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</si>
  <si>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</si>
  <si>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</si>
  <si>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</si>
  <si>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</si>
  <si>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</si>
  <si>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</si>
  <si>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</si>
  <si>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</si>
  <si>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</si>
  <si>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</si>
  <si>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</si>
  <si>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</si>
  <si>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</si>
  <si>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</si>
  <si>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</si>
  <si>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</si>
  <si>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</si>
  <si>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</si>
  <si>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</si>
  <si>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</si>
  <si>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</si>
  <si>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</si>
  <si>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</si>
  <si>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</si>
  <si>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</si>
  <si>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</si>
  <si>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</si>
  <si>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</si>
  <si>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</si>
  <si>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</si>
  <si>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</si>
  <si>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</si>
  <si>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</si>
  <si>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</si>
  <si>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</si>
  <si>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</si>
  <si>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</si>
  <si>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</si>
  <si>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</si>
  <si>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</si>
  <si>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</si>
  <si>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</si>
  <si>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</si>
  <si>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</si>
  <si>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</si>
  <si>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</si>
  <si>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</si>
  <si>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</si>
  <si>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</si>
  <si>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</si>
  <si>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</si>
  <si>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</si>
  <si>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</si>
  <si>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</si>
  <si>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</si>
  <si>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</si>
  <si>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</si>
  <si>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</si>
  <si>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</si>
  <si>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</si>
  <si>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</si>
  <si>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</si>
  <si>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</si>
  <si>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</si>
  <si>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</si>
  <si>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</si>
  <si>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</si>
  <si>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</si>
  <si>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</si>
  <si>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</si>
  <si>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</si>
  <si>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</si>
  <si>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</si>
  <si>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</si>
  <si>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</si>
  <si>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</si>
  <si>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</si>
  <si>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</si>
  <si>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</si>
  <si>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</si>
  <si>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</si>
  <si>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</si>
  <si>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</si>
  <si>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</si>
  <si>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</si>
  <si>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</si>
  <si>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</si>
  <si>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</si>
  <si>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</si>
  <si>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</si>
  <si>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</si>
  <si>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</si>
  <si>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</si>
  <si>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</si>
  <si>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</si>
  <si>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</si>
  <si>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</si>
  <si>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</si>
  <si>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</si>
  <si>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</si>
  <si>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</si>
  <si>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</si>
  <si>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</si>
  <si>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</si>
  <si>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</si>
  <si>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</si>
  <si>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</si>
  <si>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</si>
  <si>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</si>
  <si>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</si>
  <si>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</si>
  <si>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</si>
  <si>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</si>
  <si>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</si>
  <si>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</si>
  <si>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</si>
  <si>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</si>
  <si>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</si>
  <si>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</si>
  <si>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</si>
  <si>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</si>
  <si>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</si>
  <si>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</si>
  <si>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</si>
  <si>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</si>
  <si>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</si>
  <si>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</si>
  <si>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</si>
  <si>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</si>
  <si>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</si>
  <si>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</si>
  <si>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</si>
  <si>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</si>
  <si>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</si>
  <si>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</si>
  <si>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</si>
  <si>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</si>
  <si>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</si>
  <si>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</si>
  <si>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</si>
  <si>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</si>
  <si>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</si>
  <si>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</si>
  <si>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</si>
  <si>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</si>
  <si>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</si>
  <si>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</si>
  <si>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</si>
  <si>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</si>
  <si>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</si>
  <si>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</si>
  <si>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</si>
  <si>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</si>
  <si>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</si>
  <si>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</si>
  <si>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</si>
  <si>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</si>
  <si>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</si>
  <si>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</si>
  <si>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</si>
  <si>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</si>
  <si>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</si>
  <si>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</si>
  <si>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</si>
  <si>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</si>
  <si>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</si>
  <si>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</si>
  <si>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</si>
  <si>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</si>
  <si>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</si>
  <si>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</si>
  <si>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</si>
  <si>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</si>
  <si>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</si>
  <si>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</si>
  <si>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</si>
  <si>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</si>
  <si>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</si>
  <si>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</si>
  <si>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</si>
  <si>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</si>
  <si>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</si>
  <si>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</si>
  <si>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</si>
  <si>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</si>
  <si>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</si>
  <si>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</si>
  <si>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</si>
  <si>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</si>
  <si>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</si>
  <si>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</si>
  <si>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</si>
  <si>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</si>
  <si>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</si>
  <si>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</si>
  <si>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</si>
  <si>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</si>
  <si>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</si>
  <si>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</si>
  <si>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</si>
  <si>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</si>
  <si>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</si>
  <si>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</si>
  <si>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</si>
  <si>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</si>
  <si>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</si>
  <si>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</si>
  <si>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</si>
  <si>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</si>
  <si>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</si>
  <si>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</si>
  <si>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</si>
  <si>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</si>
  <si>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</si>
  <si>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</si>
  <si>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</si>
  <si>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</si>
  <si>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</si>
  <si>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</si>
  <si>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</si>
  <si>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</si>
  <si>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</si>
  <si>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</si>
  <si>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</si>
  <si>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</si>
  <si>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</si>
  <si>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</si>
  <si>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</si>
  <si>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</si>
  <si>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</si>
  <si>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</si>
  <si>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</si>
  <si>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</si>
  <si>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</si>
  <si>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</si>
  <si>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</si>
  <si>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</si>
  <si>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</si>
  <si>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</si>
  <si>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</si>
  <si>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</si>
  <si>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</si>
  <si>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</si>
  <si>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</si>
  <si>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</si>
  <si>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</si>
  <si>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</si>
  <si>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</si>
  <si>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</si>
  <si>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</si>
  <si>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</si>
  <si>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</si>
  <si>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</si>
  <si>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</si>
  <si>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</si>
  <si>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</si>
  <si>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</si>
  <si>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</si>
  <si>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</si>
  <si>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</si>
  <si>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</si>
  <si>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</si>
  <si>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</si>
  <si>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</si>
  <si>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</si>
  <si>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</si>
  <si>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</si>
  <si>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</si>
  <si>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</si>
  <si>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</si>
  <si>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</si>
  <si>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</si>
  <si>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</si>
  <si>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</si>
  <si>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</si>
  <si>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</si>
  <si>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</si>
  <si>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</si>
  <si>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</si>
  <si>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</si>
  <si>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</si>
  <si>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</si>
  <si>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</si>
  <si>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</si>
  <si>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</si>
  <si>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</si>
  <si>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</si>
  <si>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</si>
  <si>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</si>
  <si>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</si>
  <si>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</si>
  <si>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</si>
  <si>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</si>
  <si>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</si>
  <si>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</si>
  <si>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</si>
  <si>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</si>
  <si>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</si>
  <si>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</si>
  <si>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</si>
  <si>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</si>
  <si>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</si>
  <si>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</si>
  <si>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</si>
  <si>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</si>
  <si>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</si>
  <si>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</si>
  <si>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</si>
  <si>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</si>
  <si>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</si>
  <si>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</si>
  <si>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</si>
  <si>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</si>
  <si>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</si>
  <si>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</si>
  <si>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</si>
  <si>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</si>
  <si>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</si>
  <si>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</si>
  <si>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</si>
  <si>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</si>
  <si>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</si>
  <si>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</si>
  <si>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</si>
  <si>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</si>
  <si>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</si>
  <si>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</si>
  <si>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</si>
  <si>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</si>
  <si>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</si>
  <si>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</si>
  <si>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</si>
  <si>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</si>
  <si>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</si>
  <si>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</si>
  <si>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</si>
  <si>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</si>
  <si>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</si>
  <si>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</si>
  <si>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</si>
  <si>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</si>
  <si>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</si>
  <si>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</si>
  <si>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</si>
  <si>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</si>
  <si>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</si>
  <si>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</si>
  <si>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</si>
  <si>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</si>
  <si>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</si>
  <si>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</si>
  <si>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</si>
  <si>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</si>
  <si>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</si>
  <si>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</si>
  <si>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</si>
  <si>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</si>
  <si>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</si>
  <si>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</si>
  <si>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</si>
  <si>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</si>
  <si>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</si>
  <si>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</si>
  <si>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</si>
  <si>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</si>
  <si>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</si>
  <si>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</si>
  <si>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</si>
  <si>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</si>
  <si>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</si>
  <si>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</si>
  <si>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</si>
  <si>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</si>
  <si>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</si>
  <si>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</si>
  <si>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</si>
  <si>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</si>
  <si>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</si>
  <si>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</si>
  <si>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</si>
  <si>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</si>
  <si>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</si>
  <si>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</si>
  <si>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</si>
  <si>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</si>
  <si>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</si>
  <si>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</si>
  <si>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</si>
  <si>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</si>
  <si>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</si>
  <si>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</si>
  <si>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</si>
  <si>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</si>
  <si>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</si>
  <si>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</si>
  <si>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</si>
  <si>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</si>
  <si>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</si>
  <si>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</si>
  <si>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</si>
  <si>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</si>
  <si>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</si>
  <si>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</si>
  <si>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</si>
  <si>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</si>
  <si>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</si>
  <si>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</si>
  <si>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</si>
  <si>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</si>
  <si>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</si>
  <si>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</si>
  <si>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</si>
  <si>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</si>
  <si>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</si>
  <si>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</si>
  <si>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</si>
  <si>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</si>
  <si>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</si>
  <si>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</si>
  <si>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</si>
  <si>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</si>
  <si>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</si>
  <si>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</si>
  <si>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</si>
  <si>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</si>
  <si>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</si>
  <si>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</si>
  <si>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</si>
  <si>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</si>
  <si>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</si>
  <si>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</si>
  <si>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</si>
  <si>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</si>
  <si>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</si>
  <si>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</si>
  <si>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</si>
  <si>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</si>
  <si>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</si>
  <si>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</si>
  <si>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</si>
  <si>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</si>
  <si>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</si>
  <si>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</si>
  <si>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</si>
  <si>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</si>
  <si>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</si>
  <si>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</si>
  <si>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</si>
  <si>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</si>
  <si>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</si>
  <si>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</si>
  <si>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</si>
  <si>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</si>
  <si>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</si>
  <si>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</si>
  <si>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</si>
  <si>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</si>
  <si>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</si>
  <si>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</si>
  <si>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</si>
  <si>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</si>
  <si>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</si>
  <si>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</si>
  <si>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</si>
  <si>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</si>
  <si>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</si>
  <si>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</si>
  <si>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</si>
  <si>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</si>
  <si>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</si>
  <si>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</si>
  <si>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</si>
  <si>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</si>
  <si>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</si>
  <si>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</si>
  <si>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</si>
  <si>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</si>
  <si>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</si>
  <si>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</si>
  <si>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</si>
  <si>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</si>
  <si>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</si>
  <si>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</si>
  <si>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</si>
  <si>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</si>
  <si>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</si>
  <si>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</si>
  <si>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</si>
  <si>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</si>
  <si>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</si>
  <si>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</si>
  <si>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</si>
  <si>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</si>
  <si>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</si>
  <si>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</si>
  <si>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</si>
  <si>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</si>
  <si>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</si>
  <si>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</si>
  <si>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</si>
  <si>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</si>
  <si>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</si>
  <si>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</si>
  <si>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</si>
  <si>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</si>
  <si>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</si>
  <si>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</si>
  <si>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</si>
  <si>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</si>
  <si>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</si>
  <si>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</si>
  <si>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</si>
  <si>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</si>
  <si>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</si>
  <si>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</si>
  <si>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</si>
  <si>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</si>
  <si>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</si>
  <si>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</si>
  <si>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</si>
  <si>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</si>
  <si>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</si>
  <si>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</si>
  <si>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</si>
  <si>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</si>
  <si>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</si>
  <si>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</si>
  <si>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</si>
  <si>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</si>
  <si>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</si>
  <si>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</si>
  <si>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</si>
  <si>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</si>
  <si>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</si>
  <si>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</si>
  <si>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</si>
  <si>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</si>
  <si>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</si>
  <si>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</si>
  <si>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</si>
  <si>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</si>
  <si>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</si>
  <si>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</si>
  <si>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</si>
  <si>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</si>
  <si>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</si>
  <si>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</si>
  <si>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</si>
  <si>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</si>
  <si>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</si>
  <si>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</si>
  <si>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</si>
  <si>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</si>
  <si>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</si>
  <si>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</si>
  <si>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</si>
  <si>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</si>
  <si>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</si>
  <si>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</si>
  <si>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</si>
  <si>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</si>
  <si>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</si>
  <si>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</si>
  <si>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</si>
  <si>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</si>
  <si>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</si>
  <si>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</si>
  <si>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</si>
  <si>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</si>
  <si>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</si>
  <si>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</si>
  <si>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</si>
  <si>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</si>
  <si>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</si>
  <si>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</si>
  <si>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</si>
  <si>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</si>
  <si>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</si>
  <si>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</si>
  <si>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</si>
  <si>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</si>
  <si>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</si>
  <si>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</si>
  <si>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</si>
  <si>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</si>
  <si>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</si>
  <si>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</si>
  <si>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</si>
  <si>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</si>
  <si>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</si>
  <si>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</si>
  <si>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</si>
  <si>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</si>
  <si>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</si>
  <si>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</si>
  <si>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</si>
  <si>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</si>
  <si>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</si>
  <si>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</si>
  <si>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</si>
  <si>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</si>
  <si>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</si>
  <si>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</si>
  <si>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</si>
  <si>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</si>
  <si>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</si>
  <si>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</si>
  <si>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</si>
  <si>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</si>
  <si>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</si>
  <si>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</si>
  <si>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</si>
  <si>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</si>
  <si>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</si>
  <si>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</si>
  <si>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</si>
  <si>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</si>
  <si>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</si>
  <si>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</si>
  <si>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</si>
  <si>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</si>
  <si>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</si>
  <si>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</si>
  <si>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</si>
  <si>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</si>
  <si>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</si>
  <si>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</si>
  <si>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</si>
  <si>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</si>
  <si>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</si>
  <si>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</si>
  <si>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</si>
  <si>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</si>
  <si>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</si>
  <si>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</si>
  <si>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</si>
  <si>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</si>
  <si>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</si>
  <si>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</si>
  <si>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</si>
  <si>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</si>
  <si>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</si>
  <si>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</si>
  <si>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</si>
  <si>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</si>
  <si>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</si>
  <si>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</si>
  <si>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</si>
  <si>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</si>
  <si>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</si>
  <si>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</si>
  <si>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</si>
  <si>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</si>
  <si>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</si>
  <si>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</si>
  <si>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</si>
  <si>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</si>
  <si>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</si>
  <si>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</si>
  <si>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</si>
  <si>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</si>
  <si>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</si>
  <si>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</si>
  <si>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</si>
  <si>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</si>
  <si>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</si>
  <si>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</si>
  <si>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</si>
  <si>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</si>
  <si>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</si>
  <si>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</si>
  <si>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</si>
  <si>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</si>
  <si>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</si>
  <si>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</si>
  <si>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</si>
  <si>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</si>
  <si>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</si>
  <si>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</si>
  <si>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</si>
  <si>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</si>
  <si>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</si>
  <si>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</si>
  <si>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</si>
  <si>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</si>
  <si>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</si>
  <si>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</si>
  <si>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</si>
  <si>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</si>
  <si>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</si>
  <si>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</si>
  <si>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</si>
  <si>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</si>
  <si>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</si>
  <si>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</si>
  <si>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</si>
  <si>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</si>
  <si>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</si>
  <si>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</si>
  <si>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</si>
  <si>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</si>
  <si>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</si>
  <si>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</si>
  <si>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</si>
  <si>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</si>
  <si>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</si>
  <si>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</si>
  <si>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</si>
  <si>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</si>
  <si>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</si>
  <si>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</si>
  <si>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</si>
  <si>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</si>
  <si>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</si>
  <si>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</si>
  <si>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</si>
  <si>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</si>
  <si>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</si>
  <si>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</si>
  <si>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</si>
  <si>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</si>
  <si>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</si>
  <si>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</si>
  <si>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</si>
  <si>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</si>
  <si>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</si>
  <si>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</si>
  <si>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</si>
  <si>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</si>
  <si>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</si>
  <si>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</si>
  <si>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</si>
  <si>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</si>
  <si>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</si>
  <si>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</si>
  <si>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</si>
  <si>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</si>
  <si>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</si>
  <si>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</si>
  <si>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</si>
  <si>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</si>
  <si>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</si>
  <si>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</si>
  <si>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</si>
  <si>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</si>
  <si>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</si>
  <si>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</si>
  <si>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</si>
  <si>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</si>
  <si>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</si>
  <si>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</si>
  <si>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</si>
  <si>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</si>
  <si>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</si>
  <si>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</si>
  <si>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</si>
  <si>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</si>
  <si>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</si>
  <si>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</si>
  <si>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</si>
  <si>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</si>
  <si>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</si>
  <si>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</si>
  <si>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</si>
  <si>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</si>
  <si>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</si>
  <si>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</si>
  <si>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</si>
  <si>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</si>
  <si>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</si>
  <si>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</si>
  <si>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</si>
  <si>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</si>
  <si>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</si>
  <si>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</si>
  <si>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</si>
  <si>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</si>
  <si>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</si>
  <si>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</si>
  <si>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</si>
  <si>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</si>
  <si>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</si>
  <si>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</si>
  <si>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</si>
  <si>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</si>
  <si>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</si>
  <si>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</si>
  <si>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</si>
  <si>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</si>
  <si>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</si>
  <si>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</si>
  <si>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</si>
  <si>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</si>
  <si>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</si>
  <si>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</si>
  <si>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</si>
  <si>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</si>
  <si>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</si>
  <si>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</si>
  <si>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</si>
  <si>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</si>
  <si>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</si>
  <si>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</si>
  <si>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</si>
  <si>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</si>
  <si>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</si>
  <si>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</si>
  <si>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</si>
  <si>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</si>
  <si>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</si>
  <si>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</si>
  <si>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</si>
  <si>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</si>
  <si>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</si>
  <si>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</si>
  <si>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</si>
  <si>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</si>
  <si>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</si>
  <si>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</si>
  <si>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</si>
  <si>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</si>
  <si>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</si>
  <si>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</si>
  <si>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</si>
  <si>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</si>
  <si>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</si>
  <si>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</si>
  <si>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</si>
  <si>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</si>
  <si>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</si>
  <si>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</si>
  <si>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</si>
  <si>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</si>
  <si>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</si>
  <si>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</si>
  <si>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</si>
  <si>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</si>
  <si>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</si>
  <si>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</si>
  <si>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</si>
  <si>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</si>
  <si>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</si>
  <si>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</si>
  <si>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</si>
  <si>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</si>
  <si>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</si>
  <si>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</si>
  <si>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</si>
  <si>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</si>
  <si>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</si>
  <si>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</si>
  <si>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</si>
  <si>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</si>
  <si>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</si>
  <si>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</si>
  <si>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</si>
  <si>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</si>
  <si>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</si>
  <si>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</si>
  <si>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</si>
  <si>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</si>
  <si>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</si>
  <si>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</si>
  <si>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</si>
  <si>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</si>
  <si>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</si>
  <si>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</si>
  <si>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</si>
  <si>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</si>
  <si>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</si>
  <si>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</si>
  <si>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</si>
  <si>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</si>
  <si>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</si>
  <si>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</si>
  <si>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</si>
  <si>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</si>
  <si>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</si>
  <si>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</si>
  <si>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</si>
  <si>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</si>
  <si>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</si>
  <si>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</si>
  <si>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</si>
  <si>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</si>
  <si>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</si>
  <si>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</si>
  <si>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</si>
  <si>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</si>
  <si>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</si>
  <si>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</si>
  <si>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</si>
  <si>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</si>
  <si>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</si>
  <si>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</si>
  <si>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</si>
  <si>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</si>
  <si>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</si>
  <si>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</si>
  <si>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</si>
  <si>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</si>
  <si>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</si>
  <si>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</si>
  <si>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</si>
  <si>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</si>
  <si>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</si>
  <si>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</si>
  <si>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</si>
  <si>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</si>
  <si>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</si>
  <si>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</si>
  <si>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</si>
  <si>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</si>
  <si>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</si>
  <si>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</si>
  <si>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</si>
  <si>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</si>
  <si>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</si>
  <si>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</si>
  <si>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</si>
  <si>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</si>
  <si>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</si>
  <si>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</si>
  <si>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</si>
  <si>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</si>
  <si>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</si>
  <si>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</si>
  <si>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</si>
  <si>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</si>
  <si>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</si>
  <si>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</si>
  <si>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</si>
  <si>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</si>
  <si>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</si>
  <si>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</si>
  <si>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</si>
  <si>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</si>
  <si>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</si>
  <si>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</si>
  <si>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</si>
  <si>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</si>
  <si>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</si>
  <si>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</si>
  <si>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</si>
  <si>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</si>
  <si>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</si>
  <si>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</si>
  <si>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</si>
  <si>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</si>
  <si>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</si>
  <si>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</si>
  <si>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</si>
  <si>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</si>
  <si>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</si>
  <si>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</si>
  <si>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</si>
  <si>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</si>
  <si>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</si>
  <si>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</si>
  <si>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</si>
  <si>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</si>
  <si>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</si>
  <si>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</si>
  <si>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</si>
  <si>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</si>
  <si>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</si>
  <si>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</si>
  <si>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</si>
  <si>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</si>
  <si>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</si>
  <si>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</si>
  <si>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</si>
  <si>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</si>
  <si>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</si>
  <si>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</si>
  <si>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</si>
  <si>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</si>
  <si>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</si>
  <si>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</si>
  <si>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</si>
  <si>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</si>
  <si>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</si>
  <si>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</si>
  <si>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</si>
  <si>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</si>
  <si>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</si>
  <si>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</si>
  <si>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</si>
  <si>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</si>
  <si>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</si>
  <si>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</si>
  <si>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</si>
  <si>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</si>
  <si>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</si>
  <si>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</si>
  <si>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</si>
  <si>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</si>
  <si>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</si>
  <si>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</si>
  <si>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</si>
  <si>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</si>
  <si>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</si>
  <si>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</si>
  <si>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</si>
  <si>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</si>
  <si>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</si>
  <si>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</si>
  <si>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</si>
  <si>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</si>
  <si>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</si>
  <si>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</si>
  <si>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</si>
  <si>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</si>
  <si>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</si>
  <si>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</si>
  <si>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</si>
  <si>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</si>
  <si>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</si>
  <si>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</si>
  <si>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</si>
  <si>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</si>
  <si>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</si>
  <si>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</si>
  <si>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</si>
  <si>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</si>
  <si>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</si>
  <si>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</si>
  <si>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</si>
  <si>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</si>
  <si>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</si>
  <si>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</si>
  <si>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</si>
  <si>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</si>
  <si>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</si>
  <si>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</si>
  <si>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</si>
  <si>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</si>
  <si>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</si>
  <si>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</si>
  <si>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</si>
  <si>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</si>
  <si>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</si>
  <si>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</si>
  <si>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</si>
  <si>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</si>
  <si>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</si>
  <si>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</si>
  <si>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</si>
  <si>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</si>
  <si>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</si>
  <si>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</si>
  <si>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</si>
  <si>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</si>
  <si>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</si>
  <si>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</si>
  <si>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</si>
  <si>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</si>
  <si>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</si>
  <si>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</si>
  <si>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</si>
  <si>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</si>
  <si>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</si>
  <si>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</si>
  <si>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</si>
  <si>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</si>
  <si>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</si>
  <si>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</si>
  <si>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</si>
  <si>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</si>
  <si>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</si>
  <si>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</si>
  <si>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</si>
  <si>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</si>
  <si>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</si>
  <si>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</si>
  <si>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</si>
  <si>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</si>
  <si>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</si>
  <si>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</si>
  <si>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</si>
  <si>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</si>
  <si>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</si>
  <si>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</si>
  <si>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</si>
  <si>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</si>
  <si>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</si>
  <si>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</si>
  <si>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</si>
  <si>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</si>
  <si>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</si>
  <si>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</si>
  <si>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</si>
  <si>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</si>
  <si>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</si>
  <si>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</si>
  <si>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</si>
  <si>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</si>
  <si>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</si>
  <si>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</si>
  <si>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</si>
  <si>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</si>
  <si>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</si>
  <si>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</si>
  <si>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</si>
  <si>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</si>
  <si>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</si>
  <si>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</si>
  <si>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</si>
  <si>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</si>
  <si>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</si>
  <si>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</si>
  <si>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</si>
  <si>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</si>
  <si>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</si>
  <si>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</si>
  <si>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</si>
  <si>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</si>
  <si>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</si>
  <si>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</si>
  <si>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</si>
  <si>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</si>
  <si>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</si>
  <si>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</si>
  <si>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</si>
  <si>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</si>
  <si>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</si>
  <si>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</si>
  <si>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</si>
  <si>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</si>
  <si>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</si>
  <si>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</si>
  <si>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</si>
  <si>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</si>
  <si>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</si>
  <si>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</si>
  <si>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</si>
  <si>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</si>
  <si>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</si>
  <si>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</si>
  <si>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</si>
  <si>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</si>
  <si>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</si>
  <si>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</si>
  <si>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</si>
  <si>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</si>
  <si>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</si>
  <si>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</si>
  <si>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</si>
  <si>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</si>
  <si>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</si>
  <si>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</si>
  <si>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</si>
  <si>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</si>
  <si>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</si>
  <si>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</si>
  <si>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</si>
  <si>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</si>
  <si>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</si>
  <si>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</si>
  <si>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</si>
  <si>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</si>
  <si>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</si>
  <si>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</si>
  <si>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</si>
  <si>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</si>
  <si>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</si>
  <si>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</si>
  <si>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</si>
  <si>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</si>
  <si>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</si>
  <si>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</si>
  <si>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</si>
  <si>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</si>
  <si>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</si>
  <si>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</si>
  <si>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</si>
  <si>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</si>
  <si>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</si>
  <si>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</si>
  <si>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</si>
  <si>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</si>
  <si>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</si>
  <si>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</si>
  <si>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</si>
  <si>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</si>
  <si>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</si>
  <si>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</si>
  <si>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</si>
  <si>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</si>
  <si>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</si>
  <si>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</si>
  <si>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</si>
  <si>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</si>
  <si>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</si>
  <si>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</si>
  <si>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</si>
  <si>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</si>
  <si>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</si>
  <si>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</si>
  <si>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</si>
  <si>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</si>
  <si>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</si>
  <si>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</si>
  <si>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</si>
  <si>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</si>
  <si>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</si>
  <si>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</si>
  <si>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</si>
  <si>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</si>
  <si>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</si>
  <si>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</si>
  <si>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</si>
  <si>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</si>
  <si>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</si>
  <si>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</si>
  <si>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</si>
  <si>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</si>
  <si>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</si>
  <si>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</si>
  <si>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</si>
  <si>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</si>
  <si>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</si>
  <si>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</si>
  <si>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</si>
  <si>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</si>
  <si>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</si>
  <si>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</si>
  <si>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</si>
  <si>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</si>
  <si>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</si>
  <si>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</si>
  <si>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</si>
  <si>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</si>
  <si>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</si>
  <si>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</si>
  <si>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</si>
  <si>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</si>
  <si>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</si>
  <si>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</si>
  <si>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</si>
  <si>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</si>
  <si>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</si>
  <si>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</si>
  <si>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</si>
  <si>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</si>
  <si>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</si>
  <si>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</si>
  <si>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</si>
  <si>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</si>
  <si>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</si>
  <si>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</si>
  <si>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</si>
  <si>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</si>
  <si>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</si>
  <si>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</si>
  <si>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</si>
  <si>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</si>
  <si>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</si>
  <si>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</si>
  <si>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</si>
  <si>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</si>
  <si>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</si>
  <si>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</si>
  <si>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</si>
  <si>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</si>
  <si>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</si>
  <si>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</si>
  <si>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</si>
  <si>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</si>
  <si>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</si>
  <si>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</si>
  <si>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</si>
  <si>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</si>
  <si>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</si>
  <si>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</si>
  <si>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</si>
  <si>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</si>
  <si>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</si>
  <si>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</si>
  <si>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</si>
  <si>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</si>
  <si>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</si>
  <si>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</si>
  <si>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</si>
  <si>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</si>
  <si>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</si>
  <si>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</si>
  <si>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</si>
  <si>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</si>
  <si>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</si>
  <si>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</si>
  <si>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</si>
  <si>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</si>
  <si>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</si>
  <si>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</si>
  <si>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</si>
  <si>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</si>
  <si>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</si>
  <si>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</si>
  <si>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</si>
  <si>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</si>
  <si>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</si>
  <si>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</si>
  <si>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</si>
  <si>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</si>
  <si>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</si>
  <si>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</si>
  <si>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</si>
  <si>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</si>
  <si>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</si>
  <si>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</si>
  <si>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</si>
  <si>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</si>
  <si>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</si>
  <si>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</si>
  <si>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</si>
  <si>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</si>
  <si>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</si>
  <si>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</si>
  <si>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</si>
  <si>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</si>
  <si>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</si>
  <si>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</si>
  <si>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</si>
  <si>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</si>
  <si>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</si>
  <si>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</si>
  <si>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</si>
  <si>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</si>
  <si>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</si>
  <si>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</si>
  <si>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</si>
  <si>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</si>
  <si>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</si>
  <si>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</si>
  <si>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</si>
  <si>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</si>
  <si>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</si>
  <si>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</si>
  <si>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</si>
  <si>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</si>
  <si>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</si>
  <si>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</si>
  <si>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</si>
  <si>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</si>
  <si>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</si>
  <si>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</si>
  <si>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</si>
  <si>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</si>
  <si>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</si>
  <si>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</si>
  <si>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</si>
  <si>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</si>
  <si>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</si>
  <si>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</si>
  <si>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</si>
  <si>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</si>
  <si>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</si>
  <si>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</si>
  <si>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</si>
  <si>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</si>
  <si>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</si>
  <si>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</si>
  <si>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</si>
  <si>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</si>
  <si>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</si>
  <si>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</si>
  <si>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</si>
  <si>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</si>
  <si>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</si>
  <si>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</si>
  <si>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</si>
  <si>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</si>
  <si>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</si>
  <si>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</si>
  <si>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</si>
  <si>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</si>
  <si>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</si>
  <si>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</si>
  <si>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</si>
  <si>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</si>
  <si>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</si>
  <si>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</si>
  <si>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</si>
  <si>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</si>
  <si>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</si>
  <si>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</si>
  <si>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</si>
  <si>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</si>
  <si>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</si>
  <si>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</si>
  <si>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</si>
  <si>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</si>
  <si>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</si>
  <si>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</si>
  <si>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</si>
  <si>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</si>
  <si>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</si>
  <si>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</si>
  <si>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</si>
  <si>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</si>
  <si>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</si>
  <si>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</si>
  <si>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</si>
  <si>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</si>
  <si>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</si>
  <si>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</si>
  <si>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</si>
  <si>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</si>
  <si>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</si>
  <si>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</si>
  <si>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</si>
  <si>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</si>
  <si>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</si>
  <si>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</si>
  <si>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</si>
  <si>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</si>
  <si>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</si>
  <si>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</si>
  <si>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</si>
  <si>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</si>
  <si>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</si>
  <si>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</si>
  <si>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</si>
  <si>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</si>
  <si>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</si>
  <si>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</si>
  <si>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</si>
  <si>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</si>
  <si>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</si>
  <si>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</si>
  <si>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</si>
  <si>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</si>
  <si>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</si>
  <si>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</si>
  <si>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</si>
  <si>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</si>
  <si>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</si>
  <si>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</si>
  <si>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</si>
  <si>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</si>
  <si>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</si>
  <si>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</si>
  <si>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</si>
  <si>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</si>
  <si>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</si>
  <si>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</si>
  <si>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</si>
  <si>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</si>
  <si>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</si>
  <si>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</si>
  <si>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</si>
  <si>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</si>
  <si>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</si>
  <si>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</si>
  <si>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</si>
  <si>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</si>
  <si>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</si>
  <si>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</si>
  <si>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</si>
  <si>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</si>
  <si>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</si>
  <si>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</si>
  <si>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</si>
  <si>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</si>
  <si>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</si>
  <si>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</si>
  <si>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</si>
  <si>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</si>
  <si>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</si>
  <si>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</si>
  <si>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</si>
  <si>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</si>
  <si>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</si>
  <si>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</si>
  <si>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</si>
  <si>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</si>
  <si>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</si>
  <si>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</si>
  <si>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</si>
  <si>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</si>
  <si>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</si>
  <si>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</si>
  <si>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</si>
  <si>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</si>
  <si>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</si>
  <si>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</si>
  <si>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</si>
  <si>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</si>
  <si>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</si>
  <si>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</si>
  <si>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</si>
  <si>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</si>
  <si>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</si>
  <si>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</si>
  <si>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</si>
  <si>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</si>
  <si>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</si>
  <si>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</si>
  <si>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</si>
  <si>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</si>
  <si>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</si>
  <si>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</si>
  <si>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</si>
  <si>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</si>
  <si>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</si>
  <si>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</si>
  <si>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</si>
  <si>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</si>
  <si>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</si>
  <si>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</si>
  <si>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</si>
  <si>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</si>
  <si>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</si>
  <si>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</si>
  <si>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</si>
  <si>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</si>
  <si>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</si>
  <si>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</si>
  <si>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</si>
  <si>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</si>
  <si>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</si>
  <si>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</si>
  <si>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</si>
  <si>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</si>
  <si>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</si>
  <si>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</si>
  <si>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</si>
  <si>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</si>
  <si>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</si>
  <si>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</si>
  <si>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</si>
  <si>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</si>
  <si>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</si>
  <si>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</si>
  <si>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</si>
  <si>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</si>
  <si>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</si>
  <si>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</si>
  <si>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</si>
  <si>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</si>
  <si>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</si>
  <si>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</si>
  <si>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</si>
  <si>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</si>
  <si>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</si>
  <si>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</si>
  <si>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</si>
  <si>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</si>
  <si>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</si>
  <si>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</si>
  <si>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</si>
  <si>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</si>
  <si>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</si>
  <si>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</si>
  <si>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</si>
  <si>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</si>
  <si>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</si>
  <si>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</si>
  <si>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</si>
  <si>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</si>
  <si>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</si>
  <si>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</si>
  <si>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</si>
  <si>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</si>
  <si>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</si>
  <si>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</si>
  <si>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</si>
  <si>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</si>
  <si>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</si>
  <si>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</si>
  <si>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</si>
  <si>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</si>
  <si>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</si>
  <si>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</si>
  <si>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</si>
  <si>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</si>
  <si>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</si>
  <si>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</si>
  <si>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</si>
  <si>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</si>
  <si>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</si>
  <si>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</si>
  <si>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</si>
  <si>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</si>
  <si>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</si>
  <si>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</si>
  <si>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</si>
  <si>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</si>
  <si>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</si>
  <si>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</si>
  <si>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</si>
  <si>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</si>
  <si>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</si>
  <si>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</si>
  <si>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</si>
  <si>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</si>
  <si>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</si>
  <si>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</si>
  <si>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</si>
  <si>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</si>
  <si>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</si>
  <si>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</si>
  <si>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</si>
  <si>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</si>
  <si>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</si>
  <si>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</si>
  <si>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</si>
  <si>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</si>
  <si>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</si>
  <si>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</si>
  <si>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</si>
  <si>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</si>
  <si>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</si>
  <si>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</si>
  <si>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</si>
  <si>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</si>
  <si>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</si>
  <si>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</si>
  <si>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</si>
  <si>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</si>
  <si>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</si>
  <si>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</si>
  <si>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</si>
  <si>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</si>
  <si>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</si>
  <si>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</si>
  <si>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</si>
  <si>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</si>
  <si>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</si>
  <si>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</si>
  <si>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</si>
  <si>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</si>
  <si>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</si>
  <si>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</si>
  <si>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</si>
  <si>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</si>
  <si>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</si>
  <si>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</si>
  <si>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</si>
  <si>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</si>
  <si>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</si>
  <si>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</si>
  <si>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</si>
  <si>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</si>
  <si>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</si>
  <si>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</si>
  <si>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</si>
  <si>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</si>
  <si>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</si>
  <si>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</si>
  <si>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</si>
  <si>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</si>
  <si>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</si>
  <si>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</si>
  <si>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</si>
  <si>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</si>
  <si>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</si>
  <si>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</si>
  <si>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</si>
  <si>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</si>
  <si>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</si>
  <si>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</si>
  <si>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</si>
  <si>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</si>
  <si>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</si>
  <si>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</si>
  <si>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</si>
  <si>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</si>
  <si>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</si>
  <si>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</si>
  <si>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</si>
  <si>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</si>
  <si>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</si>
  <si>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</si>
  <si>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</si>
  <si>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</si>
  <si>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</si>
  <si>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</si>
  <si>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</si>
  <si>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</si>
  <si>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</si>
  <si>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</si>
  <si>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</si>
  <si>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</si>
  <si>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</si>
  <si>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</si>
  <si>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</si>
  <si>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</si>
  <si>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</si>
  <si>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</si>
  <si>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</si>
  <si>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</si>
  <si>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</si>
  <si>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</si>
  <si>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</si>
  <si>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</si>
  <si>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</si>
  <si>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</si>
  <si>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</si>
  <si>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</si>
  <si>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</si>
  <si>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</si>
  <si>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</si>
  <si>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</si>
  <si>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</si>
  <si>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</si>
  <si>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</si>
  <si>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</si>
  <si>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</si>
  <si>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</si>
  <si>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</si>
  <si>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</si>
  <si>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</si>
  <si>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</si>
  <si>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</si>
  <si>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</si>
  <si>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</si>
  <si>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</si>
  <si>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</si>
  <si>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</si>
  <si>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</si>
  <si>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</si>
  <si>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</si>
  <si>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</si>
  <si>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</si>
  <si>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</si>
  <si>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</si>
  <si>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</si>
  <si>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</si>
  <si>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</si>
  <si>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</si>
  <si>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</si>
  <si>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</si>
  <si>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</si>
  <si>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</si>
  <si>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</si>
  <si>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</si>
  <si>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</si>
  <si>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</si>
  <si>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</si>
  <si>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</si>
  <si>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</si>
  <si>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</si>
  <si>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</si>
  <si>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</si>
  <si>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</si>
  <si>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</si>
  <si>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</si>
  <si>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</si>
  <si>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</si>
  <si>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</si>
  <si>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</si>
  <si>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</si>
  <si>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</si>
  <si>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</si>
  <si>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</si>
  <si>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</si>
  <si>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</si>
  <si>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</si>
  <si>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</si>
  <si>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</si>
  <si>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</si>
  <si>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</si>
  <si>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</si>
  <si>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</si>
  <si>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</si>
  <si>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</si>
  <si>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</si>
  <si>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</si>
  <si>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</si>
  <si>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</si>
  <si>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</si>
  <si>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</si>
  <si>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</si>
  <si>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</si>
  <si>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</si>
  <si>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</si>
  <si>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</si>
  <si>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</si>
  <si>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</si>
  <si>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</si>
  <si>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</si>
  <si>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</si>
  <si>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</si>
  <si>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</si>
  <si>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</si>
  <si>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</si>
  <si>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</si>
  <si>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</si>
  <si>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</si>
  <si>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</si>
  <si>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</si>
  <si>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</si>
  <si>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</si>
  <si>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</si>
  <si>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</si>
  <si>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</si>
  <si>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</si>
  <si>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</si>
  <si>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</si>
  <si>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</si>
  <si>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</si>
  <si>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</si>
  <si>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</si>
  <si>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</si>
  <si>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</si>
  <si>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</si>
  <si>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</si>
  <si>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</si>
  <si>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</si>
  <si>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</si>
  <si>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</si>
  <si>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</si>
  <si>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</si>
  <si>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</si>
  <si>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</si>
  <si>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</si>
  <si>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</si>
  <si>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</si>
  <si>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</si>
  <si>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</si>
  <si>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</si>
  <si>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</si>
  <si>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</si>
  <si>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</si>
  <si>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</si>
  <si>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</si>
  <si>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</si>
  <si>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</si>
  <si>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</si>
  <si>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</si>
  <si>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</si>
  <si>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</si>
  <si>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</si>
  <si>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</si>
  <si>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</si>
  <si>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</si>
  <si>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</si>
  <si>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</si>
  <si>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</si>
  <si>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</si>
  <si>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</si>
  <si>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</si>
  <si>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</si>
  <si>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</si>
  <si>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</si>
  <si>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</si>
  <si>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</si>
  <si>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</si>
  <si>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</si>
  <si>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</si>
  <si>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</si>
  <si>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</si>
  <si>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</si>
  <si>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</si>
  <si>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</si>
  <si>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</si>
  <si>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</si>
  <si>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</si>
  <si>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</si>
  <si>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</si>
  <si>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</si>
  <si>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</si>
  <si>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</si>
  <si>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</si>
  <si>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</si>
  <si>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</si>
  <si>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</si>
  <si>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</si>
  <si>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</si>
  <si>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</si>
  <si>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</si>
  <si>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</si>
  <si>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</si>
  <si>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</si>
  <si>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</si>
  <si>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</si>
  <si>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</si>
  <si>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</si>
  <si>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</si>
  <si>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</si>
  <si>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</si>
  <si>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</si>
  <si>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</si>
  <si>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</si>
  <si>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</si>
  <si>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</si>
  <si>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</si>
  <si>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</si>
  <si>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</si>
  <si>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</si>
  <si>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</si>
  <si>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</si>
  <si>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</si>
  <si>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</si>
  <si>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</si>
  <si>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</si>
  <si>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</si>
  <si>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</si>
  <si>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</si>
  <si>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</si>
  <si>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</si>
  <si>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</si>
  <si>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</si>
  <si>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</si>
  <si>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</si>
  <si>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</si>
  <si>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</si>
  <si>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</si>
  <si>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</si>
  <si>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</si>
  <si>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</si>
  <si>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</si>
  <si>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</si>
  <si>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</si>
  <si>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</si>
  <si>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</si>
  <si>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</si>
  <si>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</si>
  <si>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</si>
  <si>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</si>
  <si>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</si>
  <si>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</si>
  <si>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</si>
  <si>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</si>
  <si>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</si>
  <si>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</si>
  <si>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</si>
  <si>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</si>
  <si>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</si>
  <si>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</si>
  <si>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</si>
  <si>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</si>
  <si>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</si>
  <si>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</si>
  <si>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</si>
  <si>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</si>
  <si>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</si>
  <si>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</si>
  <si>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</si>
  <si>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</si>
  <si>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</si>
  <si>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</si>
  <si>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</si>
  <si>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</si>
  <si>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</si>
  <si>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</si>
  <si>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</si>
  <si>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</si>
  <si>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</si>
  <si>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</si>
  <si>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</si>
  <si>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</si>
  <si>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</si>
  <si>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</si>
  <si>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</si>
  <si>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</si>
  <si>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</si>
  <si>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</si>
  <si>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</si>
  <si>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</si>
  <si>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</si>
  <si>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</si>
  <si>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</si>
  <si>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</si>
  <si>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</si>
  <si>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</si>
  <si>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</si>
  <si>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</si>
  <si>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</si>
  <si>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</si>
  <si>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</si>
  <si>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</si>
  <si>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</si>
  <si>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</si>
  <si>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</si>
  <si>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</si>
  <si>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</si>
  <si>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</si>
  <si>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</si>
  <si>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</si>
  <si>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</si>
  <si>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</si>
  <si>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</si>
  <si>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</si>
  <si>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</si>
  <si>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</si>
  <si>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</si>
  <si>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</si>
  <si>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</si>
  <si>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</si>
  <si>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</si>
  <si>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</si>
  <si>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</si>
  <si>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</si>
  <si>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</si>
  <si>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</si>
  <si>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</si>
  <si>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</si>
  <si>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</si>
  <si>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</si>
  <si>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</si>
  <si>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</si>
  <si>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</si>
  <si>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</si>
  <si>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</si>
  <si>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</si>
  <si>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</si>
  <si>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</si>
  <si>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</si>
  <si>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</si>
  <si>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</si>
  <si>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</si>
  <si>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</si>
  <si>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</si>
  <si>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</si>
  <si>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</si>
  <si>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</si>
  <si>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</si>
  <si>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</si>
  <si>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</si>
  <si>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</si>
  <si>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</si>
  <si>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</si>
  <si>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</si>
  <si>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</si>
  <si>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</si>
  <si>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</si>
  <si>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</si>
  <si>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</si>
  <si>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</si>
  <si>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</si>
  <si>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</si>
  <si>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</si>
  <si>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</si>
  <si>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</si>
  <si>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</si>
  <si>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</si>
  <si>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</si>
  <si>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</si>
  <si>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</si>
  <si>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</si>
  <si>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</si>
  <si>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</si>
  <si>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</si>
  <si>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</si>
  <si>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</si>
  <si>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</si>
  <si>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</si>
  <si>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</si>
  <si>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</si>
  <si>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</si>
  <si>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</si>
  <si>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</si>
  <si>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</si>
  <si>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</si>
  <si>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</si>
  <si>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</si>
  <si>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</si>
  <si>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</si>
  <si>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</si>
  <si>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</si>
  <si>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</si>
  <si>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</si>
  <si>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</si>
  <si>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</si>
  <si>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</si>
  <si>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</si>
  <si>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</si>
  <si>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</si>
  <si>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</si>
  <si>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</si>
  <si>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</si>
  <si>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</si>
  <si>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</si>
  <si>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</si>
  <si>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</si>
  <si>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</si>
  <si>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</si>
  <si>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</si>
  <si>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</si>
  <si>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</si>
  <si>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</si>
  <si>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</si>
  <si>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</si>
  <si>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</si>
  <si>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</si>
  <si>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</si>
  <si>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</si>
  <si>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</si>
  <si>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</si>
  <si>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</si>
  <si>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</si>
  <si>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</si>
  <si>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</si>
  <si>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</si>
  <si>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</si>
  <si>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</si>
  <si>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</si>
  <si>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</si>
  <si>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</si>
  <si>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</si>
  <si>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</si>
  <si>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</si>
  <si>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</si>
  <si>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</si>
  <si>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</si>
  <si>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</si>
  <si>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</si>
  <si>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</si>
  <si>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</si>
  <si>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</si>
  <si>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</si>
  <si>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</si>
  <si>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</si>
  <si>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</si>
  <si>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</si>
  <si>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</si>
  <si>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</si>
  <si>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</si>
  <si>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</si>
  <si>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</si>
  <si>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</si>
  <si>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</si>
  <si>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</si>
  <si>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</si>
  <si>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</si>
  <si>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</si>
  <si>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</si>
  <si>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</si>
  <si>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</si>
  <si>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</si>
  <si>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</si>
  <si>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</si>
  <si>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</si>
  <si>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</si>
  <si>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</si>
  <si>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</si>
  <si>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</si>
  <si>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</si>
  <si>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</si>
  <si>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</si>
  <si>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</si>
  <si>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</si>
  <si>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</si>
  <si>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</si>
  <si>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</si>
  <si>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</si>
  <si>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</si>
  <si>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</si>
  <si>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</si>
  <si>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</si>
  <si>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</si>
  <si>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</si>
  <si>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</si>
  <si>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</si>
  <si>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</si>
  <si>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</si>
  <si>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</si>
  <si>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</si>
  <si>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</si>
  <si>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</si>
  <si>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</si>
  <si>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</si>
  <si>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</si>
  <si>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</si>
  <si>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</si>
  <si>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</si>
  <si>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</si>
  <si>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</si>
  <si>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</si>
  <si>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</si>
  <si>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</si>
  <si>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</si>
  <si>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</si>
  <si>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</si>
  <si>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</si>
  <si>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</si>
  <si>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</si>
  <si>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</si>
  <si>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</si>
  <si>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</si>
  <si>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</si>
  <si>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</si>
  <si>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</si>
  <si>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</si>
  <si>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</si>
  <si>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</si>
  <si>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</si>
  <si>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</si>
  <si>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</si>
  <si>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</si>
  <si>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</si>
  <si>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</si>
  <si>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</si>
  <si>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</si>
  <si>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</si>
  <si>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</si>
  <si>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</si>
  <si>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</si>
  <si>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</si>
  <si>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</si>
  <si>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</si>
  <si>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</si>
  <si>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</si>
  <si>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</si>
  <si>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</si>
  <si>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</si>
  <si>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</si>
  <si>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</si>
  <si>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</si>
  <si>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</si>
  <si>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</si>
  <si>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</si>
  <si>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</si>
  <si>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</si>
  <si>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</si>
  <si>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</si>
  <si>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</si>
  <si>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</si>
  <si>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</si>
  <si>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</si>
  <si>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</si>
  <si>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</si>
  <si>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</si>
  <si>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</si>
  <si>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</si>
  <si>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</si>
  <si>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</si>
  <si>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</si>
  <si>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</si>
  <si>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</si>
  <si>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</si>
  <si>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</si>
  <si>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</si>
  <si>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</si>
  <si>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</si>
  <si>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</si>
  <si>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</si>
  <si>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</si>
  <si>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</si>
  <si>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</si>
  <si>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</si>
  <si>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</si>
  <si>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</si>
  <si>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</si>
  <si>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</si>
  <si>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</si>
  <si>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</si>
  <si>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</si>
  <si>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</si>
  <si>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</si>
  <si>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</si>
  <si>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</si>
  <si>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</si>
  <si>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</si>
  <si>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</si>
  <si>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</si>
  <si>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</si>
  <si>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</si>
  <si>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</si>
  <si>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</si>
  <si>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</si>
  <si>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</si>
  <si>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</si>
  <si>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</si>
  <si>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</si>
  <si>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</si>
  <si>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</si>
  <si>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</si>
  <si>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</si>
  <si>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</si>
  <si>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</si>
  <si>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</si>
  <si>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</si>
  <si>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</si>
  <si>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</si>
  <si>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</si>
  <si>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</si>
  <si>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</si>
  <si>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</si>
  <si>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</si>
  <si>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</si>
  <si>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</si>
  <si>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</si>
  <si>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</si>
  <si>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</si>
  <si>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</si>
  <si>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</si>
  <si>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</si>
  <si>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</si>
  <si>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</si>
  <si>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</si>
  <si>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</si>
  <si>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</si>
  <si>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</si>
  <si>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</si>
  <si>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</si>
  <si>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</si>
  <si>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</si>
  <si>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</si>
  <si>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</si>
  <si>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</si>
  <si>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</si>
  <si>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</si>
  <si>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</si>
  <si>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</si>
  <si>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</si>
  <si>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</si>
  <si>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</si>
  <si>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</si>
  <si>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</si>
  <si>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</si>
  <si>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</si>
  <si>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</si>
  <si>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</si>
  <si>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</si>
  <si>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</si>
  <si>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</si>
  <si>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</si>
  <si>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</si>
  <si>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</si>
  <si>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</si>
  <si>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</si>
  <si>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</si>
  <si>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</si>
  <si>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</si>
  <si>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</si>
  <si>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</si>
  <si>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</si>
  <si>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</si>
  <si>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</si>
  <si>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</si>
  <si>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</si>
  <si>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</si>
  <si>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</si>
  <si>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</si>
  <si>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</si>
  <si>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</si>
  <si>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</si>
  <si>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</si>
  <si>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</si>
  <si>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</si>
  <si>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</si>
  <si>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</si>
  <si>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</si>
  <si>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</si>
  <si>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</si>
  <si>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</si>
  <si>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</si>
  <si>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</si>
  <si>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</si>
  <si>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</si>
  <si>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</si>
  <si>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</si>
  <si>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</si>
  <si>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</si>
  <si>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</si>
  <si>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</si>
  <si>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</si>
  <si>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</si>
  <si>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</si>
  <si>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</si>
  <si>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</si>
  <si>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</si>
  <si>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</si>
  <si>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</si>
  <si>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</si>
  <si>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</si>
  <si>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</si>
  <si>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</si>
  <si>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</si>
  <si>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</si>
  <si>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</si>
  <si>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</si>
  <si>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</si>
  <si>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</si>
  <si>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</si>
  <si>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</si>
  <si>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</si>
  <si>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</si>
  <si>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</si>
  <si>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</si>
  <si>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</si>
  <si>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</si>
  <si>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</si>
  <si>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</si>
  <si>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</si>
  <si>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</si>
  <si>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</si>
  <si>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</si>
  <si>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</si>
  <si>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</si>
  <si>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</si>
  <si>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</si>
  <si>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</si>
  <si>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</si>
  <si>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</si>
  <si>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</si>
  <si>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</si>
  <si>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</si>
  <si>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</si>
  <si>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</si>
  <si>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</si>
  <si>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</si>
  <si>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</si>
  <si>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</si>
  <si>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</si>
  <si>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</si>
  <si>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</si>
  <si>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</si>
  <si>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</si>
  <si>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</si>
  <si>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</si>
  <si>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</si>
  <si>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</si>
  <si>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</si>
  <si>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</si>
  <si>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</si>
  <si>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</si>
  <si>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</si>
  <si>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</si>
  <si>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</si>
  <si>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</si>
  <si>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</si>
  <si>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</si>
  <si>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</si>
  <si>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</si>
  <si>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</si>
  <si>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</si>
  <si>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</si>
  <si>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</si>
  <si>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</si>
  <si>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</si>
  <si>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</si>
  <si>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</si>
  <si>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</si>
  <si>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</si>
  <si>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</si>
  <si>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</si>
  <si>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</si>
  <si>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</si>
  <si>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</si>
  <si>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</si>
  <si>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</si>
  <si>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</si>
  <si>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</si>
  <si>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</si>
  <si>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</si>
  <si>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</si>
  <si>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</si>
  <si>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</si>
  <si>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</si>
  <si>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</si>
  <si>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</si>
  <si>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</si>
  <si>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</si>
  <si>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</si>
  <si>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</si>
  <si>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</si>
  <si>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</si>
  <si>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</si>
  <si>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</si>
  <si>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</si>
  <si>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</si>
  <si>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</si>
  <si>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</si>
  <si>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</si>
  <si>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</si>
  <si>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</si>
  <si>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</si>
  <si>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</si>
  <si>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</si>
  <si>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</si>
  <si>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</si>
  <si>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</si>
  <si>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</si>
  <si>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</si>
  <si>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</si>
  <si>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</si>
  <si>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</si>
  <si>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</si>
  <si>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</si>
  <si>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</si>
  <si>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</si>
  <si>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</si>
  <si>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</si>
  <si>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</si>
  <si>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</si>
  <si>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</si>
  <si>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</si>
  <si>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</si>
  <si>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</si>
  <si>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</si>
  <si>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</si>
  <si>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</si>
  <si>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</si>
  <si>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</si>
  <si>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</si>
  <si>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</si>
  <si>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</si>
  <si>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</si>
  <si>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</si>
  <si>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</si>
  <si>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</si>
  <si>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</si>
  <si>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</si>
  <si>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</si>
  <si>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</si>
  <si>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</si>
  <si>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</si>
  <si>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</si>
  <si>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</si>
  <si>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</si>
  <si>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</si>
  <si>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</si>
  <si>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</si>
  <si>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</si>
  <si>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</si>
  <si>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</si>
  <si>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</si>
  <si>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</si>
  <si>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</si>
  <si>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</si>
  <si>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</si>
  <si>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</si>
  <si>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</si>
  <si>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</si>
  <si>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</si>
  <si>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</si>
  <si>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</si>
  <si>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</si>
  <si>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</si>
  <si>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</si>
  <si>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</si>
  <si>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</si>
  <si>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</si>
  <si>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</si>
  <si>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</si>
  <si>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</si>
  <si>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</si>
  <si>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</si>
  <si>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</si>
  <si>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</si>
  <si>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</si>
  <si>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</si>
  <si>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</si>
  <si>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</si>
  <si>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</si>
  <si>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</si>
  <si>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</si>
  <si>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</si>
  <si>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</si>
  <si>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</si>
  <si>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</si>
  <si>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</si>
  <si>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</si>
  <si>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</si>
  <si>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</si>
  <si>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</si>
  <si>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</si>
  <si>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</si>
  <si>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</si>
  <si>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</si>
  <si>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</si>
  <si>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</si>
  <si>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</si>
  <si>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</si>
  <si>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</si>
  <si>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</si>
  <si>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</si>
  <si>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</si>
  <si>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</si>
  <si>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</si>
  <si>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</si>
  <si>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</si>
  <si>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</si>
  <si>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</si>
  <si>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</si>
  <si>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</si>
  <si>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</si>
  <si>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</si>
  <si>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</si>
  <si>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</si>
  <si>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</si>
  <si>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</si>
  <si>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</si>
  <si>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</si>
  <si>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</si>
  <si>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</si>
  <si>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</si>
  <si>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</si>
  <si>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</si>
  <si>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</si>
  <si>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</si>
  <si>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</si>
  <si>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</si>
  <si>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</si>
  <si>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</si>
  <si>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</si>
  <si>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</si>
  <si>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</si>
  <si>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</si>
  <si>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</si>
  <si>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</si>
  <si>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</si>
  <si>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</si>
  <si>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</si>
  <si>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</si>
  <si>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</si>
  <si>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</si>
  <si>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</si>
  <si>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</si>
  <si>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</si>
  <si>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</si>
  <si>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</si>
  <si>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</si>
  <si>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</si>
  <si>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</si>
  <si>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</si>
  <si>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</si>
  <si>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</si>
  <si>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</si>
  <si>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</si>
  <si>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</si>
  <si>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</si>
  <si>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</si>
  <si>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</si>
  <si>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</si>
  <si>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</si>
  <si>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</si>
  <si>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</si>
  <si>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</si>
  <si>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</si>
  <si>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</si>
  <si>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</si>
  <si>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</si>
  <si>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</si>
  <si>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</si>
  <si>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</si>
  <si>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</si>
  <si>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</si>
  <si>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</si>
  <si>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</si>
  <si>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</si>
  <si>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</si>
  <si>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</si>
  <si>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</si>
  <si>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</si>
  <si>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</si>
  <si>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</si>
  <si>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</si>
  <si>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</si>
  <si>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</si>
  <si>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</si>
  <si>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</si>
  <si>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</si>
  <si>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</si>
  <si>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</si>
  <si>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</si>
  <si>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</si>
  <si>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</si>
  <si>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</si>
  <si>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</si>
  <si>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</si>
  <si>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</si>
  <si>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</si>
  <si>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</si>
  <si>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</si>
  <si>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</si>
  <si>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</si>
  <si>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</si>
  <si>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</si>
  <si>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</si>
  <si>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</si>
  <si>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</si>
  <si>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</si>
  <si>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</si>
  <si>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</si>
  <si>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</si>
  <si>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</si>
  <si>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</si>
  <si>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</si>
  <si>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</si>
  <si>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</si>
  <si>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</si>
  <si>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</si>
  <si>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</si>
  <si>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</si>
  <si>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</si>
  <si>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</si>
  <si>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</si>
  <si>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</si>
  <si>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</si>
  <si>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</si>
  <si>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</si>
  <si>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</si>
  <si>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</si>
  <si>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</si>
  <si>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</si>
  <si>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</si>
  <si>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</si>
  <si>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</si>
  <si>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</si>
  <si>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</si>
  <si>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</si>
  <si>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</si>
  <si>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</si>
  <si>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</si>
  <si>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</si>
  <si>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</si>
  <si>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</si>
  <si>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</si>
  <si>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</si>
  <si>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</si>
  <si>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</si>
  <si>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</si>
  <si>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</si>
  <si>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</si>
  <si>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</si>
  <si>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</si>
  <si>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</si>
  <si>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</si>
  <si>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</si>
  <si>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</si>
  <si>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</si>
  <si>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</si>
  <si>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</si>
  <si>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</si>
  <si>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</si>
  <si>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</si>
  <si>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</si>
  <si>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</si>
  <si>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</si>
  <si>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</si>
  <si>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</si>
  <si>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</si>
  <si>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</si>
  <si>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</si>
  <si>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</si>
  <si>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</si>
  <si>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</si>
  <si>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</si>
  <si>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</si>
  <si>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</si>
  <si>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</si>
  <si>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</si>
  <si>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</si>
  <si>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</si>
  <si>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</si>
  <si>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</si>
  <si>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</si>
  <si>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</si>
  <si>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</si>
  <si>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</si>
  <si>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</si>
  <si>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</si>
  <si>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</si>
  <si>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</si>
  <si>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</si>
  <si>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</si>
  <si>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</si>
  <si>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</si>
  <si>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</si>
  <si>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</si>
  <si>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</si>
  <si>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</si>
  <si>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</si>
  <si>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</si>
  <si>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</si>
  <si>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</si>
  <si>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</si>
  <si>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</si>
  <si>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</si>
  <si>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</si>
  <si>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</si>
  <si>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</si>
  <si>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</si>
  <si>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</si>
  <si>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</si>
  <si>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</si>
  <si>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</si>
  <si>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</si>
  <si>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</si>
  <si>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</si>
  <si>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</si>
  <si>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</si>
  <si>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</si>
  <si>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</si>
  <si>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</si>
  <si>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</si>
  <si>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</si>
  <si>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</si>
  <si>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</si>
  <si>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</si>
  <si>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</si>
  <si>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</si>
  <si>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</si>
  <si>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</si>
  <si>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</si>
  <si>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</si>
  <si>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</si>
  <si>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</si>
  <si>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</si>
  <si>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</si>
  <si>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</si>
  <si>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</si>
  <si>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</si>
  <si>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</si>
  <si>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</si>
  <si>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</si>
  <si>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</si>
  <si>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</si>
  <si>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</si>
  <si>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</si>
  <si>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</si>
  <si>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</si>
  <si>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</si>
  <si>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</si>
  <si>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</si>
  <si>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</si>
  <si>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</si>
  <si>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</si>
  <si>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</si>
  <si>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</si>
  <si>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</si>
  <si>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</si>
  <si>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</si>
  <si>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</si>
  <si>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</si>
  <si>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</si>
  <si>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</si>
  <si>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</si>
  <si>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</si>
  <si>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</si>
  <si>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</si>
  <si>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</si>
  <si>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</si>
  <si>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</si>
  <si>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</si>
  <si>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</si>
  <si>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</si>
  <si>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</si>
  <si>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</si>
  <si>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</si>
  <si>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</si>
  <si>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</si>
  <si>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</si>
  <si>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</si>
  <si>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</si>
  <si>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</si>
  <si>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</si>
  <si>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</si>
  <si>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</si>
  <si>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</si>
  <si>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</si>
  <si>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</si>
  <si>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</si>
  <si>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</si>
  <si>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</si>
  <si>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</si>
  <si>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</si>
  <si>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</si>
  <si>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</si>
  <si>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</si>
  <si>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</si>
  <si>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</si>
  <si>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</si>
  <si>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</si>
  <si>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</si>
  <si>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</si>
  <si>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</si>
  <si>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</si>
  <si>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</si>
  <si>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</si>
  <si>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</si>
  <si>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</si>
  <si>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</si>
  <si>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</si>
  <si>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</si>
  <si>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</si>
  <si>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</si>
  <si>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</si>
  <si>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</si>
  <si>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</si>
  <si>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</si>
  <si>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</si>
  <si>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</si>
  <si>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</si>
  <si>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</si>
  <si>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</si>
  <si>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</si>
  <si>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</si>
  <si>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</si>
  <si>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</si>
  <si>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</si>
  <si>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</si>
  <si>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</si>
  <si>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</si>
  <si>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</si>
  <si>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</si>
  <si>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</si>
  <si>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</si>
  <si>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</si>
  <si>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</si>
  <si>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</si>
  <si>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</si>
  <si>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</si>
  <si>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</si>
  <si>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</si>
  <si>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</si>
  <si>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</si>
  <si>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</si>
  <si>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</si>
  <si>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</si>
  <si>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</si>
  <si>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</si>
  <si>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</si>
  <si>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</si>
  <si>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</si>
  <si>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</si>
  <si>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</si>
  <si>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</si>
  <si>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</si>
  <si>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</si>
  <si>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</si>
  <si>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</si>
  <si>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</si>
  <si>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</si>
  <si>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</si>
  <si>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</si>
  <si>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</si>
  <si>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</si>
  <si>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</si>
  <si>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</si>
  <si>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</si>
  <si>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</si>
  <si>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</si>
  <si>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</si>
  <si>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</si>
  <si>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</si>
  <si>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</si>
  <si>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</si>
  <si>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</si>
  <si>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</si>
  <si>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</si>
  <si>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</si>
  <si>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</si>
  <si>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</si>
  <si>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</si>
  <si>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</si>
  <si>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</si>
  <si>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</si>
  <si>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</si>
  <si>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</si>
  <si>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</si>
  <si>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</si>
  <si>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</si>
  <si>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</si>
  <si>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</si>
  <si>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</si>
  <si>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</si>
  <si>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</si>
  <si>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</si>
  <si>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</si>
  <si>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</si>
  <si>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</si>
  <si>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</si>
  <si>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</si>
  <si>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</si>
  <si>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</si>
  <si>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</si>
  <si>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</si>
  <si>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</si>
  <si>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</si>
  <si>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</si>
  <si>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</si>
  <si>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</si>
  <si>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</si>
  <si>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</si>
  <si>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</si>
  <si>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</si>
  <si>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</si>
  <si>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</si>
  <si>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</si>
  <si>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</si>
  <si>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</si>
  <si>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</si>
  <si>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</si>
  <si>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</si>
  <si>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</si>
  <si>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</si>
  <si>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</si>
  <si>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</si>
  <si>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</si>
  <si>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</si>
  <si>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</si>
  <si>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</si>
  <si>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</si>
  <si>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</si>
  <si>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</si>
  <si>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</si>
  <si>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</si>
  <si>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</si>
  <si>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</si>
  <si>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</si>
  <si>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</si>
  <si>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</si>
  <si>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</si>
  <si>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</si>
  <si>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</si>
  <si>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</si>
  <si>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</si>
  <si>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</si>
  <si>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</si>
  <si>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</si>
  <si>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</si>
  <si>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</si>
  <si>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</si>
  <si>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</si>
  <si>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</si>
  <si>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</si>
  <si>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</si>
  <si>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</si>
  <si>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</si>
  <si>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</si>
  <si>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</si>
  <si>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</si>
  <si>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</si>
  <si>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</si>
  <si>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</si>
  <si>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</si>
  <si>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</si>
  <si>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</si>
  <si>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</si>
  <si>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</si>
  <si>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</si>
  <si>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</si>
  <si>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</si>
  <si>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</si>
  <si>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</si>
  <si>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</si>
  <si>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</si>
  <si>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</si>
  <si>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</si>
  <si>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</si>
  <si>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</si>
  <si>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</si>
  <si>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</si>
  <si>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</si>
  <si>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</si>
  <si>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</si>
  <si>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</si>
  <si>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</si>
  <si>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</si>
  <si>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</si>
  <si>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</si>
  <si>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</si>
  <si>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</si>
  <si>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</si>
  <si>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</si>
  <si>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</si>
  <si>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</si>
  <si>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</si>
  <si>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</si>
  <si>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</si>
  <si>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</si>
  <si>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</si>
  <si>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</si>
  <si>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</si>
  <si>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</si>
  <si>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</si>
  <si>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</si>
  <si>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</si>
  <si>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</si>
  <si>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</si>
  <si>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</si>
  <si>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</si>
  <si>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</si>
  <si>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</si>
  <si>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</si>
  <si>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</si>
  <si>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</si>
  <si>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</si>
  <si>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</si>
  <si>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</si>
  <si>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</si>
  <si>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</si>
  <si>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</si>
  <si>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</si>
  <si>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</si>
  <si>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</si>
  <si>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</si>
  <si>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</si>
  <si>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</si>
  <si>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</si>
  <si>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</si>
  <si>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</si>
  <si>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</si>
  <si>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</si>
  <si>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</si>
  <si>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</si>
  <si>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</si>
  <si>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</si>
  <si>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</si>
  <si>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</si>
  <si>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</si>
  <si>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</si>
  <si>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</si>
  <si>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</si>
  <si>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</si>
  <si>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</si>
  <si>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</si>
  <si>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</si>
  <si>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</si>
  <si>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</si>
  <si>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</si>
  <si>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</si>
  <si>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</si>
  <si>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</si>
  <si>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</si>
  <si>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</si>
  <si>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</si>
  <si>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</si>
  <si>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</si>
  <si>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</si>
  <si>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</si>
  <si>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</si>
  <si>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</si>
  <si>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</si>
  <si>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</si>
  <si>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</si>
  <si>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</si>
  <si>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</si>
  <si>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</si>
  <si>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</si>
  <si>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</si>
  <si>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</si>
  <si>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</si>
  <si>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</si>
  <si>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</si>
  <si>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</si>
  <si>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</si>
  <si>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</si>
  <si>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</si>
  <si>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</si>
  <si>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</si>
  <si>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</si>
  <si>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</si>
  <si>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</si>
  <si>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</si>
  <si>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</si>
  <si>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</si>
  <si>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</si>
  <si>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</si>
  <si>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</si>
  <si>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</si>
  <si>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</si>
  <si>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</si>
  <si>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</si>
  <si>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</si>
  <si>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</si>
  <si>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</si>
  <si>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</si>
  <si>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</si>
  <si>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</si>
  <si>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</si>
  <si>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</si>
  <si>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</si>
  <si>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</si>
  <si>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</si>
  <si>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</si>
  <si>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</si>
  <si>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</si>
  <si>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</si>
  <si>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</si>
  <si>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</si>
  <si>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</si>
  <si>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</si>
  <si>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</si>
  <si>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</si>
  <si>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</si>
  <si>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</si>
  <si>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</si>
  <si>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</si>
  <si>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</si>
  <si>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</si>
  <si>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</si>
  <si>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</si>
  <si>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</si>
  <si>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</si>
  <si>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</si>
  <si>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</si>
  <si>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</si>
  <si>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</si>
  <si>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</si>
  <si>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</si>
  <si>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</si>
  <si>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</si>
  <si>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</si>
  <si>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</si>
  <si>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</si>
  <si>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</si>
  <si>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</si>
  <si>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</si>
  <si>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</si>
  <si>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</si>
  <si>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</si>
  <si>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</si>
  <si>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</si>
  <si>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</si>
  <si>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</si>
  <si>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</si>
  <si>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</si>
  <si>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</si>
  <si>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</si>
  <si>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</si>
  <si>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</si>
  <si>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</si>
  <si>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</si>
  <si>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</si>
  <si>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</si>
  <si>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</si>
  <si>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</si>
  <si>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</si>
  <si>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</si>
  <si>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</si>
  <si>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</si>
  <si>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</si>
  <si>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</si>
  <si>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</si>
  <si>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</si>
  <si>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</si>
  <si>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</si>
  <si>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</si>
  <si>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</si>
  <si>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</si>
  <si>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</si>
  <si>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</si>
  <si>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</si>
  <si>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</si>
  <si>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</si>
  <si>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</si>
  <si>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</si>
  <si>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</si>
  <si>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</si>
  <si>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</si>
  <si>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</si>
  <si>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</si>
  <si>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</si>
  <si>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</si>
  <si>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</si>
  <si>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</si>
  <si>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</si>
  <si>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</si>
  <si>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</si>
  <si>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</si>
  <si>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</si>
  <si>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</si>
  <si>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</si>
  <si>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</si>
  <si>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</si>
  <si>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</si>
  <si>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</si>
  <si>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</si>
  <si>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</si>
  <si>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</si>
  <si>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</si>
  <si>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</si>
  <si>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</si>
  <si>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</si>
  <si>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</si>
  <si>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</si>
  <si>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</si>
  <si>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</si>
  <si>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</si>
  <si>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</si>
  <si>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</si>
  <si>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</si>
  <si>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</si>
  <si>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</si>
  <si>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</si>
  <si>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</si>
  <si>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</si>
  <si>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</si>
  <si>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</si>
  <si>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</si>
  <si>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</si>
  <si>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</si>
  <si>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</si>
  <si>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</si>
  <si>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</si>
  <si>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</si>
  <si>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</si>
  <si>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</si>
  <si>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</si>
  <si>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</si>
  <si>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</si>
  <si>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</si>
  <si>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</si>
  <si>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</si>
  <si>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</si>
  <si>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</si>
  <si>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</si>
  <si>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</si>
  <si>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</si>
  <si>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</si>
  <si>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</si>
  <si>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</si>
  <si>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</si>
  <si>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</si>
  <si>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</si>
  <si>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</si>
  <si>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</si>
  <si>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</si>
  <si>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</si>
  <si>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</si>
  <si>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</si>
  <si>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</si>
  <si>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</si>
  <si>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</si>
  <si>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</si>
  <si>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</si>
  <si>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</si>
  <si>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</si>
  <si>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</si>
  <si>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</si>
  <si>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</si>
  <si>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</si>
  <si>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</si>
  <si>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</si>
  <si>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</si>
  <si>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</si>
  <si>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</si>
  <si>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</si>
  <si>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</si>
  <si>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</si>
  <si>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</si>
  <si>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</si>
  <si>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</si>
  <si>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</si>
  <si>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</si>
  <si>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</si>
  <si>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</si>
  <si>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</si>
  <si>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</si>
  <si>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</si>
  <si>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</si>
  <si>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</si>
  <si>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</si>
  <si>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</si>
  <si>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</si>
  <si>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</si>
  <si>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</si>
  <si>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</si>
  <si>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</si>
  <si>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</si>
  <si>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</si>
  <si>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</si>
  <si>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</si>
  <si>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</si>
  <si>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</si>
  <si>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</si>
  <si>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</si>
  <si>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</si>
  <si>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</si>
  <si>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</si>
  <si>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</si>
  <si>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</si>
  <si>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</si>
  <si>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</si>
  <si>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</si>
  <si>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</si>
  <si>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</si>
  <si>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</si>
  <si>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</si>
  <si>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</si>
  <si>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</si>
  <si>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</si>
  <si>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</si>
  <si>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</si>
  <si>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</si>
  <si>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</si>
  <si>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</si>
  <si>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</si>
  <si>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</si>
  <si>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</si>
  <si>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</si>
  <si>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</si>
  <si>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</si>
  <si>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</si>
  <si>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</si>
  <si>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</si>
  <si>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</si>
  <si>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</si>
  <si>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</si>
  <si>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</si>
  <si>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</si>
  <si>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</si>
  <si>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</si>
  <si>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</si>
  <si>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</si>
  <si>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</si>
  <si>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</si>
  <si>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</si>
  <si>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</si>
  <si>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</si>
  <si>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</si>
  <si>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</si>
  <si>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</si>
  <si>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</si>
  <si>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</si>
  <si>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</si>
  <si>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</si>
  <si>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</si>
  <si>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</si>
  <si>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</si>
  <si>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</si>
  <si>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</si>
  <si>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</si>
  <si>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</si>
  <si>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</si>
  <si>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</si>
  <si>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</si>
  <si>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</si>
  <si>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</si>
  <si>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</si>
  <si>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</si>
  <si>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</si>
  <si>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</si>
  <si>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</si>
  <si>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</si>
  <si>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</si>
  <si>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</si>
  <si>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</si>
  <si>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</si>
  <si>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</si>
  <si>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</si>
  <si>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</si>
  <si>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</si>
  <si>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</si>
  <si>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</si>
  <si>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</si>
  <si>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</si>
  <si>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</si>
  <si>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</si>
  <si>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</si>
  <si>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</si>
  <si>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</si>
  <si>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</si>
  <si>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</si>
  <si>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</si>
  <si>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</si>
  <si>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</si>
  <si>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</si>
  <si>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</si>
  <si>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</si>
  <si>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</si>
  <si>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</si>
  <si>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</si>
  <si>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</si>
  <si>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</si>
  <si>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</si>
  <si>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</si>
  <si>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</si>
  <si>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</si>
  <si>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</si>
  <si>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</si>
  <si>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</si>
  <si>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</si>
  <si>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</si>
  <si>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</si>
  <si>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</si>
  <si>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</si>
  <si>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</si>
  <si>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</si>
  <si>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</si>
  <si>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</si>
  <si>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</si>
  <si>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</si>
  <si>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</si>
  <si>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</si>
  <si>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</si>
  <si>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</si>
  <si>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</si>
  <si>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</si>
  <si>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</si>
  <si>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</si>
  <si>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</si>
  <si>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</si>
  <si>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</si>
  <si>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</si>
  <si>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</si>
  <si>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</si>
  <si>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</si>
  <si>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</si>
  <si>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</si>
  <si>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</si>
  <si>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</si>
  <si>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</si>
  <si>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</si>
  <si>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</si>
  <si>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</si>
  <si>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</si>
  <si>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</si>
  <si>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</si>
  <si>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</si>
  <si>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</si>
  <si>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</si>
  <si>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</si>
  <si>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</si>
  <si>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</si>
  <si>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</si>
  <si>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</si>
  <si>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</si>
  <si>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</si>
  <si>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</si>
  <si>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</si>
  <si>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</si>
  <si>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</si>
  <si>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</si>
  <si>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</si>
  <si>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</si>
  <si>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</si>
  <si>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</si>
  <si>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</si>
  <si>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</si>
  <si>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</si>
  <si>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</si>
  <si>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</si>
  <si>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</si>
  <si>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</si>
  <si>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</si>
  <si>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</si>
  <si>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</si>
  <si>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</si>
  <si>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</si>
  <si>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</si>
  <si>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</si>
  <si>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</si>
  <si>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</si>
  <si>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</si>
  <si>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</si>
  <si>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</si>
  <si>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</si>
  <si>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</si>
  <si>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</si>
  <si>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</si>
  <si>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</si>
  <si>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</si>
  <si>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</si>
  <si>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</si>
  <si>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</si>
  <si>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</si>
  <si>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</si>
  <si>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</si>
  <si>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</si>
  <si>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</si>
  <si>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</si>
  <si>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</si>
  <si>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</si>
  <si>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</si>
  <si>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</si>
  <si>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</si>
  <si>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</si>
  <si>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</si>
  <si>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</si>
  <si>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</si>
  <si>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</si>
  <si>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</si>
  <si>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</si>
  <si>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</si>
  <si>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</si>
  <si>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</si>
  <si>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</si>
  <si>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</si>
  <si>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</si>
  <si>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</si>
  <si>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</si>
  <si>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</si>
  <si>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</si>
  <si>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</si>
  <si>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</si>
  <si>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</si>
  <si>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</si>
  <si>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</si>
  <si>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</si>
  <si>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</si>
  <si>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</si>
  <si>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</si>
  <si>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</si>
  <si>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</si>
  <si>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</si>
  <si>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</si>
  <si>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</si>
  <si>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</si>
  <si>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</si>
  <si>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</si>
  <si>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</si>
  <si>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</si>
  <si>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</si>
  <si>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</si>
  <si>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</si>
  <si>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</si>
  <si>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</si>
  <si>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</si>
  <si>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</si>
  <si>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</si>
  <si>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</si>
  <si>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</si>
  <si>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</si>
  <si>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</si>
  <si>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</si>
  <si>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</si>
  <si>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</si>
  <si>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</si>
  <si>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</si>
  <si>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</si>
  <si>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</si>
  <si>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</si>
  <si>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</si>
  <si>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</si>
  <si>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</si>
  <si>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</si>
  <si>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</si>
  <si>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</si>
  <si>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</si>
  <si>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</si>
  <si>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</si>
  <si>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</si>
  <si>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</si>
  <si>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</si>
  <si>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</si>
  <si>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</si>
  <si>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</si>
  <si>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</si>
  <si>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</si>
  <si>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</si>
  <si>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</si>
  <si>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</si>
  <si>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</si>
  <si>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</si>
  <si>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</si>
  <si>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</si>
  <si>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</si>
  <si>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</si>
  <si>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</si>
  <si>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</si>
  <si>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</si>
  <si>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</si>
  <si>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</si>
  <si>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</si>
  <si>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</si>
  <si>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</si>
  <si>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</si>
  <si>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</si>
  <si>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</si>
  <si>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</si>
  <si>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</si>
  <si>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</si>
  <si>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</si>
  <si>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</si>
  <si>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</si>
  <si>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</si>
  <si>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</si>
  <si>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</si>
  <si>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</si>
  <si>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</si>
  <si>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</si>
  <si>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</si>
  <si>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</si>
  <si>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</si>
  <si>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</si>
  <si>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</si>
  <si>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</si>
  <si>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</si>
  <si>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</si>
  <si>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</si>
  <si>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</si>
  <si>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</si>
  <si>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</si>
  <si>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</si>
  <si>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</si>
  <si>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</si>
  <si>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</si>
  <si>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</si>
  <si>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</si>
  <si>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</si>
  <si>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</si>
  <si>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</si>
  <si>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</si>
  <si>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</si>
  <si>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</si>
  <si>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</si>
  <si>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</si>
  <si>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</si>
  <si>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</si>
  <si>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</si>
  <si>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</si>
  <si>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</si>
  <si>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</si>
  <si>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</si>
  <si>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</si>
  <si>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</si>
  <si>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</si>
  <si>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</si>
  <si>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</si>
  <si>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</si>
  <si>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</si>
  <si>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</si>
  <si>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</si>
  <si>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</si>
  <si>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</si>
  <si>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</si>
  <si>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</si>
  <si>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</si>
  <si>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</si>
  <si>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</si>
  <si>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</si>
  <si>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</si>
  <si>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</si>
  <si>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</si>
  <si>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</si>
  <si>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</si>
  <si>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</si>
  <si>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</si>
  <si>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</si>
  <si>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</si>
  <si>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</si>
  <si>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</si>
  <si>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</si>
  <si>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</si>
  <si>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</si>
  <si>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</si>
  <si>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</si>
  <si>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</si>
  <si>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</si>
  <si>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</si>
  <si>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</si>
  <si>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</si>
  <si>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</si>
  <si>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</si>
  <si>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</si>
  <si>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</si>
  <si>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</si>
  <si>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</si>
  <si>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</si>
  <si>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</si>
  <si>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</si>
  <si>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</si>
  <si>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</si>
  <si>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</si>
  <si>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</si>
  <si>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</si>
  <si>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</si>
  <si>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</si>
  <si>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</si>
  <si>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</si>
  <si>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</si>
  <si>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</si>
  <si>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</si>
  <si>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</si>
  <si>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</si>
  <si>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</si>
  <si>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</si>
  <si>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</si>
  <si>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</si>
  <si>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</si>
  <si>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</si>
  <si>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</si>
  <si>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</si>
  <si>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</si>
  <si>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</si>
  <si>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</si>
  <si>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</si>
  <si>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</si>
  <si>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</si>
  <si>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</si>
  <si>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</si>
  <si>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</si>
  <si>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</si>
  <si>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</si>
  <si>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</si>
  <si>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</si>
  <si>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</si>
  <si>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</si>
  <si>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</si>
  <si>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</si>
  <si>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</si>
  <si>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</si>
  <si>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</si>
  <si>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</si>
  <si>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</si>
  <si>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</si>
  <si>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</si>
  <si>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</si>
  <si>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</si>
  <si>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</si>
  <si>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</si>
  <si>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</si>
  <si>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</si>
  <si>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</si>
  <si>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</si>
  <si>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</si>
  <si>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</si>
  <si>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</si>
  <si>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</si>
  <si>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</si>
  <si>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</si>
  <si>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</si>
  <si>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</si>
  <si>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</si>
  <si>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</si>
  <si>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</si>
  <si>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</si>
  <si>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</si>
  <si>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</si>
  <si>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</si>
  <si>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</si>
  <si>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</si>
  <si>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</si>
  <si>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</si>
  <si>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</si>
  <si>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</si>
  <si>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</si>
  <si>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</si>
  <si>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</si>
  <si>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</si>
  <si>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</si>
  <si>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</si>
  <si>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</si>
  <si>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</si>
  <si>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</si>
  <si>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</si>
  <si>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</si>
  <si>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</si>
  <si>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</si>
  <si>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</si>
  <si>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</si>
  <si>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</si>
  <si>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</si>
  <si>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</si>
  <si>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</si>
  <si>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</si>
  <si>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</si>
  <si>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</si>
  <si>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</si>
  <si>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</si>
  <si>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</si>
  <si>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</si>
  <si>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</si>
  <si>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</si>
  <si>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</si>
  <si>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</si>
  <si>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</si>
  <si>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</si>
  <si>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</si>
  <si>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</si>
  <si>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</si>
  <si>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</si>
  <si>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</si>
  <si>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</si>
  <si>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</si>
  <si>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</si>
  <si>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</si>
  <si>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</si>
  <si>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</si>
  <si>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</si>
  <si>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</si>
  <si>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</si>
  <si>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</si>
  <si>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</si>
  <si>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</si>
  <si>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</si>
  <si>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</si>
  <si>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</si>
  <si>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</si>
  <si>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</si>
  <si>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</si>
  <si>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</si>
  <si>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</si>
  <si>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</si>
  <si>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</si>
  <si>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</si>
  <si>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</si>
  <si>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</si>
  <si>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</si>
  <si>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</si>
  <si>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</si>
  <si>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</si>
  <si>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</si>
  <si>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</si>
  <si>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</si>
  <si>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</si>
  <si>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</si>
  <si>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</si>
  <si>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</si>
  <si>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</si>
  <si>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</si>
  <si>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</si>
  <si>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</si>
  <si>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</si>
  <si>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</si>
  <si>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</si>
  <si>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</si>
  <si>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</si>
  <si>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</si>
  <si>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</si>
  <si>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</si>
  <si>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</si>
  <si>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</si>
  <si>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</si>
  <si>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</si>
  <si>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</si>
  <si>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</si>
  <si>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</si>
  <si>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</si>
  <si>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</si>
  <si>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</si>
  <si>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</si>
  <si>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</si>
  <si>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</si>
  <si>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</si>
  <si>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</si>
  <si>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</si>
  <si>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</si>
  <si>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</si>
  <si>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</si>
  <si>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</si>
  <si>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</si>
  <si>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</si>
  <si>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</si>
  <si>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</si>
  <si>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</si>
  <si>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</si>
  <si>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</si>
  <si>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</si>
  <si>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</si>
  <si>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</si>
  <si>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</si>
  <si>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</si>
  <si>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</si>
  <si>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</si>
  <si>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</si>
  <si>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</si>
  <si>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</si>
  <si>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</si>
  <si>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</si>
  <si>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</si>
  <si>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</si>
  <si>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</si>
  <si>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</si>
  <si>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</si>
  <si>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</si>
  <si>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</si>
  <si>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</si>
  <si>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</si>
  <si>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</si>
  <si>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</si>
  <si>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</si>
  <si>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</si>
  <si>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</si>
  <si>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</si>
  <si>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</si>
  <si>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</si>
  <si>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</si>
  <si>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</si>
  <si>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</si>
  <si>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</si>
  <si>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</si>
  <si>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</si>
  <si>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</si>
  <si>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</si>
  <si>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</si>
  <si>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</si>
  <si>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</si>
  <si>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</si>
  <si>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</si>
  <si>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</si>
  <si>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</si>
  <si>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</si>
  <si>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</si>
  <si>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</si>
  <si>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</si>
  <si>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</si>
  <si>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</si>
  <si>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</si>
  <si>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</si>
  <si>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</si>
  <si>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</si>
  <si>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</si>
  <si>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</si>
  <si>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</si>
  <si>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</si>
  <si>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</si>
  <si>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</si>
  <si>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</si>
  <si>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</si>
  <si>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</si>
  <si>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</si>
  <si>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</si>
  <si>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</si>
  <si>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</si>
  <si>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</si>
  <si>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</si>
  <si>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</si>
  <si>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</si>
  <si>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</si>
  <si>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</si>
  <si>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</si>
  <si>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</si>
  <si>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</si>
  <si>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</si>
  <si>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</si>
  <si>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</si>
  <si>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</si>
  <si>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</si>
  <si>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</si>
  <si>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</si>
  <si>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</si>
  <si>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</si>
  <si>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</si>
  <si>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</si>
  <si>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</si>
  <si>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</si>
  <si>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</si>
  <si>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</si>
  <si>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</si>
  <si>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</si>
  <si>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</si>
  <si>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</si>
  <si>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</si>
  <si>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</si>
  <si>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</si>
  <si>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</si>
  <si>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</si>
  <si>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</si>
  <si>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</si>
  <si>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</si>
  <si>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</si>
  <si>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</si>
  <si>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</si>
  <si>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</si>
  <si>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</si>
  <si>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</si>
  <si>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</si>
  <si>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</si>
  <si>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</si>
  <si>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</si>
  <si>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</si>
  <si>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</si>
  <si>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</si>
  <si>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</si>
  <si>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</si>
  <si>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</si>
  <si>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</si>
  <si>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</si>
  <si>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</si>
  <si>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</si>
  <si>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</si>
  <si>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</si>
  <si>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</si>
  <si>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</si>
  <si>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</si>
  <si>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</si>
  <si>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</si>
  <si>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</si>
  <si>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</si>
  <si>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</si>
  <si>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</si>
  <si>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</si>
  <si>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</si>
  <si>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</si>
  <si>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</si>
  <si>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</si>
  <si>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</si>
  <si>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</si>
  <si>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</si>
  <si>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</si>
  <si>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</si>
  <si>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</si>
  <si>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</si>
  <si>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</si>
  <si>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</si>
  <si>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</si>
  <si>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</si>
  <si>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</si>
  <si>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</si>
  <si>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</si>
  <si>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</si>
  <si>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</si>
  <si>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</si>
  <si>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</si>
  <si>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</si>
  <si>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</si>
  <si>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</si>
  <si>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</si>
  <si>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</si>
  <si>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</si>
  <si>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</si>
  <si>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</si>
  <si>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</si>
  <si>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</si>
  <si>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</si>
  <si>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</si>
  <si>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</si>
  <si>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</si>
  <si>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</si>
  <si>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</si>
  <si>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</si>
  <si>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</si>
  <si>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</si>
  <si>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</si>
  <si>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</si>
  <si>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</si>
  <si>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</si>
  <si>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</si>
  <si>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</si>
  <si>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</si>
  <si>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</si>
  <si>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</si>
  <si>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</si>
  <si>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</si>
  <si>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</si>
  <si>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</si>
  <si>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</si>
  <si>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</si>
  <si>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</si>
  <si>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</si>
  <si>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</si>
  <si>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</si>
  <si>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</si>
  <si>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</si>
  <si>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</si>
  <si>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</si>
  <si>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</si>
  <si>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</si>
  <si>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</si>
  <si>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</si>
  <si>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</si>
  <si>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</si>
  <si>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</si>
  <si>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</si>
  <si>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</si>
  <si>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</si>
  <si>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</si>
  <si>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</si>
  <si>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</si>
  <si>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</si>
  <si>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</si>
  <si>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</si>
  <si>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</si>
  <si>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</si>
  <si>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</si>
  <si>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</si>
  <si>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</si>
  <si>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</si>
  <si>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</si>
  <si>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</si>
  <si>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</si>
  <si>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</si>
  <si>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</si>
  <si>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</si>
  <si>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</si>
  <si>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</si>
  <si>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</si>
  <si>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</si>
  <si>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</si>
  <si>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</si>
  <si>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</si>
  <si>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</si>
  <si>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</si>
  <si>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</si>
  <si>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</si>
  <si>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</si>
  <si>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</si>
  <si>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</si>
  <si>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</si>
  <si>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</si>
  <si>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</si>
  <si>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</si>
  <si>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</si>
  <si>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</si>
  <si>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</si>
  <si>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</si>
  <si>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</si>
  <si>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</si>
  <si>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</si>
  <si>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</si>
  <si>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</si>
  <si>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</si>
  <si>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</si>
  <si>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</si>
  <si>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</si>
  <si>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</si>
  <si>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</si>
  <si>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</si>
  <si>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</si>
  <si>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</si>
  <si>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</si>
  <si>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</si>
  <si>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</si>
  <si>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</si>
  <si>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</si>
  <si>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</si>
  <si>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</si>
  <si>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</si>
  <si>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</si>
  <si>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</si>
  <si>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</si>
  <si>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</si>
  <si>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</si>
  <si>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</si>
  <si>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</si>
  <si>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</si>
  <si>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</si>
  <si>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</si>
  <si>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</si>
  <si>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</si>
  <si>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</si>
  <si>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</si>
  <si>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</si>
  <si>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</si>
  <si>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</si>
  <si>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</si>
  <si>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</si>
  <si>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</si>
  <si>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</si>
  <si>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</si>
  <si>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</si>
  <si>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</si>
  <si>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</si>
  <si>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</si>
  <si>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</si>
  <si>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</si>
  <si>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</si>
  <si>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</si>
  <si>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</si>
  <si>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</si>
  <si>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</si>
  <si>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</si>
  <si>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</si>
  <si>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</si>
  <si>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</si>
  <si>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</si>
  <si>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</si>
  <si>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</si>
  <si>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</si>
  <si>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</si>
  <si>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</si>
  <si>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</si>
  <si>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</si>
  <si>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</si>
  <si>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</si>
  <si>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</si>
  <si>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</si>
  <si>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</si>
  <si>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</si>
  <si>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</si>
  <si>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</si>
  <si>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</si>
  <si>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</si>
  <si>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</si>
  <si>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</si>
  <si>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</si>
  <si>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</si>
  <si>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</si>
  <si>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</si>
  <si>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</si>
  <si>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</si>
  <si>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</si>
  <si>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</si>
  <si>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</si>
  <si>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</si>
  <si>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</si>
  <si>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</si>
  <si>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</si>
  <si>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</si>
  <si>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</si>
  <si>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</si>
  <si>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</si>
  <si>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</si>
  <si>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</si>
  <si>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</si>
  <si>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</si>
  <si>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</si>
  <si>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</si>
  <si>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</si>
  <si>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</si>
  <si>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</si>
  <si>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</si>
  <si>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</si>
  <si>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</si>
  <si>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</si>
  <si>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</si>
  <si>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</si>
  <si>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</si>
  <si>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</si>
  <si>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</si>
  <si>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</si>
  <si>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</si>
  <si>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</si>
  <si>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</si>
  <si>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</si>
  <si>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</si>
  <si>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</si>
  <si>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</si>
  <si>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</si>
  <si>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</si>
  <si>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</si>
  <si>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</si>
  <si>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</si>
  <si>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</si>
  <si>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</si>
  <si>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</si>
  <si>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</si>
  <si>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</si>
  <si>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</si>
  <si>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</si>
  <si>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</si>
  <si>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</si>
  <si>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</si>
  <si>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</si>
  <si>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</si>
  <si>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</si>
  <si>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</si>
  <si>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</si>
  <si>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</si>
  <si>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</si>
  <si>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</si>
  <si>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</si>
  <si>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</si>
  <si>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</si>
  <si>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</si>
  <si>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</si>
  <si>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</si>
  <si>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</si>
  <si>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</si>
  <si>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</si>
  <si>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</si>
  <si>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</si>
  <si>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</si>
  <si>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</si>
  <si>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</si>
  <si>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</si>
  <si>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</si>
  <si>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</si>
  <si>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</si>
  <si>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</si>
  <si>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</si>
  <si>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</si>
  <si>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</si>
  <si>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</si>
  <si>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</si>
  <si>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</si>
  <si>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</si>
  <si>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</si>
  <si>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</si>
  <si>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</si>
  <si>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</si>
  <si>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</si>
  <si>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</si>
  <si>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</si>
  <si>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</si>
  <si>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</si>
  <si>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</si>
  <si>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</si>
  <si>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</si>
  <si>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</si>
  <si>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</si>
  <si>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</si>
  <si>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</si>
  <si>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</si>
  <si>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</si>
  <si>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</si>
  <si>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</si>
  <si>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</si>
  <si>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</si>
  <si>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</si>
  <si>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</si>
  <si>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</si>
  <si>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</si>
  <si>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</si>
  <si>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</si>
  <si>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</si>
  <si>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</si>
  <si>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</si>
  <si>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</si>
  <si>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</si>
  <si>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</si>
  <si>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</si>
  <si>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</si>
  <si>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</si>
  <si>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</si>
  <si>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</si>
  <si>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</si>
  <si>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</si>
  <si>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</si>
  <si>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</si>
  <si>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</si>
  <si>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</si>
  <si>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</si>
  <si>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</si>
  <si>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</si>
  <si>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</si>
  <si>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</si>
  <si>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</si>
  <si>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</si>
  <si>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</si>
  <si>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</si>
  <si>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</si>
  <si>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</si>
  <si>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</si>
  <si>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</si>
  <si>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</si>
  <si>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</si>
  <si>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</si>
  <si>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</si>
  <si>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</si>
  <si>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</si>
  <si>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</si>
  <si>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</si>
  <si>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</si>
  <si>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</si>
  <si>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</si>
  <si>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</si>
  <si>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</si>
  <si>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</si>
  <si>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</si>
  <si>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</si>
  <si>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</si>
  <si>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</si>
  <si>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</si>
  <si>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</si>
  <si>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</si>
  <si>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</si>
  <si>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</si>
  <si>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</si>
  <si>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</si>
  <si>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</si>
  <si>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</si>
  <si>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</si>
  <si>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</si>
  <si>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</si>
  <si>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</si>
  <si>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</si>
  <si>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</si>
  <si>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</si>
  <si>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</si>
  <si>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</si>
  <si>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</si>
  <si>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</si>
  <si>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</si>
  <si>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</si>
  <si>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</si>
  <si>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</si>
  <si>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</si>
  <si>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</si>
  <si>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</si>
  <si>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</si>
  <si>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</si>
  <si>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</si>
  <si>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</si>
  <si>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</si>
  <si>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</si>
  <si>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</si>
  <si>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</si>
  <si>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</si>
  <si>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</si>
  <si>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</si>
  <si>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</si>
  <si>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</si>
  <si>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</si>
  <si>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</si>
  <si>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</si>
  <si>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</si>
  <si>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</si>
  <si>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</si>
  <si>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</si>
  <si>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</si>
  <si>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</si>
  <si>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</si>
  <si>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</si>
  <si>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</si>
  <si>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</si>
  <si>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</si>
  <si>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</si>
  <si>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</si>
  <si>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</si>
  <si>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</si>
  <si>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</si>
  <si>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</si>
  <si>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</si>
  <si>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</si>
  <si>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</si>
  <si>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</si>
  <si>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</si>
  <si>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</si>
  <si>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</si>
  <si>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</si>
  <si>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</si>
  <si>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</si>
  <si>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</si>
  <si>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</si>
  <si>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</si>
  <si>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</si>
  <si>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</si>
  <si>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</si>
  <si>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</si>
  <si>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</si>
  <si>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</si>
  <si>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</si>
  <si>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</si>
  <si>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</si>
  <si>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</si>
  <si>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</si>
  <si>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</si>
  <si>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</si>
  <si>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</si>
  <si>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</si>
  <si>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</si>
  <si>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</si>
  <si>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</si>
  <si>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</si>
  <si>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</si>
  <si>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</si>
  <si>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</si>
  <si>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</si>
  <si>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</si>
  <si>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</si>
  <si>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</si>
  <si>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</si>
  <si>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</si>
  <si>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</si>
  <si>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</si>
  <si>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</si>
  <si>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</si>
  <si>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</si>
  <si>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</si>
  <si>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</si>
  <si>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</si>
  <si>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</si>
  <si>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</si>
  <si>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</si>
  <si>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</si>
  <si>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</si>
  <si>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</si>
  <si>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</si>
  <si>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</si>
  <si>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</si>
  <si>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</si>
  <si>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</si>
  <si>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</si>
  <si>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</si>
  <si>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</si>
  <si>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</si>
  <si>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</si>
  <si>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</si>
  <si>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</si>
  <si>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</si>
  <si>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</si>
  <si>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</si>
  <si>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</si>
  <si>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</si>
  <si>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</si>
  <si>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</si>
  <si>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</si>
  <si>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</si>
  <si>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</si>
  <si>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</si>
  <si>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</si>
  <si>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</si>
  <si>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</si>
  <si>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</si>
  <si>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</si>
  <si>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</si>
  <si>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</si>
  <si>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</si>
  <si>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</si>
  <si>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</si>
  <si>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</si>
  <si>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</si>
  <si>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</si>
  <si>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</si>
  <si>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</si>
  <si>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</si>
  <si>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</si>
  <si>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</si>
  <si>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</si>
  <si>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</si>
  <si>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</si>
  <si>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</si>
  <si>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</si>
  <si>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</si>
  <si>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</si>
  <si>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</si>
  <si>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</si>
  <si>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</si>
  <si>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</si>
  <si>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</si>
  <si>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</si>
  <si>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</si>
  <si>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</si>
  <si>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</si>
  <si>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</si>
  <si>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</si>
  <si>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</si>
  <si>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</si>
  <si>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</si>
  <si>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</si>
  <si>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</si>
  <si>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</si>
  <si>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</si>
  <si>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</si>
  <si>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</si>
  <si>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</si>
  <si>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</si>
  <si>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</si>
  <si>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</si>
  <si>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</si>
  <si>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</si>
  <si>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</si>
  <si>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</si>
  <si>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</si>
  <si>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</si>
  <si>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</si>
  <si>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</si>
  <si>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</si>
  <si>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</si>
  <si>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</si>
  <si>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</si>
  <si>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</si>
  <si>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</si>
  <si>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</si>
  <si>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</si>
  <si>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</si>
  <si>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</si>
  <si>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</si>
  <si>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</si>
  <si>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</si>
  <si>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</si>
  <si>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</si>
  <si>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</si>
  <si>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</si>
  <si>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</si>
  <si>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</si>
  <si>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</si>
  <si>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</si>
  <si>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</si>
  <si>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</si>
  <si>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</si>
  <si>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</si>
  <si>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</si>
  <si>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</si>
  <si>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</si>
  <si>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</si>
  <si>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</si>
  <si>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</si>
  <si>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</si>
  <si>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</si>
  <si>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</si>
  <si>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</si>
  <si>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</si>
  <si>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</si>
  <si>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</si>
  <si>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</si>
  <si>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</si>
  <si>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</si>
  <si>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</si>
  <si>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</si>
  <si>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</si>
  <si>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</si>
  <si>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</si>
  <si>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</si>
  <si>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</si>
  <si>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</si>
  <si>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</si>
  <si>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</si>
  <si>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</si>
  <si>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</si>
  <si>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</si>
  <si>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</si>
  <si>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</si>
  <si>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</si>
  <si>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</si>
  <si>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</si>
  <si>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</si>
  <si>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</si>
  <si>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</si>
  <si>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</si>
  <si>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</si>
  <si>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</si>
  <si>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</si>
  <si>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</si>
  <si>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</si>
  <si>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</si>
  <si>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</si>
  <si>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</si>
  <si>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</si>
  <si>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</si>
  <si>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</si>
  <si>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</si>
  <si>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</si>
  <si>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</si>
  <si>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</si>
  <si>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</si>
  <si>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</si>
  <si>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</si>
  <si>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</si>
  <si>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</si>
  <si>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</si>
  <si>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</si>
  <si>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</si>
  <si>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</si>
  <si>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</si>
  <si>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</si>
  <si>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</si>
  <si>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</si>
  <si>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</si>
  <si>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</si>
  <si>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</si>
  <si>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</si>
  <si>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</si>
  <si>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</si>
  <si>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</si>
  <si>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</si>
  <si>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</si>
  <si>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</si>
  <si>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</si>
  <si>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</si>
  <si>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</si>
  <si>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</si>
  <si>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</si>
  <si>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</si>
  <si>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</si>
  <si>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</si>
  <si>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</si>
  <si>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</si>
  <si>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</si>
  <si>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</si>
  <si>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</si>
  <si>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</si>
  <si>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</si>
  <si>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</si>
  <si>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</si>
  <si>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</si>
  <si>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</si>
  <si>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</si>
  <si>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</si>
  <si>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</si>
  <si>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</si>
  <si>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</si>
  <si>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</si>
  <si>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</si>
  <si>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</si>
  <si>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</si>
  <si>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</si>
  <si>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</si>
  <si>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</si>
  <si>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</si>
  <si>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</si>
  <si>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</si>
  <si>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</si>
  <si>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</si>
  <si>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</si>
  <si>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</si>
  <si>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</si>
  <si>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</si>
  <si>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</si>
  <si>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</si>
  <si>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</si>
  <si>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</si>
  <si>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</si>
  <si>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</si>
  <si>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</si>
  <si>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</si>
  <si>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</si>
  <si>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</si>
  <si>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</si>
  <si>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</si>
  <si>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</si>
  <si>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</si>
  <si>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</si>
  <si>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</si>
  <si>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</si>
  <si>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</si>
  <si>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</si>
  <si>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</si>
  <si>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</si>
  <si>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</si>
  <si>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</si>
  <si>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</si>
  <si>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</si>
  <si>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</si>
  <si>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</si>
  <si>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</si>
  <si>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</si>
  <si>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</si>
  <si>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</si>
  <si>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</si>
  <si>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</si>
  <si>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</si>
  <si>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</si>
  <si>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</si>
  <si>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</si>
  <si>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</si>
  <si>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</si>
  <si>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</si>
  <si>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</si>
  <si>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</si>
  <si>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</si>
  <si>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</si>
  <si>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</si>
  <si>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</si>
  <si>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</si>
  <si>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</si>
  <si>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</si>
  <si>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</si>
  <si>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</si>
  <si>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</si>
  <si>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</si>
  <si>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</si>
  <si>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</si>
  <si>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</si>
  <si>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</si>
  <si>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</si>
  <si>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</si>
  <si>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</si>
  <si>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</si>
  <si>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</si>
  <si>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</si>
  <si>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</si>
  <si>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</si>
  <si>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</si>
  <si>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</si>
  <si>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</si>
  <si>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</si>
  <si>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</si>
  <si>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</si>
  <si>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</si>
  <si>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</si>
  <si>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</si>
  <si>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</si>
  <si>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</si>
  <si>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</si>
  <si>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</si>
  <si>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</si>
  <si>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</si>
  <si>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</si>
  <si>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</si>
  <si>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</si>
  <si>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</si>
  <si>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</si>
  <si>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</si>
  <si>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</si>
  <si>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</si>
  <si>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</si>
  <si>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</si>
  <si>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</si>
  <si>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</si>
  <si>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</si>
  <si>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</si>
  <si>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</si>
  <si>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</si>
  <si>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</si>
  <si>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</si>
  <si>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</si>
  <si>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</si>
  <si>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</si>
  <si>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</si>
  <si>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</si>
  <si>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</si>
  <si>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</si>
  <si>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</si>
  <si>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</si>
  <si>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</si>
  <si>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</si>
  <si>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</si>
  <si>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</si>
  <si>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</si>
  <si>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</si>
  <si>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</si>
  <si>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</si>
  <si>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</si>
  <si>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</si>
  <si>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</si>
  <si>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</si>
  <si>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</si>
  <si>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</si>
  <si>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</si>
  <si>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</si>
  <si>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</si>
  <si>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</si>
  <si>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</si>
  <si>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</si>
  <si>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</si>
  <si>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</si>
  <si>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</si>
  <si>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</si>
  <si>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</si>
  <si>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</si>
  <si>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</si>
  <si>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</si>
  <si>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</si>
  <si>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</si>
  <si>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</si>
  <si>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</si>
  <si>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</si>
  <si>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</si>
  <si>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</si>
  <si>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</si>
  <si>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</si>
  <si>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</si>
  <si>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</si>
  <si>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</si>
  <si>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</si>
  <si>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</si>
  <si>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</si>
  <si>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</si>
  <si>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</si>
  <si>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</si>
  <si>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</si>
  <si>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</si>
  <si>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</si>
  <si>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</si>
  <si>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</si>
  <si>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</si>
  <si>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</si>
  <si>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</si>
  <si>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</si>
  <si>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</si>
  <si>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</si>
  <si>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</si>
  <si>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</si>
  <si>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</si>
  <si>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</si>
  <si>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</si>
  <si>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</si>
  <si>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</si>
  <si>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</si>
  <si>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</si>
  <si>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</si>
  <si>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</si>
  <si>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</si>
  <si>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</si>
  <si>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</si>
  <si>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</si>
  <si>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</si>
  <si>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</si>
  <si>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</si>
  <si>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</si>
  <si>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</si>
  <si>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</si>
  <si>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</si>
  <si>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</si>
  <si>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</si>
  <si>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</si>
  <si>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</si>
  <si>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</si>
  <si>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</si>
  <si>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</si>
  <si>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</si>
  <si>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</si>
  <si>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</si>
  <si>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</si>
  <si>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</si>
  <si>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</si>
  <si>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</si>
  <si>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</si>
  <si>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</si>
  <si>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</si>
  <si>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</si>
  <si>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</si>
  <si>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</si>
  <si>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</si>
  <si>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</si>
  <si>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</si>
  <si>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</si>
  <si>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</si>
  <si>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</si>
  <si>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</si>
  <si>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</si>
  <si>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</si>
  <si>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</si>
  <si>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</si>
  <si>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</si>
  <si>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</si>
  <si>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</si>
  <si>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</si>
  <si>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</si>
  <si>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</si>
  <si>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</si>
  <si>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</si>
  <si>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</si>
  <si>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</si>
  <si>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</si>
  <si>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</si>
  <si>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</si>
  <si>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</si>
  <si>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</si>
  <si>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</si>
  <si>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</si>
  <si>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</si>
  <si>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</si>
  <si>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</si>
  <si>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</si>
  <si>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</si>
  <si>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</si>
  <si>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</si>
  <si>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</si>
  <si>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</si>
  <si>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</si>
  <si>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</si>
  <si>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</si>
  <si>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</si>
  <si>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</si>
  <si>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</si>
  <si>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</si>
  <si>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</si>
  <si>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</si>
  <si>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</si>
  <si>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</si>
  <si>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</si>
  <si>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</si>
  <si>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</si>
  <si>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</si>
  <si>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</si>
  <si>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</si>
  <si>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</si>
  <si>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</si>
  <si>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</si>
  <si>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</si>
  <si>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</si>
  <si>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</si>
  <si>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</si>
  <si>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</si>
  <si>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</si>
  <si>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</si>
  <si>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</si>
  <si>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</si>
  <si>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</si>
  <si>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</si>
  <si>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</si>
  <si>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</si>
  <si>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</si>
  <si>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</si>
  <si>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</si>
  <si>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</si>
  <si>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</si>
  <si>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</si>
  <si>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</si>
  <si>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</si>
  <si>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</si>
  <si>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</si>
  <si>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</si>
  <si>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</si>
  <si>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</si>
  <si>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</si>
  <si>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</si>
  <si>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</si>
  <si>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</si>
  <si>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</si>
  <si>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</si>
  <si>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</si>
  <si>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</si>
  <si>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</si>
  <si>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</si>
  <si>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</si>
  <si>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</si>
  <si>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</si>
  <si>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</si>
  <si>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</si>
  <si>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</si>
  <si>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</si>
  <si>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</si>
  <si>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</si>
  <si>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</si>
  <si>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</si>
  <si>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</si>
  <si>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</si>
  <si>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</si>
  <si>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</si>
  <si>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</si>
  <si>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</si>
  <si>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</si>
  <si>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</si>
  <si>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</si>
  <si>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</si>
  <si>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</si>
  <si>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</si>
  <si>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</si>
  <si>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</si>
  <si>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</si>
  <si>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</si>
  <si>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</si>
  <si>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</si>
  <si>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</si>
  <si>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</si>
  <si>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</si>
  <si>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</si>
  <si>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</si>
  <si>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</si>
  <si>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</si>
  <si>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</si>
  <si>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</si>
  <si>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</si>
  <si>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</si>
  <si>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</si>
  <si>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</si>
  <si>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</si>
  <si>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</si>
  <si>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</si>
  <si>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</si>
  <si>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</si>
  <si>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</si>
  <si>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</si>
  <si>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</si>
  <si>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</si>
  <si>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</si>
  <si>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</si>
  <si>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</si>
  <si>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</si>
  <si>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</si>
  <si>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</si>
  <si>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</si>
  <si>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</si>
  <si>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</si>
  <si>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</si>
  <si>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</si>
  <si>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</si>
  <si>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</si>
  <si>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</si>
  <si>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</si>
  <si>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</si>
  <si>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</si>
  <si>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</si>
  <si>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</si>
  <si>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</si>
  <si>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</si>
  <si>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</si>
  <si>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</si>
  <si>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</si>
  <si>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</si>
  <si>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</si>
  <si>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</si>
  <si>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</si>
  <si>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</si>
  <si>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</si>
  <si>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</si>
  <si>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</si>
  <si>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</si>
  <si>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</si>
  <si>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</si>
  <si>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</si>
  <si>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</si>
  <si>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</si>
  <si>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</si>
  <si>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</si>
  <si>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</si>
  <si>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</si>
  <si>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</si>
  <si>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</si>
  <si>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</si>
  <si>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</si>
  <si>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</si>
  <si>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</si>
  <si>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</si>
  <si>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</si>
  <si>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</si>
  <si>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</si>
  <si>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</si>
  <si>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</si>
  <si>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</si>
  <si>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</si>
  <si>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</si>
  <si>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</si>
  <si>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</si>
  <si>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</si>
  <si>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</si>
  <si>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</si>
  <si>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</si>
  <si>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</si>
  <si>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</si>
  <si>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</si>
  <si>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</si>
  <si>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</si>
  <si>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</si>
  <si>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</si>
  <si>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</si>
  <si>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</si>
  <si>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</si>
  <si>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</si>
  <si>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</si>
  <si>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</si>
  <si>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</si>
  <si>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</si>
  <si>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</si>
  <si>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</si>
  <si>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</si>
  <si>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</si>
  <si>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</si>
  <si>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</si>
  <si>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</si>
  <si>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</si>
  <si>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</si>
  <si>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</si>
  <si>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</si>
  <si>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</si>
  <si>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</si>
  <si>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</si>
  <si>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</si>
  <si>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</si>
  <si>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</si>
  <si>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</si>
  <si>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</si>
  <si>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</si>
  <si>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</si>
  <si>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</si>
  <si>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</si>
  <si>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</si>
  <si>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</si>
  <si>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</si>
  <si>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</si>
  <si>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</si>
  <si>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</si>
  <si>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</si>
  <si>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</si>
  <si>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</si>
  <si>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</si>
  <si>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</si>
  <si>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</si>
  <si>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</si>
  <si>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</si>
  <si>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</si>
  <si>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</si>
  <si>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</si>
  <si>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</si>
  <si>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</si>
  <si>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</si>
  <si>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</si>
  <si>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</si>
  <si>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</si>
  <si>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</si>
  <si>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</si>
  <si>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</si>
  <si>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</si>
  <si>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</si>
  <si>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</si>
  <si>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</si>
  <si>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</si>
  <si>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</si>
  <si>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</si>
  <si>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</si>
  <si>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</si>
  <si>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</si>
  <si>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</si>
  <si>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</si>
  <si>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</si>
  <si>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</si>
  <si>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</si>
  <si>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</si>
  <si>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</si>
  <si>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</si>
  <si>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</si>
  <si>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</si>
  <si>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</si>
  <si>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</si>
  <si>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</si>
  <si>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</si>
  <si>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</si>
  <si>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</si>
  <si>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</si>
  <si>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</si>
  <si>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</si>
  <si>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</si>
  <si>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</si>
  <si>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</si>
  <si>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</si>
  <si>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</si>
  <si>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</si>
  <si>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</si>
  <si>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</si>
  <si>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</si>
  <si>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</si>
  <si>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</si>
  <si>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</si>
  <si>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</si>
  <si>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</si>
  <si>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</si>
  <si>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</si>
  <si>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</si>
  <si>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</si>
  <si>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</si>
  <si>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</si>
  <si>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</si>
  <si>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</si>
  <si>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</si>
  <si>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</si>
  <si>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</si>
  <si>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</si>
  <si>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</si>
  <si>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</si>
  <si>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</si>
  <si>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</si>
  <si>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</si>
  <si>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</si>
  <si>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</si>
  <si>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</si>
  <si>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</si>
  <si>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</si>
  <si>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</si>
  <si>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</si>
  <si>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</si>
  <si>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</si>
  <si>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</si>
  <si>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</si>
  <si>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</si>
  <si>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</si>
  <si>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</si>
  <si>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</si>
  <si>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</si>
  <si>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</si>
  <si>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</si>
  <si>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</si>
  <si>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</si>
  <si>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</si>
  <si>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</si>
  <si>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</si>
  <si>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</si>
  <si>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</si>
  <si>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</si>
  <si>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</si>
  <si>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</si>
  <si>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</si>
  <si>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</si>
  <si>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</si>
  <si>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</si>
  <si>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</si>
  <si>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</si>
  <si>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</si>
  <si>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</si>
  <si>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</si>
  <si>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</si>
  <si>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</si>
  <si>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</si>
  <si>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</si>
  <si>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</si>
  <si>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</si>
  <si>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</si>
  <si>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</si>
  <si>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</si>
  <si>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</si>
  <si>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</si>
  <si>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</si>
  <si>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</si>
  <si>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</si>
  <si>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</si>
  <si>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</si>
  <si>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</si>
  <si>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</si>
  <si>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</si>
  <si>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</si>
  <si>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</si>
  <si>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</si>
  <si>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</si>
  <si>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</si>
  <si>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</si>
  <si>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</si>
  <si>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</si>
  <si>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</si>
  <si>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</si>
  <si>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</si>
  <si>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</si>
  <si>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</si>
  <si>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</si>
  <si>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</si>
  <si>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</si>
  <si>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</si>
  <si>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</si>
  <si>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</si>
  <si>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</si>
  <si>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</si>
  <si>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</si>
  <si>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</si>
  <si>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</si>
  <si>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</si>
  <si>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</si>
  <si>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</si>
  <si>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</si>
  <si>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</si>
  <si>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</si>
  <si>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</si>
  <si>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</si>
  <si>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</si>
  <si>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</si>
  <si>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</si>
  <si>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</si>
  <si>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</si>
  <si>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</si>
  <si>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</si>
  <si>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</si>
  <si>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</si>
  <si>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</si>
  <si>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</si>
  <si>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</si>
  <si>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</si>
  <si>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</si>
  <si>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</si>
  <si>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</si>
  <si>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</si>
  <si>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</si>
  <si>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</si>
  <si>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</si>
  <si>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</si>
  <si>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</si>
  <si>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</si>
  <si>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</si>
  <si>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</si>
  <si>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</si>
  <si>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</si>
  <si>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</si>
  <si>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</si>
  <si>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</si>
  <si>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</si>
  <si>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</si>
  <si>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</si>
  <si>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</si>
  <si>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</si>
  <si>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</si>
  <si>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</si>
  <si>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</si>
  <si>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</si>
  <si>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</si>
  <si>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</si>
  <si>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</si>
  <si>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</si>
  <si>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</si>
  <si>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</si>
  <si>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</si>
  <si>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</si>
  <si>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</si>
  <si>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</si>
  <si>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</si>
  <si>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</si>
  <si>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</si>
  <si>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</si>
  <si>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</si>
  <si>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</si>
  <si>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</si>
  <si>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</si>
  <si>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</si>
  <si>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</si>
  <si>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</si>
  <si>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</si>
  <si>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</si>
  <si>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</si>
  <si>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</si>
  <si>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</si>
  <si>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</si>
  <si>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</si>
  <si>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</si>
  <si>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</si>
  <si>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</si>
  <si>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</si>
  <si>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</si>
  <si>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</si>
  <si>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</si>
  <si>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</si>
  <si>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</si>
  <si>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</si>
  <si>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</si>
  <si>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</si>
  <si>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</si>
  <si>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</si>
  <si>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</si>
  <si>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</si>
  <si>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</si>
  <si>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</si>
  <si>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</si>
  <si>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</si>
  <si>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</si>
  <si>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</si>
  <si>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</si>
  <si>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</si>
  <si>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</si>
  <si>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</si>
  <si>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</si>
  <si>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</si>
  <si>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</si>
  <si>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</si>
  <si>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</si>
  <si>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</si>
  <si>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</si>
  <si>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</si>
  <si>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</si>
  <si>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</si>
  <si>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</si>
  <si>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</si>
  <si>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</si>
  <si>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</si>
  <si>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</si>
  <si>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</si>
  <si>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</si>
  <si>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</si>
  <si>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</si>
  <si>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</si>
  <si>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</si>
  <si>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</si>
  <si>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</si>
  <si>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</si>
  <si>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</si>
  <si>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</si>
  <si>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</si>
  <si>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</si>
  <si>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</si>
  <si>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</si>
  <si>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</si>
  <si>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</si>
  <si>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</si>
  <si>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</si>
  <si>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</si>
  <si>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</si>
  <si>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</si>
  <si>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</si>
  <si>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</si>
  <si>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</si>
  <si>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</si>
  <si>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</si>
  <si>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</si>
  <si>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</si>
  <si>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</si>
  <si>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</si>
  <si>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</si>
  <si>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</si>
  <si>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</si>
  <si>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</si>
  <si>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</si>
  <si>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</si>
  <si>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</si>
  <si>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</si>
  <si>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</si>
  <si>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</si>
  <si>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</si>
  <si>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</si>
  <si>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</si>
  <si>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</si>
  <si>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</si>
  <si>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</si>
  <si>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</si>
  <si>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</si>
  <si>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</si>
  <si>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</si>
  <si>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</si>
  <si>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</si>
  <si>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</si>
  <si>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</si>
  <si>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</si>
  <si>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</si>
  <si>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</si>
  <si>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</si>
  <si>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</si>
  <si>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</si>
  <si>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</si>
  <si>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</si>
  <si>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</si>
  <si>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</si>
  <si>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</si>
  <si>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</si>
  <si>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</si>
  <si>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</si>
  <si>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</si>
  <si>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</si>
  <si>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</si>
  <si>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</si>
  <si>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</si>
  <si>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</si>
  <si>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</si>
  <si>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</si>
  <si>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</si>
  <si>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</si>
  <si>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</si>
  <si>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</si>
  <si>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</si>
  <si>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</si>
  <si>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</si>
  <si>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</si>
  <si>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</si>
  <si>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</si>
  <si>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</si>
  <si>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</si>
  <si>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</si>
  <si>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</si>
  <si>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</si>
  <si>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</si>
  <si>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</si>
  <si>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</si>
  <si>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</si>
  <si>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</si>
  <si>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</si>
  <si>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</si>
  <si>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</si>
  <si>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</si>
  <si>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</si>
  <si>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</si>
  <si>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</si>
  <si>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</si>
  <si>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</si>
  <si>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</si>
  <si>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</si>
  <si>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</si>
  <si>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</si>
  <si>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</si>
  <si>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</si>
  <si>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</si>
  <si>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</si>
  <si>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</si>
  <si>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</si>
  <si>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</si>
  <si>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</si>
  <si>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</si>
  <si>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</si>
  <si>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</si>
  <si>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</si>
  <si>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</si>
  <si>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</si>
  <si>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</si>
  <si>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</si>
  <si>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</si>
  <si>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</si>
  <si>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</si>
  <si>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</si>
  <si>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</si>
  <si>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</si>
  <si>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</si>
  <si>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</si>
  <si>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</si>
  <si>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</si>
  <si>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</si>
  <si>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</si>
  <si>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</si>
  <si>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</si>
  <si>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</si>
  <si>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</si>
  <si>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</si>
  <si>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</si>
  <si>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</si>
  <si>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</si>
  <si>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TEMP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</si>
  <si>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</si>
  <si>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</si>
  <si>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</si>
  <si>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</si>
  <si>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</si>
  <si>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</si>
  <si>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</si>
  <si>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</si>
  <si>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</si>
  <si>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</si>
  <si>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</si>
  <si>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</si>
  <si>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</si>
  <si>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</si>
  <si>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</si>
  <si>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</si>
  <si>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</si>
  <si>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</si>
  <si>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</si>
  <si>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</si>
  <si>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</si>
  <si>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</si>
  <si>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</si>
  <si>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</si>
  <si>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</si>
  <si>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</si>
  <si>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</si>
  <si>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</si>
  <si>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</si>
  <si>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</si>
  <si>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</si>
  <si>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</si>
  <si>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</si>
  <si>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</si>
  <si>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</si>
  <si>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</si>
  <si>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</si>
  <si>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</si>
  <si>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</si>
  <si>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</si>
  <si>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</si>
  <si>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</si>
  <si>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</si>
  <si>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</si>
  <si>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</si>
  <si>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</si>
  <si>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</si>
  <si>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</si>
  <si>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</si>
  <si>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</si>
  <si>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</si>
  <si>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</si>
  <si>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</si>
  <si>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</si>
  <si>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</si>
  <si>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</si>
  <si>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</si>
  <si>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</si>
  <si>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</si>
  <si>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</si>
  <si>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</si>
  <si>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</si>
  <si>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</si>
  <si>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</si>
  <si>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</si>
  <si>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</si>
  <si>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</si>
  <si>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</si>
  <si>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</si>
  <si>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</si>
  <si>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</si>
  <si>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</si>
  <si>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</si>
  <si>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</si>
  <si>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</si>
  <si>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</si>
  <si>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</si>
  <si>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</si>
  <si>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</si>
  <si>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</si>
  <si>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</si>
  <si>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</si>
  <si>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</si>
  <si>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</si>
  <si>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</si>
  <si>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</si>
  <si>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</si>
  <si>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</si>
  <si>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</si>
  <si>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</si>
  <si>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</si>
  <si>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</si>
  <si>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</si>
  <si>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</si>
  <si>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</si>
  <si>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</si>
  <si>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</si>
  <si>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</si>
  <si>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</si>
  <si>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</si>
  <si>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</si>
  <si>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</si>
  <si>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</si>
  <si>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</si>
  <si>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</si>
  <si>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</si>
  <si>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</si>
  <si>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</si>
  <si>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</si>
  <si>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</si>
  <si>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</si>
  <si>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</si>
  <si>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</si>
  <si>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</si>
  <si>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</si>
  <si>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</si>
  <si>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</si>
  <si>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</si>
  <si>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</si>
  <si>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</si>
  <si>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</si>
  <si>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</si>
  <si>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</si>
  <si>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</si>
  <si>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</si>
  <si>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</si>
  <si>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</si>
  <si>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</si>
  <si>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</si>
  <si>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</si>
  <si>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</si>
  <si>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</si>
  <si>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</si>
  <si>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</si>
  <si>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</si>
  <si>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</si>
  <si>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</si>
  <si>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</si>
  <si>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</si>
  <si>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</si>
  <si>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</si>
  <si>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</si>
  <si>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</si>
  <si>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</si>
  <si>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</si>
  <si>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</si>
  <si>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</si>
  <si>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</si>
  <si>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</si>
  <si>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</si>
  <si>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</si>
  <si>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</si>
  <si>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</si>
  <si>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</si>
  <si>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</si>
  <si>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</si>
  <si>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</si>
  <si>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</si>
  <si>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</si>
  <si>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</si>
  <si>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</si>
  <si>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</si>
  <si>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</si>
  <si>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</si>
  <si>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</si>
  <si>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</si>
  <si>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</si>
  <si>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</si>
  <si>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</si>
  <si>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</si>
  <si>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</si>
  <si>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</si>
  <si>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</si>
  <si>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</si>
  <si>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</si>
  <si>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</si>
  <si>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</si>
  <si>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</si>
  <si>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</si>
  <si>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</si>
  <si>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</si>
  <si>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</si>
  <si>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</si>
  <si>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</si>
  <si>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</si>
  <si>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</si>
  <si>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</si>
  <si>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</si>
  <si>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</si>
  <si>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</si>
  <si>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</si>
  <si>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</si>
  <si>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</si>
  <si>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</si>
  <si>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</si>
  <si>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</si>
  <si>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</si>
  <si>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</si>
  <si>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</si>
  <si>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</si>
  <si>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</si>
  <si>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</si>
  <si>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</si>
  <si>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</si>
  <si>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</si>
  <si>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</si>
  <si>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</si>
  <si>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</si>
  <si>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</si>
  <si>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</si>
  <si>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</si>
  <si>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</si>
  <si>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</si>
  <si>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</si>
  <si>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</si>
  <si>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</si>
  <si>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</si>
  <si>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</si>
  <si>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</si>
  <si>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</si>
  <si>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</si>
  <si>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</si>
  <si>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</si>
  <si>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</si>
  <si>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</si>
  <si>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</si>
  <si>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</si>
  <si>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</si>
  <si>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</si>
  <si>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</si>
  <si>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</si>
  <si>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</si>
  <si>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</si>
  <si>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</si>
  <si>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</si>
  <si>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</si>
  <si>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</si>
  <si>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</si>
  <si>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</si>
  <si>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</si>
  <si>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</si>
  <si>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</si>
  <si>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</si>
  <si>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</si>
  <si>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</si>
  <si>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</si>
  <si>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</si>
  <si>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</si>
  <si>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</si>
  <si>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</si>
  <si>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</si>
  <si>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</si>
  <si>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</si>
  <si>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</si>
  <si>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</si>
  <si>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</si>
  <si>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</si>
  <si>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</si>
  <si>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</si>
  <si>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</si>
  <si>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</si>
  <si>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</si>
  <si>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</si>
  <si>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</si>
  <si>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</si>
  <si>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</si>
  <si>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</si>
  <si>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</si>
  <si>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</si>
  <si>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</si>
  <si>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</si>
  <si>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</si>
  <si>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</si>
  <si>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</si>
  <si>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</si>
  <si>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</si>
  <si>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</si>
  <si>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</si>
  <si>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</si>
  <si>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</si>
  <si>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</si>
  <si>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</si>
  <si>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</si>
  <si>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</si>
  <si>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</si>
  <si>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</si>
  <si>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</si>
  <si>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</si>
  <si>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</si>
  <si>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</si>
  <si>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</si>
  <si>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</si>
  <si>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</si>
  <si>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</si>
  <si>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</si>
  <si>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</si>
  <si>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</si>
  <si>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</si>
  <si>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</si>
  <si>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</si>
  <si>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</si>
  <si>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</si>
  <si>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</si>
  <si>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</si>
  <si>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</si>
  <si>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</si>
  <si>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</si>
  <si>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</si>
  <si>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</si>
  <si>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</si>
  <si>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</si>
  <si>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</si>
  <si>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</si>
  <si>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</si>
  <si>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</si>
  <si>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</si>
  <si>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</si>
  <si>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</si>
  <si>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</si>
  <si>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</si>
  <si>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</si>
  <si>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</si>
  <si>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</si>
  <si>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</si>
  <si>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</si>
  <si>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</si>
  <si>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</si>
  <si>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</si>
  <si>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</si>
  <si>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</si>
  <si>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</si>
  <si>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</si>
  <si>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</si>
  <si>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</si>
  <si>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</si>
  <si>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</si>
  <si>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</si>
  <si>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</si>
  <si>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</si>
  <si>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</si>
  <si>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</si>
  <si>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</si>
  <si>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</si>
  <si>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</si>
  <si>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</si>
  <si>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</si>
  <si>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</si>
  <si>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</si>
  <si>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</si>
  <si>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</si>
  <si>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</si>
  <si>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</si>
  <si>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</si>
  <si>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</si>
  <si>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</si>
  <si>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</si>
  <si>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</si>
  <si>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</si>
  <si>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</si>
  <si>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</si>
  <si>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</si>
  <si>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</si>
  <si>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</si>
  <si>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</si>
  <si>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</si>
  <si>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</si>
  <si>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</si>
  <si>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</si>
  <si>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</si>
  <si>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</si>
  <si>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</si>
  <si>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</si>
  <si>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</si>
  <si>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</si>
  <si>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</si>
  <si>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</si>
  <si>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</si>
  <si>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</si>
  <si>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</si>
  <si>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</si>
  <si>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</si>
  <si>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</si>
  <si>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</si>
  <si>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</si>
  <si>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</si>
  <si>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</si>
  <si>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</si>
  <si>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</si>
  <si>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</si>
  <si>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</si>
  <si>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</si>
  <si>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</si>
  <si>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</si>
  <si>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</si>
  <si>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</si>
  <si>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</si>
  <si>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</si>
  <si>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</si>
  <si>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</si>
  <si>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</si>
  <si>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</si>
  <si>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</si>
  <si>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</si>
  <si>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</si>
  <si>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</si>
  <si>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</si>
  <si>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</si>
  <si>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</si>
  <si>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</si>
  <si>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</si>
  <si>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</si>
  <si>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</si>
  <si>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</si>
  <si>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</si>
  <si>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</si>
  <si>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</si>
  <si>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</si>
  <si>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</si>
  <si>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</si>
  <si>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</si>
  <si>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</si>
  <si>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</si>
  <si>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</si>
  <si>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</si>
  <si>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</si>
  <si>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</si>
  <si>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</si>
  <si>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</si>
  <si>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</si>
  <si>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</si>
  <si>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</si>
  <si>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</si>
  <si>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</si>
  <si>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</si>
  <si>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</si>
  <si>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</si>
  <si>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</si>
  <si>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</si>
  <si>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</si>
  <si>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</si>
  <si>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</si>
  <si>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</si>
  <si>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</si>
  <si>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</si>
  <si>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</si>
  <si>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</si>
  <si>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</si>
  <si>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</si>
  <si>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</si>
  <si>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</si>
  <si>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</si>
  <si>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</si>
  <si>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</si>
  <si>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</si>
  <si>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</si>
  <si>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</si>
  <si>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</si>
  <si>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</si>
  <si>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</si>
  <si>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</si>
  <si>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</si>
  <si>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</si>
  <si>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</si>
  <si>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</si>
  <si>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</si>
  <si>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</si>
  <si>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</si>
  <si>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</si>
  <si>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</si>
  <si>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</si>
  <si>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</si>
  <si>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</si>
  <si>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</si>
  <si>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</si>
  <si>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</si>
  <si>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</si>
  <si>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</si>
  <si>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</si>
  <si>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</si>
  <si>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</si>
  <si>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</si>
  <si>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</si>
  <si>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</si>
  <si>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</si>
  <si>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</si>
  <si>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</si>
  <si>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</si>
  <si>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</si>
  <si>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</si>
  <si>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</si>
  <si>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</si>
  <si>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</si>
  <si>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</si>
  <si>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</si>
  <si>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</si>
  <si>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</si>
  <si>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</si>
  <si>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</si>
  <si>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</si>
  <si>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</si>
  <si>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</si>
  <si>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</si>
  <si>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</si>
  <si>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</si>
  <si>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</si>
  <si>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</si>
  <si>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</si>
  <si>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</si>
  <si>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</si>
  <si>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</si>
  <si>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</si>
  <si>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</si>
  <si>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</si>
  <si>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</si>
  <si>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</si>
  <si>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</si>
  <si>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</si>
  <si>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</si>
  <si>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</si>
  <si>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</si>
  <si>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</si>
  <si>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</si>
  <si>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</si>
  <si>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</si>
  <si>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</si>
  <si>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</si>
  <si>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</si>
  <si>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</si>
  <si>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</si>
  <si>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</si>
  <si>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</si>
  <si>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</si>
  <si>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</si>
  <si>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</si>
  <si>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</si>
  <si>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</si>
  <si>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</si>
  <si>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</si>
  <si>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</si>
  <si>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</si>
  <si>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</si>
  <si>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</si>
  <si>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</si>
  <si>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</si>
  <si>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</si>
  <si>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</si>
  <si>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</si>
  <si>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</si>
  <si>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</si>
  <si>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</si>
  <si>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</si>
  <si>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</si>
  <si>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</si>
  <si>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</si>
  <si>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</si>
  <si>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</si>
  <si>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</si>
  <si>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</si>
  <si>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</si>
  <si>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</si>
  <si>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</si>
  <si>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</si>
  <si>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</si>
  <si>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</si>
  <si>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</si>
  <si>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</si>
  <si>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</si>
  <si>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fastag / tlp in drawer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</si>
  <si>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</si>
  <si>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</si>
  <si>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</si>
  <si>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</si>
  <si>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</si>
  <si>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</si>
  <si>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</si>
  <si>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</si>
  <si>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</si>
  <si>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</si>
  <si>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</si>
  <si>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</si>
  <si>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</si>
  <si>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</si>
  <si>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</si>
  <si>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</si>
  <si>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RC CARD - SHEIKH ADIL /DRAWER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</si>
  <si>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</si>
  <si>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</si>
  <si>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</si>
  <si>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</si>
  <si>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</si>
  <si>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</si>
  <si>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</si>
  <si>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</si>
  <si>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</si>
  <si>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BADRI NATH - EVITARA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</si>
  <si>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</si>
  <si>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</si>
  <si>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</si>
  <si>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</si>
  <si>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</si>
  <si>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</si>
  <si>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</si>
  <si>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</si>
  <si>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</si>
  <si>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</si>
  <si>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</si>
  <si>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</si>
  <si>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</si>
  <si>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</si>
  <si>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</si>
  <si>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</si>
  <si>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</si>
  <si>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</si>
  <si>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</si>
  <si>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</si>
  <si>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</si>
  <si>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</si>
  <si>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</si>
  <si>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</si>
  <si>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</si>
  <si>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</si>
  <si>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</si>
  <si>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</si>
  <si>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</si>
  <si>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</si>
  <si>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</si>
  <si>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</si>
  <si>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</si>
  <si>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</si>
  <si>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</si>
  <si>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</si>
  <si>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</si>
  <si>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</si>
  <si>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</si>
  <si>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</si>
  <si>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</si>
  <si>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</si>
  <si>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</si>
  <si>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</si>
  <si>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</si>
  <si>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</si>
  <si>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</si>
  <si>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</si>
  <si>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</si>
  <si>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</si>
  <si>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</si>
  <si>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</si>
  <si>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</si>
  <si>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</si>
  <si>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</si>
  <si>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</si>
  <si>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</si>
  <si>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</si>
  <si>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</si>
  <si>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</si>
  <si>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</si>
  <si>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</si>
  <si>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</si>
  <si>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</si>
  <si>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</si>
  <si>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</si>
  <si>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</si>
  <si>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</si>
  <si>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</si>
  <si>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</si>
  <si>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</si>
  <si>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</si>
  <si>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</si>
  <si>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</si>
  <si>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</si>
  <si>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</si>
  <si>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RC CARD - AMIR RASOOL / DRAWER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</si>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</sst>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  <font>
      <sz val="8"/>
      <name val="Calibri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4" totalsRowShown="0" headerRowDxfId="95" dataDxfId="94">
  <autoFilter ref="A1:R554" xr:uid="{97E63F84-BDFB-4C38-B1FD-28318E0D1D3F}"/>
  <sortState xmlns:xlrd2="http://schemas.microsoft.com/office/spreadsheetml/2017/richdata2" ref="A2:R451">
    <sortCondition ref="J1:J451"/>
  </sortState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05" totalsRowShown="0" headerRowDxfId="50" dataDxfId="49">
  <autoFilter ref="A2:H305" xr:uid="{B21CDF53-EB04-406A-8D52-FCF5CCB609E9}"/>
  <sortState xmlns:xlrd2="http://schemas.microsoft.com/office/spreadsheetml/2017/richdata2" ref="A3:H250">
    <sortCondition ref="D2:D250"/>
  </sortState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9"/>
    <tableColumn id="2" xr3:uid="{1E57C5CE-907A-4DF0-BCA2-BBCD2651216C}" name="APPLICATION NO." dataDxfId="38"/>
    <tableColumn id="3" xr3:uid="{F626713A-3C61-423D-BD37-451203C3E29C}" name="CHASSIS" dataDxfId="37"/>
    <tableColumn id="4" xr3:uid="{32C5A048-ADD8-4648-8106-9F20D6757D66}" name="NAME" dataDxfId="36"/>
    <tableColumn id="5" xr3:uid="{BA1FDE8E-99ED-4918-A545-B2E041B306D6}" name="MODEL" dataDxfId="35"/>
    <tableColumn id="6" xr3:uid="{872ECA2D-515D-4EDE-B60A-82A8BDEFEDCC}" name="COLOR" dataDxfId="34"/>
    <tableColumn id="7" xr3:uid="{C729A2AA-8F61-4959-9BE7-9F1BD3A49990}" name="RTO" dataDxfId="33"/>
    <tableColumn id="8" xr3:uid="{49CDED17-8118-4E4F-BBF5-6407D0788647}" name="REG NUM" dataDxfId="32"/>
    <tableColumn id="9" xr3:uid="{6E044422-F791-464A-944A-0668F0C8112F}" name="DATE OF REG" dataDxfId="31"/>
    <tableColumn id="11" xr3:uid="{942D52E6-8B19-4B1A-ADDF-6D959D8E7BE1}" name="DSE" dataDxfId="30"/>
    <tableColumn id="12" xr3:uid="{04B58679-3282-4D6D-BF3E-2233E3C4DC81}" name="RC RECEIVED BY" dataDxfId="2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8" tableBorderDxfId="27" totalsRowBorderDxfId="26">
  <autoFilter ref="B27:E32" xr:uid="{859DCBAE-920B-4469-9E0B-BF5ADC0248E9}"/>
  <tableColumns count="4">
    <tableColumn id="1" xr3:uid="{898528DA-B3AC-435C-B00C-9234887E5F11}" name="REG NUM" dataDxfId="25"/>
    <tableColumn id="2" xr3:uid="{89440296-A536-440E-A74B-186B5A98AE6C}" name="DATE OF REG" dataDxfId="24"/>
    <tableColumn id="3" xr3:uid="{7A04E3EB-93DA-4428-AB0C-3D251E144655}" name="RC RECEIVED BY" dataDxfId="23"/>
    <tableColumn id="4" xr3:uid="{0D350352-EB5F-413B-8CE6-3B46D80C3172}" name="DATE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2"/>
  <sheetViews>
    <sheetView topLeftCell="M455" zoomScaleNormal="100" workbookViewId="0">
      <selection activeCell="R461" sqref="R461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65" si="1">IF(LEFT(I2,4)="JK13","PULWAMA",IF(LEFT(I2,4)="JK01","SRINAGAR",IF(LEFT(I2,4)="JK04","BUDGAM",IF(LEFT(I2,4)="JK03","ANANTNAG",IF(LEFT(I2,4)="JK05","BARAMULLA",IF(LEFT(I2,4)="26BH","BHARAT",IF(LEFT(I2,4)="25BH","BHARAT",IF(LEFT(I2,4)="JK12","POONCH",IF(LEFT(I2,4)="JK18","KULGAM",IF(LEFT(I2,4)="JK22","SHOPIAN",IF(LEFT(I2,4)="JK02","JAMMU",IF(LEFT(I2,4)="JK09","KUPWARA",IF(LEFT(I2,4)="JK15","BANDIPORA",IF(LEFT(I2,4)="JK17","KISHTWAR",IF(LEFT(I2,4)="LA01","KARGIL",IF(LEFT(I2,1)="T","TEMP","NEW")))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 t="s">
        <v>4548</v>
      </c>
      <c r="C5" s="47" t="s">
        <v>4547</v>
      </c>
      <c r="D5" s="47"/>
      <c r="E5" s="47" t="s">
        <v>1137</v>
      </c>
      <c r="F5" s="47" t="s">
        <v>67</v>
      </c>
      <c r="G5" s="47" t="s">
        <v>226</v>
      </c>
      <c r="H5" s="47" t="str">
        <f t="shared" si="1"/>
        <v>BUDGAM</v>
      </c>
      <c r="I5" s="47" t="s">
        <v>4546</v>
      </c>
      <c r="J5" s="48">
        <v>45934</v>
      </c>
      <c r="K5" s="47"/>
      <c r="L5" s="47" t="s">
        <v>70</v>
      </c>
      <c r="M5" s="49" t="s">
        <v>6417</v>
      </c>
      <c r="N5" s="48">
        <v>45973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/>
      <c r="C6" s="47" t="s">
        <v>47</v>
      </c>
      <c r="D6" s="47"/>
      <c r="E6" s="47" t="s">
        <v>46</v>
      </c>
      <c r="F6" s="47" t="s">
        <v>12</v>
      </c>
      <c r="G6" s="47"/>
      <c r="H6" s="47" t="str">
        <f t="shared" si="1"/>
        <v>BUDGAM</v>
      </c>
      <c r="I6" s="47" t="s">
        <v>45</v>
      </c>
      <c r="J6" s="48">
        <v>45934</v>
      </c>
      <c r="K6" s="47"/>
      <c r="L6" s="47" t="s">
        <v>48</v>
      </c>
      <c r="M6" s="49" t="s">
        <v>49</v>
      </c>
      <c r="N6" s="48">
        <v>45962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7458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 t="s">
        <v>5336</v>
      </c>
      <c r="C13" s="47" t="s">
        <v>5335</v>
      </c>
      <c r="D13" s="47"/>
      <c r="E13" s="47" t="s">
        <v>5333</v>
      </c>
      <c r="F13" s="47" t="s">
        <v>145</v>
      </c>
      <c r="G13" s="47" t="s">
        <v>6440</v>
      </c>
      <c r="H13" s="47" t="str">
        <f t="shared" si="1"/>
        <v>PULWAMA</v>
      </c>
      <c r="I13" s="47" t="s">
        <v>5334</v>
      </c>
      <c r="J13" s="48">
        <v>45944</v>
      </c>
      <c r="K13" s="47"/>
      <c r="L13" s="47" t="s">
        <v>6451</v>
      </c>
      <c r="M13" s="49" t="s">
        <v>126</v>
      </c>
      <c r="N13" s="48">
        <v>45974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/>
      <c r="C14" s="47" t="s">
        <v>124</v>
      </c>
      <c r="D14" s="47"/>
      <c r="E14" s="47" t="s">
        <v>43</v>
      </c>
      <c r="F14" s="47" t="s">
        <v>125</v>
      </c>
      <c r="G14" s="47"/>
      <c r="H14" s="47" t="str">
        <f t="shared" si="1"/>
        <v>PULWAMA</v>
      </c>
      <c r="I14" s="47" t="s">
        <v>123</v>
      </c>
      <c r="J14" s="48">
        <v>45944</v>
      </c>
      <c r="K14" s="47"/>
      <c r="L14" s="47" t="s">
        <v>6451</v>
      </c>
      <c r="M14" s="49" t="s">
        <v>126</v>
      </c>
      <c r="N14" s="48">
        <v>45966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 t="s">
        <v>227</v>
      </c>
      <c r="C15" s="47" t="s">
        <v>224</v>
      </c>
      <c r="D15" s="47"/>
      <c r="E15" s="47" t="s">
        <v>225</v>
      </c>
      <c r="F15" s="47" t="s">
        <v>212</v>
      </c>
      <c r="G15" s="47" t="s">
        <v>226</v>
      </c>
      <c r="H15" s="47" t="str">
        <f t="shared" si="1"/>
        <v>PULWAMA</v>
      </c>
      <c r="I15" s="47" t="s">
        <v>223</v>
      </c>
      <c r="J15" s="48">
        <v>45946</v>
      </c>
      <c r="K15" s="47"/>
      <c r="L15" s="47" t="s">
        <v>6451</v>
      </c>
      <c r="M15" s="49" t="s">
        <v>126</v>
      </c>
      <c r="N15" s="48">
        <v>45971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/>
      <c r="C16" s="47" t="s">
        <v>84</v>
      </c>
      <c r="D16" s="47"/>
      <c r="E16" s="47" t="s">
        <v>83</v>
      </c>
      <c r="F16" s="47" t="s">
        <v>5</v>
      </c>
      <c r="G16" s="47"/>
      <c r="H16" s="47" t="str">
        <f t="shared" si="1"/>
        <v>PULWAMA</v>
      </c>
      <c r="I16" s="47" t="s">
        <v>81</v>
      </c>
      <c r="J16" s="48">
        <v>45946</v>
      </c>
      <c r="K16" s="47"/>
      <c r="L16" s="47" t="s">
        <v>85</v>
      </c>
      <c r="M16" s="49" t="s">
        <v>82</v>
      </c>
      <c r="N16" s="48">
        <v>45964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5771</v>
      </c>
      <c r="C18" s="47" t="s">
        <v>5770</v>
      </c>
      <c r="D18" s="47"/>
      <c r="E18" s="47" t="s">
        <v>938</v>
      </c>
      <c r="F18" s="47" t="s">
        <v>102</v>
      </c>
      <c r="G18" s="47" t="s">
        <v>174</v>
      </c>
      <c r="H18" s="47" t="str">
        <f t="shared" si="1"/>
        <v>SRINAGAR</v>
      </c>
      <c r="I18" s="47" t="s">
        <v>5769</v>
      </c>
      <c r="J18" s="48">
        <v>45950</v>
      </c>
      <c r="K18" s="47"/>
      <c r="L18" s="47" t="s">
        <v>1592</v>
      </c>
      <c r="M18" s="49" t="s">
        <v>6441</v>
      </c>
      <c r="N18" s="48">
        <v>45974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282</v>
      </c>
      <c r="C19" s="47" t="s">
        <v>279</v>
      </c>
      <c r="D19" s="47"/>
      <c r="E19" s="47" t="s">
        <v>280</v>
      </c>
      <c r="F19" s="47" t="s">
        <v>281</v>
      </c>
      <c r="G19" s="47" t="s">
        <v>174</v>
      </c>
      <c r="H19" s="47" t="str">
        <f t="shared" si="1"/>
        <v>KULGAM</v>
      </c>
      <c r="I19" s="47" t="s">
        <v>278</v>
      </c>
      <c r="J19" s="48">
        <v>45950</v>
      </c>
      <c r="K19" s="47"/>
      <c r="L19" s="47" t="s">
        <v>276</v>
      </c>
      <c r="M19" s="49" t="s">
        <v>283</v>
      </c>
      <c r="N19" s="48">
        <v>45972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120</v>
      </c>
      <c r="D20" s="47"/>
      <c r="E20" s="47" t="s">
        <v>121</v>
      </c>
      <c r="F20" s="47" t="s">
        <v>12</v>
      </c>
      <c r="G20" s="47"/>
      <c r="H20" s="47" t="str">
        <f t="shared" si="1"/>
        <v>SRINAGAR</v>
      </c>
      <c r="I20" s="47" t="s">
        <v>122</v>
      </c>
      <c r="J20" s="48">
        <v>45953</v>
      </c>
      <c r="K20" s="47"/>
      <c r="L20" s="47" t="s">
        <v>26</v>
      </c>
      <c r="M20" s="49" t="s">
        <v>26</v>
      </c>
      <c r="N20" s="48">
        <v>45965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78</v>
      </c>
      <c r="D21" s="47"/>
      <c r="E21" s="47" t="s">
        <v>80</v>
      </c>
      <c r="F21" s="47" t="s">
        <v>12</v>
      </c>
      <c r="G21" s="47"/>
      <c r="H21" s="47" t="str">
        <f t="shared" si="1"/>
        <v>SRINAGAR</v>
      </c>
      <c r="I21" s="47" t="s">
        <v>77</v>
      </c>
      <c r="J21" s="48">
        <v>45953</v>
      </c>
      <c r="K21" s="47"/>
      <c r="L21" s="47"/>
      <c r="M21" s="49" t="s">
        <v>79</v>
      </c>
      <c r="N21" s="48">
        <v>45964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151</v>
      </c>
      <c r="D23" s="47"/>
      <c r="E23" s="47" t="s">
        <v>152</v>
      </c>
      <c r="F23" s="47" t="s">
        <v>31</v>
      </c>
      <c r="G23" s="47"/>
      <c r="H23" s="47" t="str">
        <f t="shared" si="1"/>
        <v>PULWAMA</v>
      </c>
      <c r="I23" s="47" t="s">
        <v>153</v>
      </c>
      <c r="J23" s="48">
        <v>45954</v>
      </c>
      <c r="K23" s="47"/>
      <c r="L23" s="47" t="s">
        <v>14</v>
      </c>
      <c r="M23" s="49" t="s">
        <v>158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127</v>
      </c>
      <c r="D24" s="47"/>
      <c r="E24" s="47" t="s">
        <v>128</v>
      </c>
      <c r="F24" s="47" t="s">
        <v>5</v>
      </c>
      <c r="G24" s="47"/>
      <c r="H24" s="47" t="str">
        <f t="shared" si="1"/>
        <v>PULWAMA</v>
      </c>
      <c r="I24" s="47" t="s">
        <v>129</v>
      </c>
      <c r="J24" s="48">
        <v>45954</v>
      </c>
      <c r="K24" s="47"/>
      <c r="L24" s="47" t="s">
        <v>6451</v>
      </c>
      <c r="M24" s="49" t="s">
        <v>126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183</v>
      </c>
      <c r="D26" s="47"/>
      <c r="E26" s="47" t="s">
        <v>184</v>
      </c>
      <c r="F26" s="47" t="s">
        <v>12</v>
      </c>
      <c r="G26" s="47" t="s">
        <v>181</v>
      </c>
      <c r="H26" s="47" t="str">
        <f t="shared" si="1"/>
        <v>BHARAT</v>
      </c>
      <c r="I26" s="47" t="s">
        <v>185</v>
      </c>
      <c r="J26" s="48">
        <v>45959</v>
      </c>
      <c r="K26" s="47"/>
      <c r="L26" s="47" t="s">
        <v>166</v>
      </c>
      <c r="M26" s="49" t="s">
        <v>6653</v>
      </c>
      <c r="N26" s="48">
        <v>45974</v>
      </c>
      <c r="O26" s="47"/>
      <c r="P26" s="50"/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60</v>
      </c>
      <c r="D28" s="47"/>
      <c r="E28" s="47" t="s">
        <v>59</v>
      </c>
      <c r="F28" s="47" t="s">
        <v>12</v>
      </c>
      <c r="G28" s="47"/>
      <c r="H28" s="47" t="str">
        <f t="shared" si="1"/>
        <v>SRINAGAR</v>
      </c>
      <c r="I28" s="47" t="s">
        <v>58</v>
      </c>
      <c r="J28" s="48">
        <v>45959</v>
      </c>
      <c r="K28" s="47"/>
      <c r="L28" s="47" t="s">
        <v>61</v>
      </c>
      <c r="M28" s="49" t="s">
        <v>61</v>
      </c>
      <c r="N28" s="48">
        <v>45962</v>
      </c>
      <c r="O28" s="47" t="s">
        <v>23</v>
      </c>
      <c r="P28" s="50">
        <v>45959</v>
      </c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117</v>
      </c>
      <c r="D30" s="47"/>
      <c r="E30" s="47" t="s">
        <v>118</v>
      </c>
      <c r="F30" s="47" t="s">
        <v>119</v>
      </c>
      <c r="G30" s="47"/>
      <c r="H30" s="47" t="str">
        <f t="shared" si="1"/>
        <v>SRINAGAR</v>
      </c>
      <c r="I30" s="47" t="s">
        <v>116</v>
      </c>
      <c r="J30" s="48">
        <v>45960</v>
      </c>
      <c r="K30" s="47"/>
      <c r="L30" s="47" t="s">
        <v>26</v>
      </c>
      <c r="M30" s="49" t="s">
        <v>26</v>
      </c>
      <c r="N30" s="48">
        <v>45965</v>
      </c>
      <c r="O30" s="47"/>
      <c r="P30" s="50"/>
      <c r="Q30" s="47"/>
      <c r="R30" s="47"/>
    </row>
    <row r="31" spans="1:18" x14ac:dyDescent="0.25">
      <c r="A31" s="47">
        <f t="shared" si="0"/>
        <v>30</v>
      </c>
      <c r="B31" s="47"/>
      <c r="C31" s="47" t="s">
        <v>73</v>
      </c>
      <c r="D31" s="47"/>
      <c r="E31" s="47" t="s">
        <v>74</v>
      </c>
      <c r="F31" s="47" t="s">
        <v>12</v>
      </c>
      <c r="G31" s="47"/>
      <c r="H31" s="47" t="str">
        <f t="shared" si="1"/>
        <v>BUDGAM</v>
      </c>
      <c r="I31" s="47" t="s">
        <v>72</v>
      </c>
      <c r="J31" s="48">
        <v>45960</v>
      </c>
      <c r="K31" s="47"/>
      <c r="L31" s="47" t="s">
        <v>75</v>
      </c>
      <c r="M31" s="49" t="s">
        <v>76</v>
      </c>
      <c r="N31" s="48">
        <v>45964</v>
      </c>
      <c r="O31" s="47" t="s">
        <v>23</v>
      </c>
      <c r="P31" s="50">
        <v>45960</v>
      </c>
      <c r="Q31" s="47"/>
      <c r="R31" s="47"/>
    </row>
    <row r="32" spans="1:18" x14ac:dyDescent="0.25">
      <c r="A32" s="47">
        <f t="shared" si="0"/>
        <v>31</v>
      </c>
      <c r="B32" s="47"/>
      <c r="C32" s="47" t="s">
        <v>143</v>
      </c>
      <c r="D32" s="47"/>
      <c r="E32" s="47" t="s">
        <v>144</v>
      </c>
      <c r="F32" s="47" t="s">
        <v>145</v>
      </c>
      <c r="G32" s="47"/>
      <c r="H32" s="47" t="str">
        <f t="shared" si="1"/>
        <v>BHARAT</v>
      </c>
      <c r="I32" s="47" t="s">
        <v>146</v>
      </c>
      <c r="J32" s="48">
        <v>45961</v>
      </c>
      <c r="K32" s="47"/>
      <c r="L32" s="47" t="s">
        <v>26</v>
      </c>
      <c r="M32" s="49" t="s">
        <v>26</v>
      </c>
      <c r="N32" s="48">
        <v>45966</v>
      </c>
      <c r="O32" s="47"/>
      <c r="P32" s="50"/>
      <c r="Q32" s="47"/>
      <c r="R32" s="47"/>
    </row>
    <row r="33" spans="1:18" x14ac:dyDescent="0.25">
      <c r="A33" s="47">
        <f t="shared" si="0"/>
        <v>32</v>
      </c>
      <c r="B33" s="47"/>
      <c r="C33" s="47" t="s">
        <v>11</v>
      </c>
      <c r="D33" s="47"/>
      <c r="E33" s="47" t="s">
        <v>10</v>
      </c>
      <c r="F33" s="47" t="s">
        <v>12</v>
      </c>
      <c r="G33" s="47"/>
      <c r="H33" s="47" t="str">
        <f t="shared" si="1"/>
        <v>ANANTNAG</v>
      </c>
      <c r="I33" s="47" t="s">
        <v>13</v>
      </c>
      <c r="J33" s="48">
        <v>45961</v>
      </c>
      <c r="K33" s="47"/>
      <c r="L33" s="47" t="s">
        <v>14</v>
      </c>
      <c r="M33" s="52" t="s">
        <v>6446</v>
      </c>
      <c r="N33" s="48">
        <v>45975</v>
      </c>
      <c r="O33" s="47" t="s">
        <v>23</v>
      </c>
      <c r="P33" s="50">
        <v>45961</v>
      </c>
      <c r="Q33" s="47"/>
      <c r="R33" s="47"/>
    </row>
    <row r="34" spans="1:18" x14ac:dyDescent="0.25">
      <c r="A34" s="47">
        <f t="shared" si="0"/>
        <v>33</v>
      </c>
      <c r="B34" s="47"/>
      <c r="C34" s="47" t="s">
        <v>2</v>
      </c>
      <c r="D34" s="47"/>
      <c r="E34" s="47" t="s">
        <v>4</v>
      </c>
      <c r="F34" s="47" t="s">
        <v>5</v>
      </c>
      <c r="G34" s="47"/>
      <c r="H34" s="47" t="str">
        <f t="shared" si="1"/>
        <v>ANANTNAG</v>
      </c>
      <c r="I34" s="47" t="s">
        <v>3</v>
      </c>
      <c r="J34" s="48">
        <v>45961</v>
      </c>
      <c r="K34" s="47"/>
      <c r="L34" s="47" t="s">
        <v>8</v>
      </c>
      <c r="M34" s="49" t="s">
        <v>66</v>
      </c>
      <c r="N34" s="48">
        <v>45964</v>
      </c>
      <c r="O34" s="47" t="s">
        <v>23</v>
      </c>
      <c r="P34" s="50">
        <v>45961</v>
      </c>
      <c r="Q34" s="47"/>
      <c r="R34" s="47"/>
    </row>
    <row r="35" spans="1:18" x14ac:dyDescent="0.25">
      <c r="A35" s="47">
        <f t="shared" si="0"/>
        <v>34</v>
      </c>
      <c r="B35" s="47"/>
      <c r="C35" s="47" t="s">
        <v>35</v>
      </c>
      <c r="D35" s="47"/>
      <c r="E35" s="47" t="s">
        <v>36</v>
      </c>
      <c r="F35" s="47" t="s">
        <v>37</v>
      </c>
      <c r="G35" s="47"/>
      <c r="H35" s="47" t="str">
        <f t="shared" si="1"/>
        <v>ANANTNAG</v>
      </c>
      <c r="I35" s="47" t="s">
        <v>38</v>
      </c>
      <c r="J35" s="48">
        <v>45961</v>
      </c>
      <c r="K35" s="47"/>
      <c r="L35" s="47" t="s">
        <v>14</v>
      </c>
      <c r="M35" s="49" t="s">
        <v>14</v>
      </c>
      <c r="N35" s="48">
        <v>45966</v>
      </c>
      <c r="O35" s="48"/>
      <c r="P35" s="48"/>
      <c r="Q35" s="47"/>
      <c r="R35" s="47"/>
    </row>
    <row r="36" spans="1:18" x14ac:dyDescent="0.25">
      <c r="A36" s="47">
        <f t="shared" si="0"/>
        <v>35</v>
      </c>
      <c r="B36" s="47"/>
      <c r="C36" s="47" t="s">
        <v>68</v>
      </c>
      <c r="D36" s="47"/>
      <c r="E36" s="47" t="s">
        <v>69</v>
      </c>
      <c r="F36" s="47" t="s">
        <v>67</v>
      </c>
      <c r="G36" s="47"/>
      <c r="H36" s="47" t="str">
        <f t="shared" si="1"/>
        <v>PULWAMA</v>
      </c>
      <c r="I36" s="47" t="s">
        <v>71</v>
      </c>
      <c r="J36" s="48">
        <v>45961</v>
      </c>
      <c r="K36" s="47"/>
      <c r="L36" s="47" t="s">
        <v>70</v>
      </c>
      <c r="M36" s="49"/>
      <c r="N36" s="48"/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 t="s">
        <v>6312</v>
      </c>
      <c r="C37" s="47" t="s">
        <v>68</v>
      </c>
      <c r="D37" s="47"/>
      <c r="E37" s="47" t="s">
        <v>69</v>
      </c>
      <c r="F37" s="47" t="s">
        <v>67</v>
      </c>
      <c r="G37" s="47" t="s">
        <v>200</v>
      </c>
      <c r="H37" s="47" t="str">
        <f t="shared" si="1"/>
        <v>PULWAMA</v>
      </c>
      <c r="I37" s="47" t="s">
        <v>71</v>
      </c>
      <c r="J37" s="48">
        <v>45961</v>
      </c>
      <c r="K37" s="47"/>
      <c r="L37" s="47" t="s">
        <v>70</v>
      </c>
      <c r="M37" s="49" t="s">
        <v>6417</v>
      </c>
      <c r="N37" s="48">
        <v>45973</v>
      </c>
      <c r="O37" s="47"/>
      <c r="P37" s="50"/>
      <c r="Q37" s="47"/>
      <c r="R37" s="47"/>
    </row>
    <row r="38" spans="1:18" x14ac:dyDescent="0.25">
      <c r="A38" s="47">
        <f t="shared" si="0"/>
        <v>37</v>
      </c>
      <c r="B38" s="47"/>
      <c r="C38" s="47" t="s">
        <v>33</v>
      </c>
      <c r="D38" s="47"/>
      <c r="E38" s="47" t="s">
        <v>34</v>
      </c>
      <c r="F38" s="47" t="s">
        <v>31</v>
      </c>
      <c r="G38" s="47"/>
      <c r="H38" s="47" t="str">
        <f t="shared" si="1"/>
        <v>KULGAM</v>
      </c>
      <c r="I38" s="47" t="s">
        <v>64</v>
      </c>
      <c r="J38" s="48">
        <v>45961</v>
      </c>
      <c r="K38" s="47"/>
      <c r="L38" s="47" t="s">
        <v>14</v>
      </c>
      <c r="M38" s="49"/>
      <c r="N38" s="48"/>
      <c r="O38" s="47" t="s">
        <v>23</v>
      </c>
      <c r="P38" s="50">
        <v>45962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39</v>
      </c>
      <c r="D39" s="47"/>
      <c r="E39" s="47" t="s">
        <v>40</v>
      </c>
      <c r="F39" s="47" t="s">
        <v>31</v>
      </c>
      <c r="G39" s="47"/>
      <c r="H39" s="47" t="str">
        <f t="shared" si="1"/>
        <v>SRINAGAR</v>
      </c>
      <c r="I39" s="47" t="s">
        <v>63</v>
      </c>
      <c r="J39" s="48">
        <v>45962</v>
      </c>
      <c r="K39" s="47"/>
      <c r="L39" s="47" t="s">
        <v>75</v>
      </c>
      <c r="M39" s="49" t="s">
        <v>75</v>
      </c>
      <c r="N39" s="48">
        <v>45964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41</v>
      </c>
      <c r="D40" s="47"/>
      <c r="E40" s="47" t="s">
        <v>42</v>
      </c>
      <c r="F40" s="47" t="s">
        <v>31</v>
      </c>
      <c r="G40" s="47"/>
      <c r="H40" s="47" t="str">
        <f t="shared" si="1"/>
        <v>SRINAGAR</v>
      </c>
      <c r="I40" s="47" t="s">
        <v>62</v>
      </c>
      <c r="J40" s="48">
        <v>45962</v>
      </c>
      <c r="K40" s="47"/>
      <c r="L40" s="47" t="s">
        <v>43</v>
      </c>
      <c r="M40" s="49"/>
      <c r="N40" s="48"/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55</v>
      </c>
      <c r="D41" s="47"/>
      <c r="E41" s="47" t="s">
        <v>56</v>
      </c>
      <c r="F41" s="47" t="s">
        <v>57</v>
      </c>
      <c r="G41" s="47"/>
      <c r="H41" s="47" t="str">
        <f t="shared" si="1"/>
        <v>BARAMULLA</v>
      </c>
      <c r="I41" s="47" t="s">
        <v>54</v>
      </c>
      <c r="J41" s="48">
        <v>45962</v>
      </c>
      <c r="K41" s="47"/>
      <c r="L41" s="47" t="s">
        <v>43</v>
      </c>
      <c r="M41" s="49" t="s">
        <v>43</v>
      </c>
      <c r="N41" s="48">
        <v>45962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53</v>
      </c>
      <c r="D42" s="47"/>
      <c r="E42" s="47" t="s">
        <v>50</v>
      </c>
      <c r="F42" s="47" t="s">
        <v>51</v>
      </c>
      <c r="G42" s="47"/>
      <c r="H42" s="47" t="str">
        <f t="shared" si="1"/>
        <v>TEMP</v>
      </c>
      <c r="I42" s="47" t="s">
        <v>52</v>
      </c>
      <c r="J42" s="48">
        <v>45962</v>
      </c>
      <c r="K42" s="47"/>
      <c r="L42" s="47" t="s">
        <v>26</v>
      </c>
      <c r="M42" s="49" t="s">
        <v>26</v>
      </c>
      <c r="N42" s="48">
        <v>45962</v>
      </c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98</v>
      </c>
      <c r="D43" s="47"/>
      <c r="E43" s="47" t="s">
        <v>99</v>
      </c>
      <c r="F43" s="47" t="s">
        <v>102</v>
      </c>
      <c r="G43" s="47" t="s">
        <v>200</v>
      </c>
      <c r="H43" s="47" t="str">
        <f t="shared" si="1"/>
        <v>SRINAGAR</v>
      </c>
      <c r="I43" s="47" t="s">
        <v>105</v>
      </c>
      <c r="J43" s="48">
        <v>45965</v>
      </c>
      <c r="K43" s="47"/>
      <c r="L43" s="47" t="s">
        <v>6451</v>
      </c>
      <c r="M43" s="49" t="s">
        <v>126</v>
      </c>
      <c r="N43" s="48">
        <v>45976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/>
      <c r="C44" s="47" t="s">
        <v>96</v>
      </c>
      <c r="D44" s="47"/>
      <c r="E44" s="47" t="s">
        <v>97</v>
      </c>
      <c r="F44" s="47" t="s">
        <v>101</v>
      </c>
      <c r="G44" s="47"/>
      <c r="H44" s="47" t="str">
        <f t="shared" si="1"/>
        <v>SRINAGAR</v>
      </c>
      <c r="I44" s="47" t="s">
        <v>104</v>
      </c>
      <c r="J44" s="48">
        <v>45965</v>
      </c>
      <c r="K44" s="47"/>
      <c r="L44" s="47" t="s">
        <v>106</v>
      </c>
      <c r="M44" s="49" t="s">
        <v>161</v>
      </c>
      <c r="N44" s="48">
        <v>45967</v>
      </c>
      <c r="O44" s="47"/>
      <c r="P44" s="50"/>
      <c r="Q44" s="47"/>
      <c r="R44" s="47"/>
    </row>
    <row r="45" spans="1:18" x14ac:dyDescent="0.25">
      <c r="A45" s="47">
        <f t="shared" si="0"/>
        <v>44</v>
      </c>
      <c r="B45" s="47" t="s">
        <v>6380</v>
      </c>
      <c r="C45" s="47" t="s">
        <v>94</v>
      </c>
      <c r="D45" s="47"/>
      <c r="E45" s="47" t="s">
        <v>95</v>
      </c>
      <c r="F45" s="47" t="s">
        <v>100</v>
      </c>
      <c r="G45" s="47"/>
      <c r="H45" s="47" t="str">
        <f t="shared" si="1"/>
        <v>PULWAMA</v>
      </c>
      <c r="I45" s="47" t="s">
        <v>103</v>
      </c>
      <c r="J45" s="48">
        <v>45965</v>
      </c>
      <c r="K45" s="47"/>
      <c r="L45" s="47" t="s">
        <v>6451</v>
      </c>
      <c r="M45" s="49" t="s">
        <v>6450</v>
      </c>
      <c r="N45" s="48" t="s">
        <v>8243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131</v>
      </c>
      <c r="D47" s="47"/>
      <c r="E47" s="47" t="s">
        <v>133</v>
      </c>
      <c r="F47" s="47" t="s">
        <v>100</v>
      </c>
      <c r="G47" s="47"/>
      <c r="H47" s="47" t="str">
        <f t="shared" si="1"/>
        <v>BUDGAM</v>
      </c>
      <c r="I47" s="47" t="s">
        <v>154</v>
      </c>
      <c r="J47" s="48">
        <v>45966</v>
      </c>
      <c r="K47" s="47"/>
      <c r="L47" s="47" t="s">
        <v>176</v>
      </c>
      <c r="M47" s="49" t="s">
        <v>6452</v>
      </c>
      <c r="N47" s="48">
        <v>45976</v>
      </c>
      <c r="O47" s="47"/>
      <c r="P47" s="50"/>
      <c r="Q47" s="47"/>
      <c r="R47" s="47"/>
    </row>
    <row r="48" spans="1:18" x14ac:dyDescent="0.25">
      <c r="A48" s="47">
        <f t="shared" si="0"/>
        <v>47</v>
      </c>
      <c r="B48" s="47" t="s">
        <v>177</v>
      </c>
      <c r="C48" s="47" t="s">
        <v>155</v>
      </c>
      <c r="D48" s="47"/>
      <c r="E48" s="47" t="s">
        <v>156</v>
      </c>
      <c r="F48" s="47" t="s">
        <v>51</v>
      </c>
      <c r="G48" s="47" t="s">
        <v>174</v>
      </c>
      <c r="H48" s="47" t="str">
        <f t="shared" si="1"/>
        <v>PULWAMA</v>
      </c>
      <c r="I48" s="47" t="s">
        <v>157</v>
      </c>
      <c r="J48" s="48">
        <v>45966</v>
      </c>
      <c r="K48" s="47"/>
      <c r="L48" s="47" t="s">
        <v>6451</v>
      </c>
      <c r="M48" s="49" t="s">
        <v>7047</v>
      </c>
      <c r="N48" s="48">
        <v>46003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/>
      <c r="C49" s="47" t="s">
        <v>135</v>
      </c>
      <c r="D49" s="47"/>
      <c r="E49" s="47" t="s">
        <v>136</v>
      </c>
      <c r="F49" s="47" t="s">
        <v>12</v>
      </c>
      <c r="G49" s="47"/>
      <c r="H49" s="47" t="str">
        <f t="shared" si="1"/>
        <v>KULGAM</v>
      </c>
      <c r="I49" s="47" t="s">
        <v>137</v>
      </c>
      <c r="J49" s="48">
        <v>45966</v>
      </c>
      <c r="K49" s="47"/>
      <c r="L49" s="47" t="s">
        <v>138</v>
      </c>
      <c r="M49" s="53"/>
      <c r="N49" s="48"/>
      <c r="P49" s="2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7084</v>
      </c>
    </row>
    <row r="51" spans="1:18" x14ac:dyDescent="0.25">
      <c r="A51" s="47">
        <f t="shared" si="0"/>
        <v>50</v>
      </c>
      <c r="B51" s="47" t="s">
        <v>182</v>
      </c>
      <c r="C51" s="47" t="s">
        <v>179</v>
      </c>
      <c r="D51" s="47"/>
      <c r="E51" s="47" t="s">
        <v>180</v>
      </c>
      <c r="F51" s="47" t="s">
        <v>100</v>
      </c>
      <c r="G51" s="47" t="s">
        <v>181</v>
      </c>
      <c r="H51" s="47" t="str">
        <f t="shared" si="1"/>
        <v>SRINAGAR</v>
      </c>
      <c r="I51" s="47" t="s">
        <v>204</v>
      </c>
      <c r="J51" s="48">
        <v>45967</v>
      </c>
      <c r="K51" s="47"/>
      <c r="L51" s="47" t="s">
        <v>176</v>
      </c>
      <c r="M51" s="49" t="s">
        <v>2437</v>
      </c>
      <c r="N51" s="48">
        <v>45979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167</v>
      </c>
      <c r="C53" s="47" t="s">
        <v>162</v>
      </c>
      <c r="D53" s="47"/>
      <c r="E53" s="47" t="s">
        <v>163</v>
      </c>
      <c r="F53" s="47" t="s">
        <v>31</v>
      </c>
      <c r="G53" s="47" t="s">
        <v>175</v>
      </c>
      <c r="H53" s="47" t="str">
        <f t="shared" si="1"/>
        <v>PULWAMA</v>
      </c>
      <c r="I53" s="47" t="s">
        <v>169</v>
      </c>
      <c r="J53" s="48">
        <v>45967</v>
      </c>
      <c r="K53" s="47"/>
      <c r="L53" s="47" t="s">
        <v>166</v>
      </c>
      <c r="M53" s="49" t="s">
        <v>272</v>
      </c>
      <c r="N53" s="48">
        <v>45971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192</v>
      </c>
      <c r="C54" s="47" t="s">
        <v>189</v>
      </c>
      <c r="D54" s="47"/>
      <c r="E54" s="47" t="s">
        <v>190</v>
      </c>
      <c r="F54" s="47" t="s">
        <v>193</v>
      </c>
      <c r="G54" s="47" t="s">
        <v>199</v>
      </c>
      <c r="H54" s="47" t="str">
        <f t="shared" si="1"/>
        <v>SRINAGAR</v>
      </c>
      <c r="I54" s="47" t="s">
        <v>201</v>
      </c>
      <c r="J54" s="48">
        <v>45968</v>
      </c>
      <c r="K54" s="47"/>
      <c r="L54" s="47" t="s">
        <v>194</v>
      </c>
      <c r="M54" s="49" t="s">
        <v>246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198</v>
      </c>
      <c r="C55" s="47" t="s">
        <v>196</v>
      </c>
      <c r="D55" s="47"/>
      <c r="E55" s="47" t="s">
        <v>197</v>
      </c>
      <c r="F55" s="47" t="s">
        <v>12</v>
      </c>
      <c r="G55" s="47" t="s">
        <v>181</v>
      </c>
      <c r="H55" s="47" t="str">
        <f t="shared" si="1"/>
        <v>SRINAGAR</v>
      </c>
      <c r="I55" s="47" t="s">
        <v>202</v>
      </c>
      <c r="J55" s="48">
        <v>45968</v>
      </c>
      <c r="K55" s="47"/>
      <c r="L55" s="47" t="s">
        <v>106</v>
      </c>
      <c r="M55" s="47"/>
      <c r="N55" s="48"/>
      <c r="O55" s="47" t="s">
        <v>23</v>
      </c>
      <c r="P55" s="50">
        <v>45973</v>
      </c>
      <c r="Q55" s="47"/>
      <c r="R55" s="47"/>
    </row>
    <row r="56" spans="1:18" x14ac:dyDescent="0.25">
      <c r="A56" s="47">
        <f t="shared" si="0"/>
        <v>55</v>
      </c>
      <c r="B56" s="47" t="s">
        <v>209</v>
      </c>
      <c r="C56" s="47" t="s">
        <v>210</v>
      </c>
      <c r="D56" s="47"/>
      <c r="E56" s="47" t="s">
        <v>211</v>
      </c>
      <c r="F56" s="47" t="s">
        <v>212</v>
      </c>
      <c r="G56" s="47" t="s">
        <v>174</v>
      </c>
      <c r="H56" s="47" t="str">
        <f t="shared" si="1"/>
        <v>SRINAGAR</v>
      </c>
      <c r="I56" s="47" t="s">
        <v>233</v>
      </c>
      <c r="J56" s="48">
        <v>45968</v>
      </c>
      <c r="K56" s="47"/>
      <c r="L56" s="47" t="s">
        <v>5868</v>
      </c>
      <c r="M56" s="49" t="s">
        <v>6441</v>
      </c>
      <c r="N56" s="48">
        <v>45976</v>
      </c>
      <c r="O56" s="47"/>
      <c r="P56" s="50"/>
      <c r="Q56" s="47"/>
      <c r="R56" s="47"/>
    </row>
    <row r="57" spans="1:18" x14ac:dyDescent="0.25">
      <c r="A57" s="47">
        <f t="shared" si="0"/>
        <v>56</v>
      </c>
      <c r="B57" s="47" t="s">
        <v>191</v>
      </c>
      <c r="C57" s="47" t="s">
        <v>187</v>
      </c>
      <c r="D57" s="47"/>
      <c r="E57" s="47" t="s">
        <v>188</v>
      </c>
      <c r="F57" s="47" t="s">
        <v>31</v>
      </c>
      <c r="G57" s="47" t="s">
        <v>200</v>
      </c>
      <c r="H57" s="47" t="str">
        <f t="shared" si="1"/>
        <v>POONCH</v>
      </c>
      <c r="I57" s="47" t="s">
        <v>203</v>
      </c>
      <c r="J57" s="48">
        <v>45968</v>
      </c>
      <c r="K57" s="47"/>
      <c r="L57" s="47" t="s">
        <v>195</v>
      </c>
      <c r="M57" s="49" t="s">
        <v>232</v>
      </c>
      <c r="N57" s="48">
        <v>45971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247</v>
      </c>
      <c r="C59" s="47" t="s">
        <v>248</v>
      </c>
      <c r="D59" s="47"/>
      <c r="E59" s="47" t="s">
        <v>249</v>
      </c>
      <c r="F59" s="47" t="s">
        <v>250</v>
      </c>
      <c r="G59" s="47" t="s">
        <v>200</v>
      </c>
      <c r="H59" s="47" t="str">
        <f t="shared" si="1"/>
        <v>SRINAGAR</v>
      </c>
      <c r="I59" s="47" t="s">
        <v>251</v>
      </c>
      <c r="J59" s="48">
        <v>45969</v>
      </c>
      <c r="K59" s="47"/>
      <c r="L59" s="47" t="s">
        <v>166</v>
      </c>
      <c r="M59" s="49" t="s">
        <v>6441</v>
      </c>
      <c r="N59" s="48">
        <v>45976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260</v>
      </c>
      <c r="C60" s="47" t="s">
        <v>244</v>
      </c>
      <c r="D60" s="47"/>
      <c r="E60" s="47" t="s">
        <v>243</v>
      </c>
      <c r="F60" s="47" t="s">
        <v>100</v>
      </c>
      <c r="G60" s="47" t="s">
        <v>200</v>
      </c>
      <c r="H60" s="47" t="str">
        <f t="shared" si="1"/>
        <v>BUDGAM</v>
      </c>
      <c r="I60" s="47" t="s">
        <v>245</v>
      </c>
      <c r="J60" s="48">
        <v>45969</v>
      </c>
      <c r="K60" s="47"/>
      <c r="L60" s="47" t="s">
        <v>106</v>
      </c>
      <c r="M60" s="49" t="s">
        <v>161</v>
      </c>
      <c r="N60" s="48">
        <v>45972</v>
      </c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213</v>
      </c>
      <c r="C61" s="47" t="s">
        <v>215</v>
      </c>
      <c r="D61" s="47" t="s">
        <v>8660</v>
      </c>
      <c r="E61" s="47" t="s">
        <v>217</v>
      </c>
      <c r="F61" s="47" t="s">
        <v>31</v>
      </c>
      <c r="G61" s="47" t="s">
        <v>221</v>
      </c>
      <c r="H61" s="47" t="str">
        <f t="shared" si="1"/>
        <v>PULWAMA</v>
      </c>
      <c r="I61" s="47" t="s">
        <v>235</v>
      </c>
      <c r="J61" s="48">
        <v>45969</v>
      </c>
      <c r="K61" s="47"/>
      <c r="L61" s="47" t="s">
        <v>219</v>
      </c>
      <c r="M61" s="49" t="s">
        <v>7615</v>
      </c>
      <c r="N61" s="48">
        <v>45983</v>
      </c>
      <c r="O61" s="47" t="s">
        <v>23</v>
      </c>
      <c r="P61" s="50">
        <v>46057</v>
      </c>
      <c r="Q61" s="47" t="s">
        <v>6460</v>
      </c>
      <c r="R61" s="47" t="s">
        <v>8656</v>
      </c>
    </row>
    <row r="62" spans="1:18" x14ac:dyDescent="0.25">
      <c r="A62" s="47">
        <f t="shared" si="0"/>
        <v>61</v>
      </c>
      <c r="B62" s="47" t="s">
        <v>214</v>
      </c>
      <c r="C62" s="47" t="s">
        <v>216</v>
      </c>
      <c r="D62" s="47"/>
      <c r="E62" s="47" t="s">
        <v>218</v>
      </c>
      <c r="F62" s="47" t="s">
        <v>31</v>
      </c>
      <c r="G62" s="47" t="s">
        <v>199</v>
      </c>
      <c r="H62" s="47" t="str">
        <f t="shared" si="1"/>
        <v>PULWAMA</v>
      </c>
      <c r="I62" s="47" t="s">
        <v>236</v>
      </c>
      <c r="J62" s="48">
        <v>45969</v>
      </c>
      <c r="K62" s="47"/>
      <c r="L62" s="47" t="s">
        <v>220</v>
      </c>
      <c r="M62" s="49" t="s">
        <v>6438</v>
      </c>
      <c r="N62" s="48">
        <v>45974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269</v>
      </c>
      <c r="C64" s="47" t="s">
        <v>267</v>
      </c>
      <c r="D64" s="47"/>
      <c r="E64" s="47" t="s">
        <v>268</v>
      </c>
      <c r="F64" s="47" t="s">
        <v>12</v>
      </c>
      <c r="G64" s="47" t="s">
        <v>200</v>
      </c>
      <c r="H64" s="47" t="str">
        <f t="shared" si="1"/>
        <v>KULGAM</v>
      </c>
      <c r="I64" s="47" t="s">
        <v>271</v>
      </c>
      <c r="J64" s="48">
        <v>45971</v>
      </c>
      <c r="K64" s="47"/>
      <c r="L64" s="47" t="s">
        <v>8</v>
      </c>
      <c r="M64" s="49" t="s">
        <v>7088</v>
      </c>
      <c r="N64" s="48">
        <v>46004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>
        <v>7006687035</v>
      </c>
      <c r="L65" s="47" t="s">
        <v>26</v>
      </c>
      <c r="M65" s="49" t="s">
        <v>7821</v>
      </c>
      <c r="N65" s="48">
        <v>45985</v>
      </c>
      <c r="O65" s="47"/>
      <c r="P65" s="50"/>
      <c r="Q65" s="47"/>
      <c r="R65" s="47"/>
    </row>
    <row r="66" spans="1:18" x14ac:dyDescent="0.25">
      <c r="A66" s="47">
        <f t="shared" ref="A66:A129" si="2">ROW()-1</f>
        <v>65</v>
      </c>
      <c r="B66" s="47" t="s">
        <v>228</v>
      </c>
      <c r="C66" s="47" t="s">
        <v>229</v>
      </c>
      <c r="D66" s="47"/>
      <c r="E66" s="47" t="s">
        <v>230</v>
      </c>
      <c r="F66" s="47" t="s">
        <v>67</v>
      </c>
      <c r="G66" s="47" t="s">
        <v>200</v>
      </c>
      <c r="H66" s="47" t="str">
        <f t="shared" ref="H66:H129" si="3">IF(LEFT(I66,4)="JK13","PULWAMA",IF(LEFT(I66,4)="JK01","SRINAGAR",IF(LEFT(I66,4)="JK04","BUDGAM",IF(LEFT(I66,4)="JK03","ANANTNAG",IF(LEFT(I66,4)="JK05","BARAMULLA",IF(LEFT(I66,4)="26BH","BHARAT",IF(LEFT(I66,4)="25BH","BHARAT",IF(LEFT(I66,4)="JK12","POONCH",IF(LEFT(I66,4)="JK18","KULGAM",IF(LEFT(I66,4)="JK22","SHOPIAN",IF(LEFT(I66,4)="JK02","JAMMU",IF(LEFT(I66,4)="JK09","KUPWARA",IF(LEFT(I66,4)="JK15","BANDIPORA",IF(LEFT(I66,4)="JK17","KISHTWAR",IF(LEFT(I66,4)="LA01","KARGIL",IF(LEFT(I66,1)="T","TEMP","NEW"))))))))))))))))</f>
        <v>SHOPIAN</v>
      </c>
      <c r="I66" s="47" t="s">
        <v>234</v>
      </c>
      <c r="J66" s="48">
        <v>45971</v>
      </c>
      <c r="K66" s="47"/>
      <c r="L66" s="47" t="s">
        <v>231</v>
      </c>
      <c r="M66" s="49" t="s">
        <v>6438</v>
      </c>
      <c r="N66" s="48">
        <v>45974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262</v>
      </c>
      <c r="C67" s="47" t="s">
        <v>265</v>
      </c>
      <c r="D67" s="47"/>
      <c r="E67" s="47" t="s">
        <v>266</v>
      </c>
      <c r="F67" s="47" t="s">
        <v>5</v>
      </c>
      <c r="G67" s="47" t="s">
        <v>199</v>
      </c>
      <c r="H67" s="47" t="str">
        <f t="shared" si="3"/>
        <v>SHOPIAN</v>
      </c>
      <c r="I67" s="47" t="s">
        <v>270</v>
      </c>
      <c r="J67" s="48">
        <v>45971</v>
      </c>
      <c r="K67" s="47"/>
      <c r="L67" s="47" t="s">
        <v>166</v>
      </c>
      <c r="M67" s="49" t="s">
        <v>6614</v>
      </c>
      <c r="N67" s="48">
        <v>45976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308</v>
      </c>
      <c r="C68" s="47" t="s">
        <v>309</v>
      </c>
      <c r="D68" s="47"/>
      <c r="E68" s="47" t="s">
        <v>310</v>
      </c>
      <c r="F68" s="47" t="s">
        <v>31</v>
      </c>
      <c r="G68" s="47" t="s">
        <v>175</v>
      </c>
      <c r="H68" s="47" t="str">
        <f t="shared" si="3"/>
        <v>SRINAGAR</v>
      </c>
      <c r="I68" s="47" t="s">
        <v>316</v>
      </c>
      <c r="J68" s="48">
        <v>45972</v>
      </c>
      <c r="K68" s="47">
        <v>9906506594</v>
      </c>
      <c r="L68" s="47" t="s">
        <v>6451</v>
      </c>
      <c r="M68" s="49" t="s">
        <v>6548</v>
      </c>
      <c r="N68" s="48">
        <v>45981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284</v>
      </c>
      <c r="C69" s="47" t="s">
        <v>286</v>
      </c>
      <c r="D69" s="47"/>
      <c r="E69" s="47" t="s">
        <v>287</v>
      </c>
      <c r="F69" s="47" t="s">
        <v>12</v>
      </c>
      <c r="G69" s="47" t="s">
        <v>200</v>
      </c>
      <c r="H69" s="47" t="str">
        <f t="shared" si="3"/>
        <v>ANANTNAG</v>
      </c>
      <c r="I69" s="47" t="s">
        <v>295</v>
      </c>
      <c r="J69" s="48">
        <v>45972</v>
      </c>
      <c r="K69" s="47"/>
      <c r="L69" s="47" t="s">
        <v>8</v>
      </c>
      <c r="M69" s="49" t="s">
        <v>6631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313</v>
      </c>
      <c r="C70" s="47" t="s">
        <v>312</v>
      </c>
      <c r="D70" s="47"/>
      <c r="E70" s="47" t="s">
        <v>311</v>
      </c>
      <c r="F70" s="47" t="s">
        <v>193</v>
      </c>
      <c r="G70" s="47" t="s">
        <v>200</v>
      </c>
      <c r="H70" s="47" t="str">
        <f t="shared" si="3"/>
        <v>PULWAMA</v>
      </c>
      <c r="I70" s="47" t="s">
        <v>317</v>
      </c>
      <c r="J70" s="48">
        <v>45972</v>
      </c>
      <c r="K70" s="47"/>
      <c r="L70" s="47" t="s">
        <v>321</v>
      </c>
      <c r="M70" s="49" t="s">
        <v>6447</v>
      </c>
      <c r="N70" s="48">
        <v>45975</v>
      </c>
      <c r="O70" s="47"/>
      <c r="P70" s="50"/>
      <c r="Q70" s="47"/>
      <c r="R70" s="47"/>
    </row>
    <row r="71" spans="1:18" x14ac:dyDescent="0.25">
      <c r="A71" s="47">
        <f t="shared" si="2"/>
        <v>70</v>
      </c>
      <c r="B71" s="47" t="s">
        <v>285</v>
      </c>
      <c r="C71" s="47" t="s">
        <v>288</v>
      </c>
      <c r="D71" s="47"/>
      <c r="E71" s="47" t="s">
        <v>289</v>
      </c>
      <c r="F71" s="47" t="s">
        <v>290</v>
      </c>
      <c r="G71" s="47" t="s">
        <v>175</v>
      </c>
      <c r="H71" s="47" t="str">
        <f t="shared" si="3"/>
        <v>PULWAMA</v>
      </c>
      <c r="I71" s="47" t="s">
        <v>296</v>
      </c>
      <c r="J71" s="48">
        <v>45972</v>
      </c>
      <c r="K71" s="47"/>
      <c r="L71" s="47" t="s">
        <v>43</v>
      </c>
      <c r="M71" s="49" t="s">
        <v>6461</v>
      </c>
      <c r="N71" s="48">
        <v>45976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301</v>
      </c>
      <c r="C72" s="47" t="s">
        <v>300</v>
      </c>
      <c r="D72" s="47"/>
      <c r="E72" s="47" t="s">
        <v>302</v>
      </c>
      <c r="F72" s="47" t="s">
        <v>31</v>
      </c>
      <c r="G72" s="47" t="s">
        <v>199</v>
      </c>
      <c r="H72" s="47" t="str">
        <f t="shared" si="3"/>
        <v>PULWAMA</v>
      </c>
      <c r="I72" s="47" t="s">
        <v>315</v>
      </c>
      <c r="J72" s="48">
        <v>45972</v>
      </c>
      <c r="K72" s="47"/>
      <c r="L72" s="47" t="s">
        <v>307</v>
      </c>
      <c r="M72" s="49" t="s">
        <v>6429</v>
      </c>
      <c r="N72" s="48">
        <v>45973</v>
      </c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305</v>
      </c>
      <c r="C73" s="47" t="s">
        <v>303</v>
      </c>
      <c r="D73" s="47"/>
      <c r="E73" s="47" t="s">
        <v>304</v>
      </c>
      <c r="F73" s="47" t="s">
        <v>100</v>
      </c>
      <c r="G73" s="47" t="s">
        <v>181</v>
      </c>
      <c r="H73" s="47" t="str">
        <f t="shared" si="3"/>
        <v>KULGAM</v>
      </c>
      <c r="I73" s="47" t="s">
        <v>6416</v>
      </c>
      <c r="J73" s="48">
        <v>45972</v>
      </c>
      <c r="K73" s="47"/>
      <c r="L73" s="47" t="s">
        <v>306</v>
      </c>
      <c r="M73" s="49" t="s">
        <v>6450</v>
      </c>
      <c r="N73" s="48"/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299</v>
      </c>
      <c r="C74" s="47" t="s">
        <v>297</v>
      </c>
      <c r="D74" s="47"/>
      <c r="E74" s="47" t="s">
        <v>298</v>
      </c>
      <c r="F74" s="47" t="s">
        <v>119</v>
      </c>
      <c r="G74" s="47" t="s">
        <v>174</v>
      </c>
      <c r="H74" s="47" t="str">
        <f t="shared" si="3"/>
        <v>SHOPIAN</v>
      </c>
      <c r="I74" s="47" t="s">
        <v>314</v>
      </c>
      <c r="J74" s="48">
        <v>45972</v>
      </c>
      <c r="K74" s="47"/>
      <c r="L74" s="47" t="s">
        <v>306</v>
      </c>
      <c r="M74" s="49"/>
      <c r="N74" s="48"/>
      <c r="O74" s="47" t="s">
        <v>23</v>
      </c>
      <c r="P74" s="50">
        <v>45974</v>
      </c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6423</v>
      </c>
      <c r="C76" s="47" t="s">
        <v>6425</v>
      </c>
      <c r="D76" s="47"/>
      <c r="E76" s="47" t="s">
        <v>6424</v>
      </c>
      <c r="F76" s="47" t="s">
        <v>5</v>
      </c>
      <c r="G76" s="47" t="s">
        <v>200</v>
      </c>
      <c r="H76" s="47" t="str">
        <f t="shared" si="3"/>
        <v>POONCH</v>
      </c>
      <c r="I76" s="47" t="s">
        <v>6428</v>
      </c>
      <c r="J76" s="48">
        <v>45973</v>
      </c>
      <c r="K76" s="47"/>
      <c r="L76" s="47" t="s">
        <v>6427</v>
      </c>
      <c r="M76" s="49" t="s">
        <v>6447</v>
      </c>
      <c r="N76" s="48">
        <v>45975</v>
      </c>
      <c r="O76" s="47" t="s">
        <v>23</v>
      </c>
      <c r="P76" s="50">
        <v>45976</v>
      </c>
      <c r="Q76" s="47"/>
      <c r="R76" s="47"/>
    </row>
    <row r="77" spans="1:18" x14ac:dyDescent="0.25">
      <c r="A77" s="47">
        <f t="shared" si="2"/>
        <v>76</v>
      </c>
      <c r="B77" s="47" t="s">
        <v>6422</v>
      </c>
      <c r="C77" s="47" t="s">
        <v>6418</v>
      </c>
      <c r="D77" s="47"/>
      <c r="E77" s="47" t="s">
        <v>6419</v>
      </c>
      <c r="F77" s="47" t="s">
        <v>6420</v>
      </c>
      <c r="G77" s="47" t="s">
        <v>221</v>
      </c>
      <c r="H77" s="47" t="str">
        <f t="shared" si="3"/>
        <v>PULWAMA</v>
      </c>
      <c r="I77" s="47" t="s">
        <v>6426</v>
      </c>
      <c r="J77" s="48">
        <v>45973</v>
      </c>
      <c r="K77" s="47">
        <v>8899949973</v>
      </c>
      <c r="L77" s="47" t="s">
        <v>6421</v>
      </c>
      <c r="M77" s="49" t="s">
        <v>6441</v>
      </c>
      <c r="N77" s="48">
        <v>45976</v>
      </c>
      <c r="O77" s="47"/>
      <c r="P77" s="50"/>
      <c r="Q77" s="47"/>
      <c r="R77" s="47"/>
    </row>
    <row r="78" spans="1:18" x14ac:dyDescent="0.25">
      <c r="A78" s="47">
        <f t="shared" si="2"/>
        <v>77</v>
      </c>
      <c r="B78" s="47" t="s">
        <v>6437</v>
      </c>
      <c r="C78" s="47" t="s">
        <v>6436</v>
      </c>
      <c r="D78" s="47"/>
      <c r="E78" s="47" t="s">
        <v>613</v>
      </c>
      <c r="F78" s="47" t="s">
        <v>125</v>
      </c>
      <c r="G78" s="47" t="s">
        <v>199</v>
      </c>
      <c r="H78" s="47" t="str">
        <f t="shared" si="3"/>
        <v>SRINAGAR</v>
      </c>
      <c r="I78" s="47" t="s">
        <v>6439</v>
      </c>
      <c r="J78" s="48">
        <v>45974</v>
      </c>
      <c r="K78" s="47"/>
      <c r="L78" s="47" t="s">
        <v>166</v>
      </c>
      <c r="M78" s="49" t="s">
        <v>272</v>
      </c>
      <c r="N78" s="48">
        <v>45976</v>
      </c>
      <c r="O78" s="47" t="s">
        <v>6445</v>
      </c>
      <c r="P78" s="50">
        <v>45974</v>
      </c>
      <c r="Q78" s="47"/>
      <c r="R78" s="47"/>
    </row>
    <row r="79" spans="1:18" x14ac:dyDescent="0.25">
      <c r="A79" s="47">
        <f t="shared" si="2"/>
        <v>78</v>
      </c>
      <c r="B79" s="47" t="s">
        <v>6431</v>
      </c>
      <c r="C79" s="47" t="s">
        <v>6432</v>
      </c>
      <c r="D79" s="47"/>
      <c r="E79" s="47" t="s">
        <v>6433</v>
      </c>
      <c r="F79" s="47" t="s">
        <v>486</v>
      </c>
      <c r="G79" s="47" t="s">
        <v>175</v>
      </c>
      <c r="H79" s="47" t="str">
        <f t="shared" si="3"/>
        <v>PULWAMA</v>
      </c>
      <c r="I79" s="47" t="s">
        <v>6435</v>
      </c>
      <c r="J79" s="48">
        <v>45974</v>
      </c>
      <c r="K79" s="47">
        <v>7051530181</v>
      </c>
      <c r="L79" s="47" t="s">
        <v>6434</v>
      </c>
      <c r="M79" s="49" t="s">
        <v>6629</v>
      </c>
      <c r="N79" s="48">
        <v>45986</v>
      </c>
      <c r="O79" s="47" t="s">
        <v>23</v>
      </c>
      <c r="P79" s="50">
        <v>45986</v>
      </c>
      <c r="Q79" s="47" t="s">
        <v>6460</v>
      </c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6469</v>
      </c>
      <c r="C83" s="47" t="s">
        <v>6470</v>
      </c>
      <c r="D83" s="47"/>
      <c r="E83" s="47" t="s">
        <v>6471</v>
      </c>
      <c r="F83" s="47" t="s">
        <v>12</v>
      </c>
      <c r="G83" s="47" t="s">
        <v>200</v>
      </c>
      <c r="H83" s="47" t="str">
        <f t="shared" si="3"/>
        <v>SRINAGAR</v>
      </c>
      <c r="I83" s="47" t="s">
        <v>6479</v>
      </c>
      <c r="J83" s="48">
        <v>45978</v>
      </c>
      <c r="K83" s="47">
        <v>9596233480</v>
      </c>
      <c r="L83" s="47" t="s">
        <v>18</v>
      </c>
      <c r="M83" s="49"/>
      <c r="N83" s="48"/>
      <c r="O83" s="50" t="s">
        <v>23</v>
      </c>
      <c r="P83" s="50">
        <v>45978</v>
      </c>
      <c r="Q83" s="47"/>
      <c r="R83" s="47"/>
    </row>
    <row r="84" spans="1:18" x14ac:dyDescent="0.25">
      <c r="A84" s="47">
        <f t="shared" si="2"/>
        <v>83</v>
      </c>
      <c r="B84" s="47" t="s">
        <v>6480</v>
      </c>
      <c r="C84" s="47" t="s">
        <v>6483</v>
      </c>
      <c r="D84" s="47"/>
      <c r="E84" s="47" t="s">
        <v>6484</v>
      </c>
      <c r="F84" s="47" t="s">
        <v>119</v>
      </c>
      <c r="G84" s="47" t="s">
        <v>200</v>
      </c>
      <c r="H84" s="47" t="str">
        <f t="shared" si="3"/>
        <v>ANANTNAG</v>
      </c>
      <c r="I84" s="47" t="s">
        <v>6493</v>
      </c>
      <c r="J84" s="48">
        <v>45978</v>
      </c>
      <c r="K84" s="47">
        <v>7889924708</v>
      </c>
      <c r="L84" s="47" t="s">
        <v>6488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6481</v>
      </c>
      <c r="C85" s="47" t="s">
        <v>6485</v>
      </c>
      <c r="D85" s="47"/>
      <c r="E85" s="47" t="s">
        <v>6486</v>
      </c>
      <c r="F85" s="47" t="s">
        <v>5</v>
      </c>
      <c r="G85" s="47" t="s">
        <v>199</v>
      </c>
      <c r="H85" s="47" t="str">
        <f t="shared" si="3"/>
        <v>ANANTNAG</v>
      </c>
      <c r="I85" s="47" t="s">
        <v>6495</v>
      </c>
      <c r="J85" s="48">
        <v>45978</v>
      </c>
      <c r="K85" s="47">
        <v>6005838461</v>
      </c>
      <c r="L85" s="47" t="s">
        <v>48</v>
      </c>
      <c r="M85" s="49"/>
      <c r="N85" s="48"/>
      <c r="O85" s="47" t="s">
        <v>23</v>
      </c>
      <c r="P85" s="50">
        <v>46018</v>
      </c>
      <c r="Q85" s="47" t="s">
        <v>6460</v>
      </c>
      <c r="R85" s="47"/>
    </row>
    <row r="86" spans="1:18" x14ac:dyDescent="0.25">
      <c r="A86" s="47">
        <f t="shared" si="2"/>
        <v>85</v>
      </c>
      <c r="B86" s="47" t="s">
        <v>6482</v>
      </c>
      <c r="C86" s="47" t="s">
        <v>6487</v>
      </c>
      <c r="D86" s="47"/>
      <c r="E86" s="47" t="s">
        <v>1289</v>
      </c>
      <c r="F86" s="47" t="s">
        <v>5</v>
      </c>
      <c r="G86" s="47" t="s">
        <v>199</v>
      </c>
      <c r="H86" s="47" t="str">
        <f t="shared" si="3"/>
        <v>ANANTNAG</v>
      </c>
      <c r="I86" s="47" t="s">
        <v>6494</v>
      </c>
      <c r="J86" s="48">
        <v>45978</v>
      </c>
      <c r="K86" s="47">
        <v>9622999002</v>
      </c>
      <c r="L86" s="47" t="s">
        <v>6488</v>
      </c>
      <c r="M86" s="49"/>
      <c r="N86" s="48"/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6462</v>
      </c>
      <c r="C87" s="47" t="s">
        <v>6464</v>
      </c>
      <c r="D87" s="47"/>
      <c r="E87" s="47" t="s">
        <v>6465</v>
      </c>
      <c r="F87" s="47" t="s">
        <v>125</v>
      </c>
      <c r="G87" s="47" t="s">
        <v>200</v>
      </c>
      <c r="H87" s="47" t="str">
        <f t="shared" si="3"/>
        <v>POONCH</v>
      </c>
      <c r="I87" s="47" t="s">
        <v>6472</v>
      </c>
      <c r="J87" s="48">
        <v>45978</v>
      </c>
      <c r="K87" s="47">
        <v>7889743290</v>
      </c>
      <c r="L87" s="47" t="s">
        <v>195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6476</v>
      </c>
      <c r="C88" s="47" t="s">
        <v>6474</v>
      </c>
      <c r="D88" s="47"/>
      <c r="E88" s="47" t="s">
        <v>6473</v>
      </c>
      <c r="F88" s="47" t="s">
        <v>238</v>
      </c>
      <c r="G88" s="47" t="s">
        <v>6475</v>
      </c>
      <c r="H88" s="47" t="str">
        <f t="shared" si="3"/>
        <v>PULWAMA</v>
      </c>
      <c r="I88" s="47" t="s">
        <v>6478</v>
      </c>
      <c r="J88" s="48">
        <v>45978</v>
      </c>
      <c r="K88" s="47">
        <v>9541233227</v>
      </c>
      <c r="L88" s="47" t="s">
        <v>166</v>
      </c>
      <c r="M88" s="49" t="s">
        <v>6615</v>
      </c>
      <c r="N88" s="48">
        <v>45985</v>
      </c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6489</v>
      </c>
      <c r="C89" s="47" t="s">
        <v>6490</v>
      </c>
      <c r="D89" s="47"/>
      <c r="E89" s="47" t="s">
        <v>6491</v>
      </c>
      <c r="F89" s="47" t="s">
        <v>125</v>
      </c>
      <c r="G89" s="47" t="s">
        <v>6492</v>
      </c>
      <c r="H89" s="47" t="str">
        <f t="shared" si="3"/>
        <v>PULWAMA</v>
      </c>
      <c r="I89" s="47" t="s">
        <v>6496</v>
      </c>
      <c r="J89" s="48">
        <v>45978</v>
      </c>
      <c r="K89" s="47">
        <v>8899677753</v>
      </c>
      <c r="L89" s="47"/>
      <c r="M89" s="49" t="s">
        <v>6629</v>
      </c>
      <c r="N89" s="48">
        <v>45986</v>
      </c>
      <c r="O89" s="47" t="s">
        <v>23</v>
      </c>
      <c r="P89" s="50">
        <v>45986</v>
      </c>
      <c r="Q89" s="47" t="s">
        <v>6460</v>
      </c>
      <c r="R89" s="47"/>
    </row>
    <row r="90" spans="1:18" x14ac:dyDescent="0.25">
      <c r="A90" s="47">
        <f t="shared" si="2"/>
        <v>89</v>
      </c>
      <c r="B90" s="47" t="s">
        <v>6463</v>
      </c>
      <c r="C90" s="47" t="s">
        <v>6466</v>
      </c>
      <c r="D90" s="47"/>
      <c r="E90" s="47" t="s">
        <v>6467</v>
      </c>
      <c r="F90" s="47" t="s">
        <v>119</v>
      </c>
      <c r="G90" s="47" t="s">
        <v>200</v>
      </c>
      <c r="H90" s="47" t="str">
        <f t="shared" si="3"/>
        <v>SHOPIAN</v>
      </c>
      <c r="I90" s="47" t="s">
        <v>6477</v>
      </c>
      <c r="J90" s="48">
        <v>45978</v>
      </c>
      <c r="K90" s="47">
        <v>6006972935</v>
      </c>
      <c r="L90" s="47" t="s">
        <v>6468</v>
      </c>
      <c r="M90" s="49"/>
      <c r="N90" s="48"/>
      <c r="O90" s="47"/>
      <c r="P90" s="50"/>
      <c r="Q90" s="47"/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2"/>
        <v>91</v>
      </c>
      <c r="B92" s="47" t="s">
        <v>6507</v>
      </c>
      <c r="C92" s="47" t="s">
        <v>6510</v>
      </c>
      <c r="D92" s="47"/>
      <c r="E92" s="47" t="s">
        <v>6511</v>
      </c>
      <c r="F92" s="47" t="s">
        <v>12</v>
      </c>
      <c r="G92" s="47" t="s">
        <v>181</v>
      </c>
      <c r="H92" s="47" t="str">
        <f t="shared" si="3"/>
        <v>SRINAGAR</v>
      </c>
      <c r="I92" s="47" t="s">
        <v>6513</v>
      </c>
      <c r="J92" s="48">
        <v>45979</v>
      </c>
      <c r="K92" s="47">
        <v>8491813907</v>
      </c>
      <c r="L92" s="47" t="s">
        <v>48</v>
      </c>
      <c r="M92" s="49"/>
      <c r="N92" s="48"/>
      <c r="O92" s="47" t="s">
        <v>23</v>
      </c>
      <c r="P92" s="50">
        <v>46013</v>
      </c>
      <c r="Q92" s="47" t="s">
        <v>6460</v>
      </c>
      <c r="R92" s="47"/>
    </row>
    <row r="93" spans="1:18" x14ac:dyDescent="0.25">
      <c r="A93" s="47">
        <f t="shared" si="2"/>
        <v>92</v>
      </c>
      <c r="B93" s="47" t="s">
        <v>6515</v>
      </c>
      <c r="C93" s="47" t="s">
        <v>6516</v>
      </c>
      <c r="D93" s="47" t="s">
        <v>7633</v>
      </c>
      <c r="E93" s="47" t="s">
        <v>6517</v>
      </c>
      <c r="F93" s="47" t="s">
        <v>119</v>
      </c>
      <c r="G93" s="47" t="s">
        <v>200</v>
      </c>
      <c r="H93" s="47" t="str">
        <f t="shared" si="3"/>
        <v>SRINAGAR</v>
      </c>
      <c r="I93" s="47" t="s">
        <v>6522</v>
      </c>
      <c r="J93" s="48">
        <v>45979</v>
      </c>
      <c r="K93" s="47">
        <v>9469842084</v>
      </c>
      <c r="L93" s="47" t="s">
        <v>194</v>
      </c>
      <c r="M93" s="49"/>
      <c r="N93" s="48"/>
      <c r="O93" s="47" t="s">
        <v>23</v>
      </c>
      <c r="P93" s="50">
        <v>46018</v>
      </c>
      <c r="Q93" s="47" t="s">
        <v>6460</v>
      </c>
      <c r="R93" s="47"/>
    </row>
    <row r="94" spans="1:18" x14ac:dyDescent="0.25">
      <c r="A94" s="47">
        <f t="shared" si="2"/>
        <v>93</v>
      </c>
      <c r="B94" s="47" t="s">
        <v>6518</v>
      </c>
      <c r="C94" s="47" t="s">
        <v>6519</v>
      </c>
      <c r="D94" s="47"/>
      <c r="E94" s="47" t="s">
        <v>6520</v>
      </c>
      <c r="F94" s="47" t="s">
        <v>37</v>
      </c>
      <c r="G94" s="47" t="s">
        <v>181</v>
      </c>
      <c r="H94" s="47" t="str">
        <f t="shared" si="3"/>
        <v>PULWAMA</v>
      </c>
      <c r="I94" s="47" t="s">
        <v>6523</v>
      </c>
      <c r="J94" s="48">
        <v>45979</v>
      </c>
      <c r="K94" s="47">
        <v>9541759422</v>
      </c>
      <c r="L94" s="47" t="s">
        <v>6521</v>
      </c>
      <c r="M94" s="49"/>
      <c r="N94" s="48"/>
      <c r="O94" s="47"/>
      <c r="P94" s="50"/>
      <c r="Q94" s="47"/>
      <c r="R94" s="47"/>
    </row>
    <row r="95" spans="1:18" x14ac:dyDescent="0.25">
      <c r="A95" s="47">
        <f t="shared" si="2"/>
        <v>94</v>
      </c>
      <c r="B95" s="47" t="s">
        <v>6506</v>
      </c>
      <c r="C95" s="47" t="s">
        <v>6508</v>
      </c>
      <c r="D95" s="47"/>
      <c r="E95" s="47" t="s">
        <v>6509</v>
      </c>
      <c r="F95" s="47" t="s">
        <v>5</v>
      </c>
      <c r="G95" s="47" t="s">
        <v>199</v>
      </c>
      <c r="H95" s="47" t="str">
        <f t="shared" si="3"/>
        <v>SHOPIAN</v>
      </c>
      <c r="I95" s="47" t="s">
        <v>6514</v>
      </c>
      <c r="J95" s="48">
        <v>45979</v>
      </c>
      <c r="K95" s="47">
        <v>8492939303</v>
      </c>
      <c r="L95" s="47" t="s">
        <v>6512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6504</v>
      </c>
      <c r="C96" s="47" t="s">
        <v>6503</v>
      </c>
      <c r="D96" s="47"/>
      <c r="E96" s="47" t="s">
        <v>6502</v>
      </c>
      <c r="F96" s="47" t="s">
        <v>1264</v>
      </c>
      <c r="G96" s="47" t="s">
        <v>174</v>
      </c>
      <c r="H96" s="47" t="str">
        <f t="shared" si="3"/>
        <v>TEMP</v>
      </c>
      <c r="I96" s="47" t="s">
        <v>6505</v>
      </c>
      <c r="J96" s="48">
        <v>45979</v>
      </c>
      <c r="K96" s="47">
        <v>9419687942</v>
      </c>
      <c r="L96" s="47" t="s">
        <v>48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6933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6934</v>
      </c>
      <c r="N97" s="48" t="s">
        <v>8244</v>
      </c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6526</v>
      </c>
      <c r="C98" s="47" t="s">
        <v>6531</v>
      </c>
      <c r="D98" s="47"/>
      <c r="E98" s="47" t="s">
        <v>6532</v>
      </c>
      <c r="F98" s="47" t="s">
        <v>12</v>
      </c>
      <c r="G98" s="47" t="s">
        <v>200</v>
      </c>
      <c r="H98" s="47" t="str">
        <f t="shared" si="3"/>
        <v>PULWAMA</v>
      </c>
      <c r="I98" s="47" t="s">
        <v>6535</v>
      </c>
      <c r="J98" s="48">
        <v>45980</v>
      </c>
      <c r="K98" s="47">
        <v>9906919638</v>
      </c>
      <c r="L98" s="47"/>
      <c r="M98" s="49" t="s">
        <v>6629</v>
      </c>
      <c r="N98" s="48">
        <v>45986</v>
      </c>
      <c r="O98" s="47" t="s">
        <v>23</v>
      </c>
      <c r="P98" s="50">
        <v>45986</v>
      </c>
      <c r="Q98" s="47" t="s">
        <v>6460</v>
      </c>
      <c r="R98" s="47"/>
    </row>
    <row r="99" spans="1:23" x14ac:dyDescent="0.25">
      <c r="A99" s="47">
        <f t="shared" si="2"/>
        <v>98</v>
      </c>
      <c r="B99" s="47" t="s">
        <v>6525</v>
      </c>
      <c r="C99" s="47" t="s">
        <v>6529</v>
      </c>
      <c r="D99" s="47"/>
      <c r="E99" s="47" t="s">
        <v>6530</v>
      </c>
      <c r="F99" s="47" t="s">
        <v>5</v>
      </c>
      <c r="G99" s="47" t="s">
        <v>199</v>
      </c>
      <c r="H99" s="47" t="str">
        <f t="shared" si="3"/>
        <v>PULWAMA</v>
      </c>
      <c r="I99" s="47" t="s">
        <v>6534</v>
      </c>
      <c r="J99" s="48">
        <v>45980</v>
      </c>
      <c r="K99" s="47">
        <v>8494018577</v>
      </c>
      <c r="L99" s="47" t="s">
        <v>66</v>
      </c>
      <c r="M99" s="49"/>
      <c r="N99" s="48"/>
      <c r="O99" s="47"/>
      <c r="P99" s="50"/>
      <c r="Q99" s="47"/>
      <c r="R99" s="47"/>
    </row>
    <row r="100" spans="1:23" x14ac:dyDescent="0.25">
      <c r="A100" s="47">
        <f t="shared" si="2"/>
        <v>99</v>
      </c>
      <c r="B100" s="47" t="s">
        <v>6551</v>
      </c>
      <c r="C100" s="47" t="s">
        <v>6553</v>
      </c>
      <c r="D100" s="47"/>
      <c r="E100" s="47" t="s">
        <v>6554</v>
      </c>
      <c r="F100" s="47" t="s">
        <v>12</v>
      </c>
      <c r="G100" s="47" t="s">
        <v>226</v>
      </c>
      <c r="H100" s="47" t="str">
        <f t="shared" si="3"/>
        <v>BHARAT</v>
      </c>
      <c r="I100" s="47" t="s">
        <v>6636</v>
      </c>
      <c r="J100" s="48">
        <v>45981</v>
      </c>
      <c r="K100" s="47">
        <v>8269441160</v>
      </c>
      <c r="L100" s="47" t="s">
        <v>48</v>
      </c>
      <c r="M100" s="49"/>
      <c r="N100" s="48"/>
      <c r="O100" s="47" t="s">
        <v>6445</v>
      </c>
      <c r="P100" s="50">
        <v>45988</v>
      </c>
      <c r="Q100" s="47"/>
      <c r="R100" s="47"/>
    </row>
    <row r="101" spans="1:23" x14ac:dyDescent="0.25">
      <c r="A101" s="47">
        <f t="shared" si="2"/>
        <v>100</v>
      </c>
      <c r="B101" s="47" t="s">
        <v>6552</v>
      </c>
      <c r="C101" s="47" t="s">
        <v>6555</v>
      </c>
      <c r="D101" s="47"/>
      <c r="E101" s="47" t="s">
        <v>6556</v>
      </c>
      <c r="F101" s="47" t="s">
        <v>100</v>
      </c>
      <c r="G101" s="47" t="s">
        <v>181</v>
      </c>
      <c r="H101" s="47" t="str">
        <f t="shared" si="3"/>
        <v>SRINAGAR</v>
      </c>
      <c r="I101" s="47" t="s">
        <v>6569</v>
      </c>
      <c r="J101" s="48">
        <v>45981</v>
      </c>
      <c r="K101" s="47">
        <v>9419081122</v>
      </c>
      <c r="L101" s="47" t="s">
        <v>176</v>
      </c>
      <c r="M101" s="53"/>
      <c r="N101" s="3"/>
      <c r="P101" s="2"/>
      <c r="Q101" s="47"/>
      <c r="R101" s="47"/>
    </row>
    <row r="102" spans="1:23" x14ac:dyDescent="0.25">
      <c r="A102" s="47">
        <f t="shared" si="2"/>
        <v>101</v>
      </c>
      <c r="B102" s="47" t="s">
        <v>6547</v>
      </c>
      <c r="C102" s="47" t="s">
        <v>6544</v>
      </c>
      <c r="D102" s="47"/>
      <c r="E102" s="47" t="s">
        <v>6545</v>
      </c>
      <c r="F102" s="47" t="s">
        <v>6546</v>
      </c>
      <c r="G102" s="47" t="s">
        <v>6475</v>
      </c>
      <c r="H102" s="47" t="str">
        <f t="shared" si="3"/>
        <v>SRINAGAR</v>
      </c>
      <c r="I102" s="47" t="s">
        <v>6568</v>
      </c>
      <c r="J102" s="48">
        <v>45981</v>
      </c>
      <c r="K102" s="47">
        <v>9541333565</v>
      </c>
      <c r="L102" s="47" t="s">
        <v>43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6542</v>
      </c>
      <c r="C103" s="47" t="s">
        <v>6543</v>
      </c>
      <c r="D103" s="47"/>
      <c r="E103" s="47" t="s">
        <v>3015</v>
      </c>
      <c r="F103" s="47" t="s">
        <v>119</v>
      </c>
      <c r="G103" s="47" t="s">
        <v>174</v>
      </c>
      <c r="H103" s="47" t="str">
        <f t="shared" si="3"/>
        <v>BUDGAM</v>
      </c>
      <c r="I103" s="47" t="s">
        <v>6567</v>
      </c>
      <c r="J103" s="48">
        <v>45981</v>
      </c>
      <c r="K103" s="47">
        <v>6005783340</v>
      </c>
      <c r="L103" s="47" t="s">
        <v>2172</v>
      </c>
      <c r="M103" s="49" t="s">
        <v>7714</v>
      </c>
      <c r="N103" s="48">
        <v>46020</v>
      </c>
      <c r="O103" s="47"/>
      <c r="P103" s="50"/>
      <c r="Q103" s="47"/>
      <c r="R103" s="47"/>
    </row>
    <row r="104" spans="1:23" x14ac:dyDescent="0.25">
      <c r="A104" s="47">
        <f t="shared" si="2"/>
        <v>103</v>
      </c>
      <c r="B104" s="47" t="s">
        <v>6572</v>
      </c>
      <c r="C104" s="47" t="s">
        <v>6573</v>
      </c>
      <c r="D104" s="47"/>
      <c r="E104" s="47" t="s">
        <v>6571</v>
      </c>
      <c r="F104" s="47" t="s">
        <v>3130</v>
      </c>
      <c r="G104" s="47" t="s">
        <v>174</v>
      </c>
      <c r="H104" s="47" t="str">
        <f t="shared" si="3"/>
        <v>BARAMULLA</v>
      </c>
      <c r="I104" s="47" t="s">
        <v>6574</v>
      </c>
      <c r="J104" s="48">
        <v>45981</v>
      </c>
      <c r="K104" s="47">
        <v>9797300880</v>
      </c>
      <c r="L104" s="47" t="s">
        <v>3926</v>
      </c>
      <c r="M104" s="49"/>
      <c r="N104" s="48"/>
      <c r="O104" s="47" t="s">
        <v>23</v>
      </c>
      <c r="P104" s="50">
        <v>46011</v>
      </c>
      <c r="Q104" s="47" t="s">
        <v>6460</v>
      </c>
      <c r="R104" s="47"/>
    </row>
    <row r="105" spans="1:23" x14ac:dyDescent="0.25">
      <c r="A105" s="47">
        <f t="shared" si="2"/>
        <v>104</v>
      </c>
      <c r="B105" s="47" t="s">
        <v>6558</v>
      </c>
      <c r="C105" s="47" t="s">
        <v>6549</v>
      </c>
      <c r="D105" s="47"/>
      <c r="E105" s="47" t="s">
        <v>6550</v>
      </c>
      <c r="F105" s="47" t="s">
        <v>119</v>
      </c>
      <c r="G105" s="47" t="s">
        <v>174</v>
      </c>
      <c r="H105" s="47" t="str">
        <f t="shared" si="3"/>
        <v>PULWAMA</v>
      </c>
      <c r="I105" s="47" t="s">
        <v>6565</v>
      </c>
      <c r="J105" s="48">
        <v>45981</v>
      </c>
      <c r="K105" s="47">
        <v>9596342820</v>
      </c>
      <c r="L105" s="47" t="s">
        <v>166</v>
      </c>
      <c r="M105" s="49"/>
      <c r="N105" s="48"/>
      <c r="O105" s="47"/>
      <c r="P105" s="50"/>
      <c r="Q105" s="47"/>
      <c r="R105" s="47"/>
    </row>
    <row r="106" spans="1:23" x14ac:dyDescent="0.25">
      <c r="A106" s="47">
        <f t="shared" si="2"/>
        <v>105</v>
      </c>
      <c r="B106" s="47" t="s">
        <v>6557</v>
      </c>
      <c r="C106" s="47" t="s">
        <v>6560</v>
      </c>
      <c r="D106" s="47"/>
      <c r="E106" s="47" t="s">
        <v>6561</v>
      </c>
      <c r="F106" s="47" t="s">
        <v>125</v>
      </c>
      <c r="G106" s="47" t="s">
        <v>175</v>
      </c>
      <c r="H106" s="47" t="str">
        <f t="shared" si="3"/>
        <v>PULWAMA</v>
      </c>
      <c r="I106" s="47" t="s">
        <v>6564</v>
      </c>
      <c r="J106" s="48">
        <v>45981</v>
      </c>
      <c r="K106" s="47">
        <v>9906121652</v>
      </c>
      <c r="L106" s="47" t="s">
        <v>6521</v>
      </c>
      <c r="M106" s="49" t="s">
        <v>6629</v>
      </c>
      <c r="N106" s="48">
        <v>45986</v>
      </c>
      <c r="O106" s="47" t="s">
        <v>23</v>
      </c>
      <c r="P106" s="50">
        <v>45986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6559</v>
      </c>
      <c r="C107" s="47" t="s">
        <v>6562</v>
      </c>
      <c r="D107" s="47"/>
      <c r="E107" s="47" t="s">
        <v>6563</v>
      </c>
      <c r="F107" s="47" t="s">
        <v>100</v>
      </c>
      <c r="G107" s="47" t="s">
        <v>200</v>
      </c>
      <c r="H107" s="47" t="str">
        <f t="shared" si="3"/>
        <v>SHOPIAN</v>
      </c>
      <c r="I107" s="47" t="s">
        <v>6566</v>
      </c>
      <c r="J107" s="48">
        <v>45981</v>
      </c>
      <c r="K107" s="47">
        <v>9906463872</v>
      </c>
      <c r="L107" s="47" t="s">
        <v>6570</v>
      </c>
      <c r="M107" s="49"/>
      <c r="N107" s="48"/>
      <c r="O107" s="47" t="s">
        <v>23</v>
      </c>
      <c r="P107" s="50">
        <v>45990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6586</v>
      </c>
      <c r="C108" s="47" t="s">
        <v>6584</v>
      </c>
      <c r="D108" s="47" t="s">
        <v>6724</v>
      </c>
      <c r="E108" s="47" t="s">
        <v>2638</v>
      </c>
      <c r="F108" s="47" t="s">
        <v>100</v>
      </c>
      <c r="G108" s="47" t="s">
        <v>226</v>
      </c>
      <c r="H108" s="47" t="str">
        <f t="shared" si="3"/>
        <v>SRINAGAR</v>
      </c>
      <c r="I108" s="47" t="s">
        <v>6729</v>
      </c>
      <c r="J108" s="48">
        <v>45982</v>
      </c>
      <c r="K108" s="47">
        <v>7006756136</v>
      </c>
      <c r="L108" s="47" t="s">
        <v>6585</v>
      </c>
      <c r="M108" s="49" t="s">
        <v>7715</v>
      </c>
      <c r="N108" s="48">
        <v>46020</v>
      </c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6577</v>
      </c>
      <c r="C109" s="47" t="s">
        <v>6576</v>
      </c>
      <c r="D109" s="47"/>
      <c r="E109" s="47" t="s">
        <v>6575</v>
      </c>
      <c r="F109" s="47" t="s">
        <v>31</v>
      </c>
      <c r="G109" s="47" t="s">
        <v>200</v>
      </c>
      <c r="H109" s="47" t="str">
        <f t="shared" si="3"/>
        <v>PULWAMA</v>
      </c>
      <c r="I109" s="47" t="s">
        <v>6582</v>
      </c>
      <c r="J109" s="48">
        <v>45982</v>
      </c>
      <c r="K109" s="47">
        <v>9596083598</v>
      </c>
      <c r="L109" s="47" t="s">
        <v>166</v>
      </c>
      <c r="M109" s="49"/>
      <c r="N109" s="48"/>
      <c r="O109" s="47"/>
      <c r="P109" s="50"/>
      <c r="Q109" s="47"/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6581</v>
      </c>
      <c r="C110" s="47" t="s">
        <v>6578</v>
      </c>
      <c r="D110" s="47" t="s">
        <v>6710</v>
      </c>
      <c r="E110" s="47" t="s">
        <v>6579</v>
      </c>
      <c r="F110" s="47" t="s">
        <v>119</v>
      </c>
      <c r="G110" s="47" t="s">
        <v>175</v>
      </c>
      <c r="H110" s="47" t="str">
        <f t="shared" si="3"/>
        <v>PULWAMA</v>
      </c>
      <c r="I110" s="47" t="s">
        <v>6583</v>
      </c>
      <c r="J110" s="48">
        <v>45982</v>
      </c>
      <c r="K110" s="47">
        <v>8825052137</v>
      </c>
      <c r="L110" s="47" t="s">
        <v>6580</v>
      </c>
      <c r="M110" s="49"/>
      <c r="N110" s="48"/>
      <c r="O110" s="47" t="s">
        <v>23</v>
      </c>
      <c r="P110" s="50">
        <v>45990</v>
      </c>
      <c r="Q110" s="47" t="s">
        <v>6460</v>
      </c>
      <c r="R110" s="47"/>
    </row>
    <row r="111" spans="1:23" x14ac:dyDescent="0.25">
      <c r="A111" s="47">
        <f t="shared" si="2"/>
        <v>110</v>
      </c>
      <c r="B111" s="47" t="s">
        <v>6606</v>
      </c>
      <c r="C111" s="47" t="s">
        <v>6604</v>
      </c>
      <c r="D111" s="47"/>
      <c r="E111" s="47" t="s">
        <v>6603</v>
      </c>
      <c r="F111" s="47" t="s">
        <v>6605</v>
      </c>
      <c r="G111" s="47" t="s">
        <v>226</v>
      </c>
      <c r="H111" s="47" t="str">
        <f t="shared" si="3"/>
        <v>SRINAGAR</v>
      </c>
      <c r="I111" s="47" t="s">
        <v>6607</v>
      </c>
      <c r="J111" s="48">
        <v>45983</v>
      </c>
      <c r="K111" s="47">
        <v>7006736251</v>
      </c>
      <c r="L111" s="47" t="s">
        <v>6451</v>
      </c>
      <c r="M111" s="49" t="s">
        <v>6927</v>
      </c>
      <c r="N111" s="48">
        <v>45997</v>
      </c>
      <c r="O111" s="47"/>
      <c r="P111" s="50"/>
      <c r="Q111" s="47"/>
      <c r="R111" s="47" t="s">
        <v>6609</v>
      </c>
    </row>
    <row r="112" spans="1:23" x14ac:dyDescent="0.25">
      <c r="A112" s="47">
        <f t="shared" si="2"/>
        <v>111</v>
      </c>
      <c r="B112" s="47" t="s">
        <v>6587</v>
      </c>
      <c r="C112" s="47" t="s">
        <v>6588</v>
      </c>
      <c r="D112" s="47"/>
      <c r="E112" s="47" t="s">
        <v>6589</v>
      </c>
      <c r="F112" s="47" t="s">
        <v>100</v>
      </c>
      <c r="G112" s="47" t="s">
        <v>200</v>
      </c>
      <c r="H112" s="47" t="str">
        <f t="shared" si="3"/>
        <v>ANANTNAG</v>
      </c>
      <c r="I112" s="47" t="s">
        <v>6599</v>
      </c>
      <c r="J112" s="48">
        <v>45983</v>
      </c>
      <c r="K112" s="47">
        <v>9622477236</v>
      </c>
      <c r="L112" s="47" t="s">
        <v>166</v>
      </c>
      <c r="M112" s="49" t="s">
        <v>7453</v>
      </c>
      <c r="N112" s="48">
        <v>46018</v>
      </c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6592</v>
      </c>
      <c r="C113" s="47" t="s">
        <v>6590</v>
      </c>
      <c r="D113" s="47"/>
      <c r="E113" s="47" t="s">
        <v>6591</v>
      </c>
      <c r="F113" s="47" t="s">
        <v>12</v>
      </c>
      <c r="G113" s="47" t="s">
        <v>200</v>
      </c>
      <c r="H113" s="47" t="str">
        <f t="shared" si="3"/>
        <v>PULWAMA</v>
      </c>
      <c r="I113" s="47" t="s">
        <v>6600</v>
      </c>
      <c r="J113" s="48">
        <v>45983</v>
      </c>
      <c r="K113" s="47">
        <v>7006792378</v>
      </c>
      <c r="L113" s="47" t="s">
        <v>70</v>
      </c>
      <c r="M113" s="49"/>
      <c r="N113" s="48"/>
      <c r="O113" s="47"/>
      <c r="P113" s="50"/>
      <c r="Q113" s="47"/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6593</v>
      </c>
      <c r="C115" s="47" t="s">
        <v>6598</v>
      </c>
      <c r="D115" s="47"/>
      <c r="E115" s="47" t="s">
        <v>6220</v>
      </c>
      <c r="F115" s="47" t="s">
        <v>6597</v>
      </c>
      <c r="G115" s="47" t="s">
        <v>200</v>
      </c>
      <c r="H115" s="47" t="str">
        <f t="shared" si="3"/>
        <v>SHOPIAN</v>
      </c>
      <c r="I115" s="47" t="s">
        <v>6602</v>
      </c>
      <c r="J115" s="48">
        <v>45983</v>
      </c>
      <c r="K115" s="47">
        <v>8825050044</v>
      </c>
      <c r="L115" s="47" t="s">
        <v>6580</v>
      </c>
      <c r="M115" s="49"/>
      <c r="N115" s="48"/>
      <c r="O115" s="47" t="s">
        <v>23</v>
      </c>
      <c r="P115" s="50">
        <v>45990</v>
      </c>
      <c r="Q115" s="47" t="s">
        <v>6460</v>
      </c>
      <c r="R115" s="47"/>
    </row>
    <row r="116" spans="1:18" x14ac:dyDescent="0.25">
      <c r="A116" s="47">
        <f t="shared" si="2"/>
        <v>115</v>
      </c>
      <c r="B116" s="47" t="s">
        <v>6616</v>
      </c>
      <c r="C116" s="47" t="s">
        <v>6617</v>
      </c>
      <c r="D116" s="47"/>
      <c r="E116" s="47" t="s">
        <v>6618</v>
      </c>
      <c r="F116" s="47" t="s">
        <v>100</v>
      </c>
      <c r="G116" s="47" t="s">
        <v>200</v>
      </c>
      <c r="H116" s="47" t="str">
        <f t="shared" si="3"/>
        <v>BUDGAM</v>
      </c>
      <c r="I116" s="47" t="s">
        <v>6619</v>
      </c>
      <c r="J116" s="48">
        <v>45985</v>
      </c>
      <c r="K116" s="47">
        <v>8825011762</v>
      </c>
      <c r="L116" s="47" t="s">
        <v>176</v>
      </c>
      <c r="M116" s="49" t="s">
        <v>6855</v>
      </c>
      <c r="N116" s="48">
        <v>45999</v>
      </c>
      <c r="O116" s="47"/>
      <c r="P116" s="50"/>
      <c r="Q116" s="47"/>
      <c r="R116" s="47"/>
    </row>
    <row r="117" spans="1:18" x14ac:dyDescent="0.25">
      <c r="A117" s="47">
        <f t="shared" si="2"/>
        <v>116</v>
      </c>
      <c r="B117" s="47" t="s">
        <v>6610</v>
      </c>
      <c r="C117" s="47" t="s">
        <v>6611</v>
      </c>
      <c r="D117" s="47" t="s">
        <v>6691</v>
      </c>
      <c r="E117" s="47" t="s">
        <v>6612</v>
      </c>
      <c r="F117" s="47" t="s">
        <v>119</v>
      </c>
      <c r="G117" s="47" t="s">
        <v>200</v>
      </c>
      <c r="H117" s="47" t="str">
        <f t="shared" si="3"/>
        <v>KULGAM</v>
      </c>
      <c r="I117" s="47" t="s">
        <v>6613</v>
      </c>
      <c r="J117" s="48">
        <v>45985</v>
      </c>
      <c r="K117" s="47">
        <v>9906619090</v>
      </c>
      <c r="L117" s="47" t="s">
        <v>6580</v>
      </c>
      <c r="M117" s="49" t="s">
        <v>6692</v>
      </c>
      <c r="N117" s="48">
        <v>45989</v>
      </c>
      <c r="O117" s="47" t="s">
        <v>23</v>
      </c>
      <c r="P117" s="50">
        <v>45989</v>
      </c>
      <c r="Q117" s="47" t="s">
        <v>6460</v>
      </c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6632</v>
      </c>
      <c r="C119" s="47" t="s">
        <v>6633</v>
      </c>
      <c r="D119" s="47"/>
      <c r="E119" s="47" t="s">
        <v>6634</v>
      </c>
      <c r="F119" s="47" t="s">
        <v>37</v>
      </c>
      <c r="G119" s="47" t="s">
        <v>181</v>
      </c>
      <c r="H119" s="47" t="str">
        <f t="shared" si="3"/>
        <v>SRINAGAR</v>
      </c>
      <c r="I119" s="47" t="s">
        <v>6635</v>
      </c>
      <c r="J119" s="48">
        <v>45986</v>
      </c>
      <c r="K119" s="47">
        <v>7889419489</v>
      </c>
      <c r="L119" s="47" t="s">
        <v>2172</v>
      </c>
      <c r="M119" s="49"/>
      <c r="N119" s="48"/>
      <c r="O119" s="47" t="s">
        <v>23</v>
      </c>
      <c r="P119" s="50">
        <v>45988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6625</v>
      </c>
      <c r="C120" s="47" t="s">
        <v>6627</v>
      </c>
      <c r="D120" s="47"/>
      <c r="E120" s="47" t="s">
        <v>6626</v>
      </c>
      <c r="F120" s="47" t="s">
        <v>31</v>
      </c>
      <c r="G120" s="47" t="s">
        <v>200</v>
      </c>
      <c r="H120" s="47" t="str">
        <f t="shared" si="3"/>
        <v>PULWAMA</v>
      </c>
      <c r="I120" s="47" t="s">
        <v>6630</v>
      </c>
      <c r="J120" s="48">
        <v>45986</v>
      </c>
      <c r="K120" s="47">
        <v>9622137310</v>
      </c>
      <c r="L120" s="47" t="s">
        <v>6628</v>
      </c>
      <c r="M120" s="49"/>
      <c r="N120" s="48"/>
      <c r="O120" s="47" t="s">
        <v>23</v>
      </c>
      <c r="P120" s="50">
        <v>45986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7617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TEMP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6687</v>
      </c>
      <c r="C126" s="47" t="s">
        <v>6688</v>
      </c>
      <c r="D126" s="47" t="s">
        <v>6689</v>
      </c>
      <c r="E126" s="47" t="s">
        <v>6690</v>
      </c>
      <c r="F126" s="47" t="s">
        <v>12</v>
      </c>
      <c r="G126" s="47" t="s">
        <v>174</v>
      </c>
      <c r="H126" s="47" t="str">
        <f t="shared" si="3"/>
        <v>SRINAGAR</v>
      </c>
      <c r="I126" s="47" t="s">
        <v>6694</v>
      </c>
      <c r="J126" s="48">
        <v>45989</v>
      </c>
      <c r="K126" s="47">
        <v>7051651378</v>
      </c>
      <c r="L126" s="47" t="s">
        <v>551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6679</v>
      </c>
      <c r="C127" s="47" t="s">
        <v>6681</v>
      </c>
      <c r="D127" s="47" t="s">
        <v>6685</v>
      </c>
      <c r="E127" s="47" t="s">
        <v>6680</v>
      </c>
      <c r="F127" s="47" t="s">
        <v>125</v>
      </c>
      <c r="G127" s="47" t="s">
        <v>199</v>
      </c>
      <c r="H127" s="47" t="str">
        <f t="shared" si="3"/>
        <v>BARAMULLA</v>
      </c>
      <c r="I127" s="47" t="s">
        <v>6682</v>
      </c>
      <c r="J127" s="48">
        <v>45989</v>
      </c>
      <c r="K127" s="47">
        <v>9622199980</v>
      </c>
      <c r="L127" s="47" t="s">
        <v>6683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2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4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:H193" si="5">IF(LEFT(I130,4)="JK13","PULWAMA",IF(LEFT(I130,4)="JK01","SRINAGAR",IF(LEFT(I130,4)="JK04","BUDGAM",IF(LEFT(I130,4)="JK03","ANANTNAG",IF(LEFT(I130,4)="JK05","BARAMULLA",IF(LEFT(I130,4)="26BH","BHARAT",IF(LEFT(I130,4)="25BH","BHARAT",IF(LEFT(I130,4)="JK12","POONCH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6733</v>
      </c>
      <c r="C131" s="47" t="s">
        <v>6731</v>
      </c>
      <c r="D131" s="47" t="s">
        <v>6732</v>
      </c>
      <c r="E131" s="47" t="s">
        <v>6730</v>
      </c>
      <c r="F131" s="47" t="s">
        <v>31</v>
      </c>
      <c r="G131" s="47" t="s">
        <v>199</v>
      </c>
      <c r="H131" s="47" t="str">
        <f t="shared" si="5"/>
        <v>SRINAGAR</v>
      </c>
      <c r="I131" s="47" t="s">
        <v>6741</v>
      </c>
      <c r="J131" s="48">
        <v>45994</v>
      </c>
      <c r="K131" s="47">
        <v>9622839355</v>
      </c>
      <c r="L131" s="47" t="s">
        <v>26</v>
      </c>
      <c r="M131" s="49"/>
      <c r="N131" s="48"/>
      <c r="O131" s="47" t="s">
        <v>23</v>
      </c>
      <c r="P131" s="50">
        <v>45994</v>
      </c>
      <c r="Q131" s="47" t="s">
        <v>6460</v>
      </c>
      <c r="R131" s="47"/>
    </row>
    <row r="132" spans="1:18" x14ac:dyDescent="0.25">
      <c r="A132" s="47">
        <f t="shared" si="4"/>
        <v>131</v>
      </c>
      <c r="B132" s="47" t="s">
        <v>6735</v>
      </c>
      <c r="C132" s="47" t="s">
        <v>6736</v>
      </c>
      <c r="D132" s="47" t="s">
        <v>6742</v>
      </c>
      <c r="E132" s="47" t="s">
        <v>6737</v>
      </c>
      <c r="F132" s="47" t="s">
        <v>119</v>
      </c>
      <c r="G132" s="47" t="s">
        <v>221</v>
      </c>
      <c r="H132" s="47" t="str">
        <f t="shared" si="5"/>
        <v>BUDGAM</v>
      </c>
      <c r="I132" s="47" t="s">
        <v>6734</v>
      </c>
      <c r="J132" s="48">
        <v>45994</v>
      </c>
      <c r="K132" s="47">
        <v>9906892680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6738</v>
      </c>
      <c r="C133" s="47" t="s">
        <v>6739</v>
      </c>
      <c r="D133" s="47" t="s">
        <v>6743</v>
      </c>
      <c r="E133" s="47" t="s">
        <v>6626</v>
      </c>
      <c r="F133" s="47" t="s">
        <v>37</v>
      </c>
      <c r="G133" s="47" t="s">
        <v>199</v>
      </c>
      <c r="H133" s="47" t="str">
        <f t="shared" si="5"/>
        <v>PULWAMA</v>
      </c>
      <c r="I133" s="47" t="s">
        <v>6740</v>
      </c>
      <c r="J133" s="48">
        <v>45994</v>
      </c>
      <c r="K133" s="47">
        <v>9906454751</v>
      </c>
      <c r="L133" s="47" t="s">
        <v>307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6721</v>
      </c>
      <c r="C134" s="47" t="s">
        <v>6720</v>
      </c>
      <c r="D134" s="47" t="s">
        <v>6723</v>
      </c>
      <c r="E134" s="47" t="s">
        <v>6722</v>
      </c>
      <c r="F134" s="47" t="s">
        <v>31</v>
      </c>
      <c r="G134" s="47" t="s">
        <v>200</v>
      </c>
      <c r="H134" s="47" t="str">
        <f t="shared" si="5"/>
        <v>KARGIL</v>
      </c>
      <c r="I134" s="47" t="s">
        <v>8261</v>
      </c>
      <c r="J134" s="48">
        <v>45994</v>
      </c>
      <c r="K134" s="47">
        <v>7889937391</v>
      </c>
      <c r="L134" s="47" t="s">
        <v>3739</v>
      </c>
      <c r="M134" s="49"/>
      <c r="N134" s="48"/>
      <c r="O134" s="47"/>
      <c r="P134" s="50"/>
      <c r="Q134" s="47"/>
      <c r="R134" s="47"/>
    </row>
    <row r="135" spans="1:18" x14ac:dyDescent="0.25">
      <c r="A135" s="47">
        <f t="shared" si="4"/>
        <v>134</v>
      </c>
      <c r="B135" s="47" t="s">
        <v>6765</v>
      </c>
      <c r="C135" s="47" t="s">
        <v>6766</v>
      </c>
      <c r="D135" s="47" t="s">
        <v>6767</v>
      </c>
      <c r="E135" s="47" t="s">
        <v>6768</v>
      </c>
      <c r="F135" s="47" t="s">
        <v>100</v>
      </c>
      <c r="G135" s="47" t="s">
        <v>181</v>
      </c>
      <c r="H135" s="47" t="str">
        <f t="shared" si="5"/>
        <v>SRINAGAR</v>
      </c>
      <c r="I135" s="47" t="s">
        <v>6769</v>
      </c>
      <c r="J135" s="48">
        <v>45995</v>
      </c>
      <c r="K135" s="47">
        <v>9606595001</v>
      </c>
      <c r="L135" s="47" t="s">
        <v>106</v>
      </c>
      <c r="M135" s="49"/>
      <c r="N135" s="48"/>
      <c r="O135" s="47"/>
      <c r="P135" s="50"/>
      <c r="Q135" s="47"/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6751</v>
      </c>
      <c r="D136" s="47" t="s">
        <v>6760</v>
      </c>
      <c r="E136" s="47" t="s">
        <v>6756</v>
      </c>
      <c r="F136" s="47" t="s">
        <v>100</v>
      </c>
      <c r="G136" s="47" t="s">
        <v>181</v>
      </c>
      <c r="H136" s="47" t="str">
        <f t="shared" si="5"/>
        <v>SRINAGAR</v>
      </c>
      <c r="I136" s="47" t="s">
        <v>6764</v>
      </c>
      <c r="J136" s="48">
        <v>45995</v>
      </c>
      <c r="K136" s="47">
        <v>9906337730</v>
      </c>
      <c r="L136" s="47" t="s">
        <v>4683</v>
      </c>
      <c r="M136" s="49"/>
      <c r="N136" s="48"/>
      <c r="O136" s="47" t="s">
        <v>23</v>
      </c>
      <c r="P136" s="50">
        <v>45995</v>
      </c>
      <c r="Q136" s="47"/>
      <c r="R136" s="47"/>
    </row>
    <row r="137" spans="1:18" x14ac:dyDescent="0.25">
      <c r="A137" s="47">
        <f t="shared" si="4"/>
        <v>136</v>
      </c>
      <c r="B137" s="47" t="s">
        <v>6773</v>
      </c>
      <c r="C137" s="47" t="s">
        <v>6770</v>
      </c>
      <c r="D137" s="47" t="s">
        <v>6771</v>
      </c>
      <c r="E137" s="47" t="s">
        <v>6772</v>
      </c>
      <c r="F137" s="47" t="s">
        <v>125</v>
      </c>
      <c r="G137" s="47" t="s">
        <v>175</v>
      </c>
      <c r="H137" s="47" t="str">
        <f t="shared" si="5"/>
        <v>BUDGAM</v>
      </c>
      <c r="I137" s="47" t="s">
        <v>6774</v>
      </c>
      <c r="J137" s="48">
        <v>45995</v>
      </c>
      <c r="K137" s="47">
        <v>9797015273</v>
      </c>
      <c r="L137" s="47" t="s">
        <v>176</v>
      </c>
      <c r="M137" s="49" t="s">
        <v>6855</v>
      </c>
      <c r="N137" s="48">
        <v>45999</v>
      </c>
      <c r="O137" s="47"/>
      <c r="P137" s="50"/>
      <c r="Q137" s="47"/>
      <c r="R137" s="47"/>
    </row>
    <row r="138" spans="1:18" x14ac:dyDescent="0.25">
      <c r="A138" s="47">
        <f t="shared" si="4"/>
        <v>137</v>
      </c>
      <c r="B138" s="47" t="s">
        <v>6749</v>
      </c>
      <c r="C138" s="47" t="s">
        <v>6752</v>
      </c>
      <c r="D138" s="47" t="s">
        <v>6759</v>
      </c>
      <c r="E138" s="47" t="s">
        <v>6755</v>
      </c>
      <c r="F138" s="47" t="s">
        <v>31</v>
      </c>
      <c r="G138" s="47" t="s">
        <v>200</v>
      </c>
      <c r="H138" s="47" t="str">
        <f t="shared" si="5"/>
        <v>PULWAMA</v>
      </c>
      <c r="I138" s="47" t="s">
        <v>6762</v>
      </c>
      <c r="J138" s="48">
        <v>45995</v>
      </c>
      <c r="K138" s="47">
        <v>8899778092</v>
      </c>
      <c r="L138" s="47" t="s">
        <v>6434</v>
      </c>
      <c r="M138" s="49"/>
      <c r="N138" s="48"/>
      <c r="O138" s="47" t="s">
        <v>23</v>
      </c>
      <c r="P138" s="50">
        <v>45995</v>
      </c>
      <c r="Q138" s="47" t="s">
        <v>6460</v>
      </c>
      <c r="R138" s="47"/>
    </row>
    <row r="139" spans="1:18" x14ac:dyDescent="0.25">
      <c r="A139" s="47">
        <f t="shared" si="4"/>
        <v>138</v>
      </c>
      <c r="B139" s="47" t="s">
        <v>6748</v>
      </c>
      <c r="C139" s="47" t="s">
        <v>6753</v>
      </c>
      <c r="D139" s="47" t="s">
        <v>6757</v>
      </c>
      <c r="E139" s="47" t="s">
        <v>6754</v>
      </c>
      <c r="F139" s="47" t="s">
        <v>119</v>
      </c>
      <c r="G139" s="47" t="s">
        <v>6758</v>
      </c>
      <c r="H139" s="47" t="str">
        <f t="shared" si="5"/>
        <v>SHOPIAN</v>
      </c>
      <c r="I139" s="47" t="s">
        <v>6763</v>
      </c>
      <c r="J139" s="48">
        <v>45995</v>
      </c>
      <c r="K139" s="47">
        <v>7780824558</v>
      </c>
      <c r="L139" s="47" t="s">
        <v>6761</v>
      </c>
      <c r="M139" s="49" t="s">
        <v>6850</v>
      </c>
      <c r="N139" s="48">
        <v>45997</v>
      </c>
      <c r="O139" s="47" t="s">
        <v>23</v>
      </c>
      <c r="P139" s="50">
        <v>45995</v>
      </c>
      <c r="Q139" s="47" t="s">
        <v>6460</v>
      </c>
      <c r="R139" s="47"/>
    </row>
    <row r="140" spans="1:18" x14ac:dyDescent="0.25">
      <c r="A140" s="47">
        <f t="shared" si="4"/>
        <v>139</v>
      </c>
      <c r="B140" s="47" t="s">
        <v>6813</v>
      </c>
      <c r="C140" s="47" t="s">
        <v>6814</v>
      </c>
      <c r="D140" s="47" t="s">
        <v>6815</v>
      </c>
      <c r="E140" s="47" t="s">
        <v>6816</v>
      </c>
      <c r="F140" s="47" t="s">
        <v>5</v>
      </c>
      <c r="G140" s="47" t="s">
        <v>181</v>
      </c>
      <c r="H140" s="47" t="str">
        <f t="shared" si="5"/>
        <v>SRINAGAR</v>
      </c>
      <c r="I140" s="47" t="s">
        <v>6821</v>
      </c>
      <c r="J140" s="48">
        <v>45996</v>
      </c>
      <c r="K140" s="47">
        <v>8493043123</v>
      </c>
      <c r="L140" s="47" t="s">
        <v>194</v>
      </c>
      <c r="M140" s="49" t="s">
        <v>6850</v>
      </c>
      <c r="N140" s="48">
        <v>46000</v>
      </c>
      <c r="O140" s="47" t="s">
        <v>23</v>
      </c>
      <c r="P140" s="50">
        <v>46000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6784</v>
      </c>
      <c r="C141" s="47" t="s">
        <v>6785</v>
      </c>
      <c r="D141" s="47" t="s">
        <v>6786</v>
      </c>
      <c r="E141" s="47" t="s">
        <v>6787</v>
      </c>
      <c r="F141" s="47" t="s">
        <v>5</v>
      </c>
      <c r="G141" s="47" t="s">
        <v>226</v>
      </c>
      <c r="H141" s="47" t="str">
        <f t="shared" si="5"/>
        <v>SRINAGAR</v>
      </c>
      <c r="I141" s="47" t="s">
        <v>6793</v>
      </c>
      <c r="J141" s="48">
        <v>45996</v>
      </c>
      <c r="K141" s="47">
        <v>9419032294</v>
      </c>
      <c r="L141" s="47" t="s">
        <v>6451</v>
      </c>
      <c r="M141" s="49" t="s">
        <v>8239</v>
      </c>
      <c r="N141" s="48">
        <v>46032</v>
      </c>
      <c r="O141" s="47"/>
      <c r="P141" s="50"/>
      <c r="Q141" s="47"/>
      <c r="R141" s="47" t="s">
        <v>6856</v>
      </c>
    </row>
    <row r="142" spans="1:18" x14ac:dyDescent="0.25">
      <c r="A142" s="47">
        <f t="shared" si="4"/>
        <v>141</v>
      </c>
      <c r="B142" s="47" t="s">
        <v>6804</v>
      </c>
      <c r="C142" s="47" t="s">
        <v>6801</v>
      </c>
      <c r="D142" s="47" t="s">
        <v>6802</v>
      </c>
      <c r="E142" s="47" t="s">
        <v>6803</v>
      </c>
      <c r="F142" s="47" t="s">
        <v>290</v>
      </c>
      <c r="G142" s="47" t="s">
        <v>200</v>
      </c>
      <c r="H142" s="47" t="str">
        <f t="shared" si="5"/>
        <v>SRINAGAR</v>
      </c>
      <c r="I142" s="47" t="s">
        <v>6820</v>
      </c>
      <c r="J142" s="48">
        <v>45996</v>
      </c>
      <c r="K142" s="47">
        <v>7006009589</v>
      </c>
      <c r="L142" s="47" t="s">
        <v>1517</v>
      </c>
      <c r="M142" s="49" t="s">
        <v>6922</v>
      </c>
      <c r="N142" s="48">
        <v>46000</v>
      </c>
      <c r="O142" s="47" t="s">
        <v>23</v>
      </c>
      <c r="P142" s="50">
        <v>45997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6792</v>
      </c>
      <c r="C143" s="47" t="s">
        <v>6789</v>
      </c>
      <c r="D143" s="47" t="s">
        <v>6790</v>
      </c>
      <c r="E143" s="47" t="s">
        <v>6791</v>
      </c>
      <c r="F143" s="47" t="s">
        <v>5</v>
      </c>
      <c r="G143" s="47" t="s">
        <v>199</v>
      </c>
      <c r="H143" s="47" t="str">
        <f t="shared" si="5"/>
        <v>BUDGAM</v>
      </c>
      <c r="I143" s="47" t="s">
        <v>6794</v>
      </c>
      <c r="J143" s="48">
        <v>45996</v>
      </c>
      <c r="K143" s="47">
        <v>7006748463</v>
      </c>
      <c r="L143" s="47" t="s">
        <v>2172</v>
      </c>
      <c r="M143" s="49"/>
      <c r="N143" s="48"/>
      <c r="O143" s="47" t="s">
        <v>23</v>
      </c>
      <c r="P143" s="50">
        <v>45996</v>
      </c>
      <c r="Q143" s="47" t="s">
        <v>6460</v>
      </c>
      <c r="R143" s="47"/>
    </row>
    <row r="144" spans="1:18" x14ac:dyDescent="0.25">
      <c r="A144" s="47">
        <f t="shared" si="4"/>
        <v>143</v>
      </c>
      <c r="B144" s="47" t="s">
        <v>6811</v>
      </c>
      <c r="C144" s="47" t="s">
        <v>6808</v>
      </c>
      <c r="D144" s="47" t="s">
        <v>6809</v>
      </c>
      <c r="E144" s="47" t="s">
        <v>3940</v>
      </c>
      <c r="F144" s="47" t="s">
        <v>290</v>
      </c>
      <c r="G144" s="47" t="s">
        <v>174</v>
      </c>
      <c r="H144" s="47" t="str">
        <f t="shared" si="5"/>
        <v>KUPWARA</v>
      </c>
      <c r="I144" s="47" t="s">
        <v>6817</v>
      </c>
      <c r="J144" s="48">
        <v>45996</v>
      </c>
      <c r="K144" s="47">
        <v>7006699059</v>
      </c>
      <c r="L144" s="47" t="s">
        <v>6810</v>
      </c>
      <c r="M144" s="49"/>
      <c r="N144" s="48"/>
      <c r="O144" s="47"/>
      <c r="P144" s="50"/>
      <c r="Q144" s="47"/>
      <c r="R144" s="47"/>
    </row>
    <row r="145" spans="1:18" x14ac:dyDescent="0.25">
      <c r="A145" s="47">
        <f t="shared" si="4"/>
        <v>144</v>
      </c>
      <c r="B145" s="47" t="s">
        <v>6781</v>
      </c>
      <c r="C145" s="47" t="s">
        <v>6782</v>
      </c>
      <c r="D145" s="47" t="s">
        <v>6783</v>
      </c>
      <c r="E145" s="47" t="s">
        <v>3590</v>
      </c>
      <c r="F145" s="47" t="s">
        <v>125</v>
      </c>
      <c r="G145" s="47" t="s">
        <v>200</v>
      </c>
      <c r="H145" s="47" t="str">
        <f t="shared" si="5"/>
        <v>PULWAMA</v>
      </c>
      <c r="I145" s="47" t="s">
        <v>6788</v>
      </c>
      <c r="J145" s="48">
        <v>45996</v>
      </c>
      <c r="K145" s="47">
        <v>9797971835</v>
      </c>
      <c r="L145" s="47" t="s">
        <v>3926</v>
      </c>
      <c r="M145" s="49"/>
      <c r="N145" s="48"/>
      <c r="O145" s="47" t="s">
        <v>23</v>
      </c>
      <c r="P145" s="50">
        <v>45996</v>
      </c>
      <c r="Q145" s="47" t="s">
        <v>6460</v>
      </c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6805</v>
      </c>
      <c r="D146" s="47" t="s">
        <v>6806</v>
      </c>
      <c r="E146" s="47" t="s">
        <v>3676</v>
      </c>
      <c r="F146" s="47" t="s">
        <v>5</v>
      </c>
      <c r="G146" s="47" t="s">
        <v>199</v>
      </c>
      <c r="H146" s="47" t="str">
        <f t="shared" si="5"/>
        <v>PULWAMA</v>
      </c>
      <c r="I146" s="47" t="s">
        <v>6818</v>
      </c>
      <c r="J146" s="48">
        <v>45996</v>
      </c>
      <c r="K146" s="47">
        <v>6005402097</v>
      </c>
      <c r="L146" s="47" t="s">
        <v>6807</v>
      </c>
      <c r="M146" s="49" t="s">
        <v>7672</v>
      </c>
      <c r="N146" s="48">
        <v>46018</v>
      </c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6797</v>
      </c>
      <c r="C147" s="47" t="s">
        <v>6798</v>
      </c>
      <c r="D147" s="47" t="s">
        <v>6799</v>
      </c>
      <c r="E147" s="47" t="s">
        <v>6800</v>
      </c>
      <c r="F147" s="47" t="s">
        <v>31</v>
      </c>
      <c r="G147" s="47" t="s">
        <v>200</v>
      </c>
      <c r="H147" s="47" t="str">
        <f t="shared" si="5"/>
        <v>SHOPIAN</v>
      </c>
      <c r="I147" s="47" t="s">
        <v>6819</v>
      </c>
      <c r="J147" s="48">
        <v>45996</v>
      </c>
      <c r="K147" s="47">
        <v>9596254341</v>
      </c>
      <c r="L147" s="47" t="s">
        <v>6570</v>
      </c>
      <c r="M147" s="49" t="s">
        <v>7151</v>
      </c>
      <c r="N147" s="48">
        <v>46007</v>
      </c>
      <c r="O147" s="47"/>
      <c r="P147" s="50"/>
      <c r="Q147" s="47"/>
      <c r="R147" s="47"/>
    </row>
    <row r="148" spans="1:18" x14ac:dyDescent="0.25">
      <c r="A148" s="47">
        <f t="shared" si="4"/>
        <v>147</v>
      </c>
      <c r="B148" s="47" t="s">
        <v>6846</v>
      </c>
      <c r="C148" s="47" t="s">
        <v>6843</v>
      </c>
      <c r="D148" s="47" t="s">
        <v>6844</v>
      </c>
      <c r="E148" s="47" t="s">
        <v>6845</v>
      </c>
      <c r="F148" s="47" t="s">
        <v>119</v>
      </c>
      <c r="G148" s="47" t="s">
        <v>6758</v>
      </c>
      <c r="H148" s="47" t="str">
        <f t="shared" si="5"/>
        <v>SRINAGAR</v>
      </c>
      <c r="I148" s="47" t="s">
        <v>6849</v>
      </c>
      <c r="J148" s="48">
        <v>45997</v>
      </c>
      <c r="K148" s="47">
        <v>9149767613</v>
      </c>
      <c r="L148" s="47" t="s">
        <v>26</v>
      </c>
      <c r="M148" s="49" t="s">
        <v>6923</v>
      </c>
      <c r="N148" s="48">
        <v>46000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6830</v>
      </c>
      <c r="C149" s="47" t="s">
        <v>6826</v>
      </c>
      <c r="D149" s="47" t="s">
        <v>6827</v>
      </c>
      <c r="E149" s="47" t="s">
        <v>6828</v>
      </c>
      <c r="F149" s="47" t="s">
        <v>6829</v>
      </c>
      <c r="G149" s="47" t="s">
        <v>226</v>
      </c>
      <c r="H149" s="47" t="str">
        <f t="shared" si="5"/>
        <v>SRINAGAR</v>
      </c>
      <c r="I149" s="47" t="s">
        <v>6841</v>
      </c>
      <c r="J149" s="48">
        <v>45997</v>
      </c>
      <c r="K149" s="47">
        <v>7006154383</v>
      </c>
      <c r="L149" s="47" t="s">
        <v>1126</v>
      </c>
      <c r="M149" s="49" t="s">
        <v>6876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6840</v>
      </c>
      <c r="C150" s="47" t="s">
        <v>6837</v>
      </c>
      <c r="D150" s="47" t="s">
        <v>6838</v>
      </c>
      <c r="E150" s="47" t="s">
        <v>6839</v>
      </c>
      <c r="F150" s="47" t="s">
        <v>119</v>
      </c>
      <c r="G150" s="47" t="s">
        <v>200</v>
      </c>
      <c r="H150" s="47" t="str">
        <f t="shared" si="5"/>
        <v>PULWAMA</v>
      </c>
      <c r="I150" s="47" t="s">
        <v>6847</v>
      </c>
      <c r="J150" s="48">
        <v>45997</v>
      </c>
      <c r="K150" s="47">
        <v>9682362746</v>
      </c>
      <c r="L150" s="47" t="s">
        <v>26</v>
      </c>
      <c r="M150" s="49" t="s">
        <v>6947</v>
      </c>
      <c r="N150" s="48">
        <v>46001</v>
      </c>
      <c r="O150" s="51">
        <v>46001</v>
      </c>
      <c r="P150" s="50">
        <v>46001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6835</v>
      </c>
      <c r="C151" s="47" t="s">
        <v>6833</v>
      </c>
      <c r="D151" s="47" t="s">
        <v>6834</v>
      </c>
      <c r="E151" s="47" t="s">
        <v>6831</v>
      </c>
      <c r="F151" s="47" t="s">
        <v>119</v>
      </c>
      <c r="G151" s="47" t="s">
        <v>174</v>
      </c>
      <c r="H151" s="47" t="str">
        <f t="shared" si="5"/>
        <v>BANDIPORA</v>
      </c>
      <c r="I151" s="47" t="s">
        <v>6848</v>
      </c>
      <c r="J151" s="48">
        <v>45997</v>
      </c>
      <c r="K151" s="47">
        <v>9797004941</v>
      </c>
      <c r="L151" s="47" t="s">
        <v>6832</v>
      </c>
      <c r="M151" s="49" t="s">
        <v>6890</v>
      </c>
      <c r="N151" s="48">
        <v>45999</v>
      </c>
      <c r="O151" s="47" t="s">
        <v>23</v>
      </c>
      <c r="P151" s="50">
        <v>45999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6825</v>
      </c>
      <c r="C152" s="47" t="s">
        <v>6822</v>
      </c>
      <c r="D152" s="47" t="s">
        <v>6823</v>
      </c>
      <c r="E152" s="47" t="s">
        <v>6824</v>
      </c>
      <c r="F152" s="47" t="s">
        <v>5</v>
      </c>
      <c r="G152" s="47" t="s">
        <v>199</v>
      </c>
      <c r="H152" s="47" t="str">
        <f t="shared" si="5"/>
        <v>SHOPIAN</v>
      </c>
      <c r="I152" s="47" t="s">
        <v>6842</v>
      </c>
      <c r="J152" s="48">
        <v>45997</v>
      </c>
      <c r="K152" s="47">
        <v>7006819575</v>
      </c>
      <c r="L152" s="47" t="s">
        <v>6761</v>
      </c>
      <c r="M152" s="49" t="s">
        <v>7151</v>
      </c>
      <c r="N152" s="48">
        <v>46007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6871</v>
      </c>
      <c r="C153" s="47" t="s">
        <v>6868</v>
      </c>
      <c r="D153" s="47" t="s">
        <v>6869</v>
      </c>
      <c r="E153" s="47" t="s">
        <v>6870</v>
      </c>
      <c r="F153" s="47" t="s">
        <v>5</v>
      </c>
      <c r="G153" s="47" t="s">
        <v>200</v>
      </c>
      <c r="H153" s="47" t="str">
        <f t="shared" si="5"/>
        <v>SRINAGAR</v>
      </c>
      <c r="I153" s="47" t="s">
        <v>6904</v>
      </c>
      <c r="J153" s="48">
        <v>45999</v>
      </c>
      <c r="K153" s="47">
        <v>7006401343</v>
      </c>
      <c r="L153" s="47" t="s">
        <v>166</v>
      </c>
      <c r="M153" s="49"/>
      <c r="N153" s="48"/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6862</v>
      </c>
      <c r="C154" s="47" t="s">
        <v>6861</v>
      </c>
      <c r="D154" s="47" t="s">
        <v>6867</v>
      </c>
      <c r="E154" s="47" t="s">
        <v>6433</v>
      </c>
      <c r="F154" s="47" t="s">
        <v>31</v>
      </c>
      <c r="G154" s="47" t="s">
        <v>221</v>
      </c>
      <c r="H154" s="47" t="str">
        <f t="shared" si="5"/>
        <v>SRINAGAR</v>
      </c>
      <c r="I154" s="47" t="s">
        <v>6875</v>
      </c>
      <c r="J154" s="48">
        <v>45999</v>
      </c>
      <c r="K154" s="47">
        <v>7051040191</v>
      </c>
      <c r="L154" s="47" t="s">
        <v>106</v>
      </c>
      <c r="M154" s="49"/>
      <c r="N154" s="48"/>
      <c r="O154" s="47"/>
      <c r="P154" s="50"/>
      <c r="Q154" s="47"/>
      <c r="R154" s="47"/>
    </row>
    <row r="155" spans="1:18" x14ac:dyDescent="0.25">
      <c r="A155" s="47">
        <f t="shared" si="4"/>
        <v>154</v>
      </c>
      <c r="B155" s="47" t="s">
        <v>6865</v>
      </c>
      <c r="C155" s="47" t="s">
        <v>6863</v>
      </c>
      <c r="D155" s="47" t="s">
        <v>6866</v>
      </c>
      <c r="E155" s="47" t="s">
        <v>6864</v>
      </c>
      <c r="F155" s="47" t="s">
        <v>3130</v>
      </c>
      <c r="G155" s="47" t="s">
        <v>200</v>
      </c>
      <c r="H155" s="47" t="str">
        <f t="shared" si="5"/>
        <v>SRINAGAR</v>
      </c>
      <c r="I155" s="47" t="s">
        <v>6872</v>
      </c>
      <c r="J155" s="48">
        <v>45999</v>
      </c>
      <c r="K155" s="47">
        <v>9596341802</v>
      </c>
      <c r="L155" s="47" t="s">
        <v>48</v>
      </c>
      <c r="M155" s="49" t="s">
        <v>7615</v>
      </c>
      <c r="N155" s="48">
        <v>46017</v>
      </c>
      <c r="O155" s="47" t="s">
        <v>23</v>
      </c>
      <c r="P155" s="50">
        <v>46017</v>
      </c>
      <c r="Q155" s="47" t="s">
        <v>6460</v>
      </c>
      <c r="R155" s="47"/>
    </row>
    <row r="156" spans="1:18" x14ac:dyDescent="0.25">
      <c r="A156" s="47">
        <f t="shared" si="4"/>
        <v>155</v>
      </c>
      <c r="B156" s="47" t="s">
        <v>6883</v>
      </c>
      <c r="C156" s="47" t="s">
        <v>6880</v>
      </c>
      <c r="D156" s="47" t="s">
        <v>6881</v>
      </c>
      <c r="E156" s="47" t="s">
        <v>6882</v>
      </c>
      <c r="F156" s="47" t="s">
        <v>3130</v>
      </c>
      <c r="G156" s="47" t="s">
        <v>6475</v>
      </c>
      <c r="H156" s="47" t="str">
        <f t="shared" si="5"/>
        <v>ANANTNAG</v>
      </c>
      <c r="I156" s="47" t="s">
        <v>6885</v>
      </c>
      <c r="J156" s="48">
        <v>45999</v>
      </c>
      <c r="K156" s="47">
        <v>9149853916</v>
      </c>
      <c r="L156" s="47" t="s">
        <v>6884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6860</v>
      </c>
      <c r="C157" s="47" t="s">
        <v>6858</v>
      </c>
      <c r="D157" s="47" t="s">
        <v>6859</v>
      </c>
      <c r="E157" s="47" t="s">
        <v>6857</v>
      </c>
      <c r="F157" s="47" t="s">
        <v>5</v>
      </c>
      <c r="G157" s="47" t="s">
        <v>200</v>
      </c>
      <c r="H157" s="47" t="str">
        <f t="shared" si="5"/>
        <v>BARAMULLA</v>
      </c>
      <c r="I157" s="47" t="s">
        <v>6874</v>
      </c>
      <c r="J157" s="48">
        <v>45999</v>
      </c>
      <c r="K157" s="47">
        <v>9906476349</v>
      </c>
      <c r="L157" s="47" t="s">
        <v>48</v>
      </c>
      <c r="M157" s="49"/>
      <c r="N157" s="48"/>
      <c r="O157" s="47" t="s">
        <v>6445</v>
      </c>
      <c r="P157" s="50">
        <v>45999</v>
      </c>
      <c r="Q157" s="47"/>
      <c r="R157" s="47"/>
    </row>
    <row r="158" spans="1:18" x14ac:dyDescent="0.25">
      <c r="A158" s="47">
        <f t="shared" si="4"/>
        <v>157</v>
      </c>
      <c r="B158" s="47" t="s">
        <v>6899</v>
      </c>
      <c r="C158" s="47" t="s">
        <v>6895</v>
      </c>
      <c r="D158" s="47" t="s">
        <v>6896</v>
      </c>
      <c r="E158" s="47" t="s">
        <v>6897</v>
      </c>
      <c r="F158" s="47" t="s">
        <v>5</v>
      </c>
      <c r="G158" s="47" t="s">
        <v>174</v>
      </c>
      <c r="H158" s="47" t="str">
        <f t="shared" si="5"/>
        <v>PULWAMA</v>
      </c>
      <c r="I158" s="47" t="s">
        <v>6898</v>
      </c>
      <c r="J158" s="48">
        <v>45999</v>
      </c>
      <c r="K158" s="47">
        <v>9906488569</v>
      </c>
      <c r="L158" s="47" t="s">
        <v>26</v>
      </c>
      <c r="M158" s="49" t="s">
        <v>6947</v>
      </c>
      <c r="N158" s="48">
        <v>46000</v>
      </c>
      <c r="O158" s="47" t="s">
        <v>23</v>
      </c>
      <c r="P158" s="50">
        <v>46000</v>
      </c>
      <c r="Q158" s="47" t="s">
        <v>6460</v>
      </c>
      <c r="R158" s="47"/>
    </row>
    <row r="159" spans="1:18" x14ac:dyDescent="0.25">
      <c r="A159" s="47">
        <f t="shared" si="4"/>
        <v>158</v>
      </c>
      <c r="B159" s="47" t="s">
        <v>6894</v>
      </c>
      <c r="C159" s="47" t="s">
        <v>6891</v>
      </c>
      <c r="D159" s="47" t="s">
        <v>6892</v>
      </c>
      <c r="E159" s="47" t="s">
        <v>6893</v>
      </c>
      <c r="F159" s="47" t="s">
        <v>31</v>
      </c>
      <c r="G159" s="47" t="s">
        <v>200</v>
      </c>
      <c r="H159" s="47" t="str">
        <f t="shared" si="5"/>
        <v>PULWAMA</v>
      </c>
      <c r="I159" s="47" t="s">
        <v>6905</v>
      </c>
      <c r="J159" s="48">
        <v>45999</v>
      </c>
      <c r="K159" s="47">
        <v>9797244437</v>
      </c>
      <c r="L159" s="47" t="s">
        <v>6521</v>
      </c>
      <c r="M159" s="49" t="s">
        <v>7672</v>
      </c>
      <c r="N159" s="48">
        <v>46030</v>
      </c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6903</v>
      </c>
      <c r="D160" s="47" t="s">
        <v>6906</v>
      </c>
      <c r="E160" s="47" t="s">
        <v>6901</v>
      </c>
      <c r="F160" s="47" t="s">
        <v>31</v>
      </c>
      <c r="G160" s="47" t="s">
        <v>175</v>
      </c>
      <c r="H160" s="47" t="str">
        <f t="shared" si="5"/>
        <v>PULWAMA</v>
      </c>
      <c r="I160" s="47" t="s">
        <v>6902</v>
      </c>
      <c r="J160" s="48">
        <v>45999</v>
      </c>
      <c r="K160" s="47">
        <v>7006251106</v>
      </c>
      <c r="L160" s="47" t="s">
        <v>6451</v>
      </c>
      <c r="M160" s="49" t="s">
        <v>7807</v>
      </c>
      <c r="N160" s="48">
        <v>46022</v>
      </c>
      <c r="O160" s="47"/>
      <c r="P160" s="50"/>
      <c r="Q160" s="47"/>
      <c r="R160" s="47"/>
    </row>
    <row r="161" spans="1:18" x14ac:dyDescent="0.25">
      <c r="A161" s="47">
        <f t="shared" si="4"/>
        <v>160</v>
      </c>
      <c r="B161" s="47" t="s">
        <v>6854</v>
      </c>
      <c r="C161" s="47" t="s">
        <v>6851</v>
      </c>
      <c r="D161" s="47" t="s">
        <v>6852</v>
      </c>
      <c r="E161" s="47" t="s">
        <v>6853</v>
      </c>
      <c r="F161" s="47" t="s">
        <v>5</v>
      </c>
      <c r="G161" s="47" t="s">
        <v>200</v>
      </c>
      <c r="H161" s="47" t="str">
        <f t="shared" si="5"/>
        <v>SHOPIAN</v>
      </c>
      <c r="I161" s="47" t="s">
        <v>6873</v>
      </c>
      <c r="J161" s="48">
        <v>45999</v>
      </c>
      <c r="K161" s="47">
        <v>9858319554</v>
      </c>
      <c r="L161" s="47" t="s">
        <v>6570</v>
      </c>
      <c r="M161" s="49" t="s">
        <v>7151</v>
      </c>
      <c r="N161" s="48">
        <v>46007</v>
      </c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6915</v>
      </c>
      <c r="C162" s="47" t="s">
        <v>6917</v>
      </c>
      <c r="D162" s="47" t="s">
        <v>6918</v>
      </c>
      <c r="E162" s="47" t="s">
        <v>6916</v>
      </c>
      <c r="F162" s="47" t="s">
        <v>6919</v>
      </c>
      <c r="G162" s="47" t="s">
        <v>200</v>
      </c>
      <c r="H162" s="47" t="str">
        <f t="shared" si="5"/>
        <v>SRINAGAR</v>
      </c>
      <c r="I162" s="47" t="s">
        <v>6985</v>
      </c>
      <c r="J162" s="48">
        <v>46000</v>
      </c>
      <c r="K162" s="47">
        <v>8416000008</v>
      </c>
      <c r="L162" s="47" t="s">
        <v>3739</v>
      </c>
      <c r="M162" s="49" t="s">
        <v>7038</v>
      </c>
      <c r="N162" s="48">
        <v>46003</v>
      </c>
      <c r="O162" s="47" t="s">
        <v>23</v>
      </c>
      <c r="P162" s="50">
        <v>46003</v>
      </c>
      <c r="Q162" s="47" t="s">
        <v>6460</v>
      </c>
      <c r="R162" s="47" t="s">
        <v>7034</v>
      </c>
    </row>
    <row r="163" spans="1:18" x14ac:dyDescent="0.25">
      <c r="A163" s="47">
        <f t="shared" si="4"/>
        <v>162</v>
      </c>
      <c r="B163" s="47" t="s">
        <v>6932</v>
      </c>
      <c r="C163" s="47" t="s">
        <v>6929</v>
      </c>
      <c r="D163" s="47" t="s">
        <v>6930</v>
      </c>
      <c r="E163" s="47" t="s">
        <v>6931</v>
      </c>
      <c r="F163" s="47" t="s">
        <v>3130</v>
      </c>
      <c r="G163" s="47" t="s">
        <v>6475</v>
      </c>
      <c r="H163" s="47" t="str">
        <f t="shared" si="5"/>
        <v>SRINAGAR</v>
      </c>
      <c r="I163" s="47" t="s">
        <v>6936</v>
      </c>
      <c r="J163" s="48">
        <v>46000</v>
      </c>
      <c r="K163" s="47">
        <v>9419052455</v>
      </c>
      <c r="L163" s="47" t="s">
        <v>61</v>
      </c>
      <c r="M163" s="49" t="s">
        <v>6850</v>
      </c>
      <c r="N163" s="48">
        <v>46004</v>
      </c>
      <c r="O163" s="47" t="s">
        <v>23</v>
      </c>
      <c r="P163" s="50">
        <v>46000</v>
      </c>
      <c r="Q163" s="47" t="s">
        <v>6460</v>
      </c>
      <c r="R163" s="47"/>
    </row>
    <row r="164" spans="1:18" x14ac:dyDescent="0.25">
      <c r="A164" s="47">
        <f t="shared" si="4"/>
        <v>163</v>
      </c>
      <c r="B164" s="47" t="s">
        <v>6939</v>
      </c>
      <c r="C164" s="47" t="s">
        <v>6937</v>
      </c>
      <c r="D164" s="47" t="s">
        <v>6938</v>
      </c>
      <c r="E164" s="47" t="s">
        <v>4930</v>
      </c>
      <c r="F164" s="47" t="s">
        <v>125</v>
      </c>
      <c r="G164" s="47" t="s">
        <v>221</v>
      </c>
      <c r="H164" s="47" t="str">
        <f t="shared" si="5"/>
        <v>SRINAGAR</v>
      </c>
      <c r="I164" s="47" t="s">
        <v>6940</v>
      </c>
      <c r="J164" s="48">
        <v>46000</v>
      </c>
      <c r="K164" s="47">
        <v>9622687856</v>
      </c>
      <c r="L164" s="47" t="s">
        <v>106</v>
      </c>
      <c r="M164" s="49" t="s">
        <v>6981</v>
      </c>
      <c r="N164" s="48">
        <v>46002</v>
      </c>
      <c r="O164" s="47" t="s">
        <v>23</v>
      </c>
      <c r="P164" s="50">
        <v>46000</v>
      </c>
      <c r="Q164" s="47" t="s">
        <v>6460</v>
      </c>
      <c r="R164" s="47"/>
    </row>
    <row r="165" spans="1:18" x14ac:dyDescent="0.25">
      <c r="A165" s="47">
        <f t="shared" si="4"/>
        <v>164</v>
      </c>
      <c r="B165" s="47" t="s">
        <v>6944</v>
      </c>
      <c r="C165" s="47" t="s">
        <v>6941</v>
      </c>
      <c r="D165" s="47" t="s">
        <v>6942</v>
      </c>
      <c r="E165" s="47" t="s">
        <v>6943</v>
      </c>
      <c r="F165" s="47" t="s">
        <v>119</v>
      </c>
      <c r="G165" s="47" t="s">
        <v>175</v>
      </c>
      <c r="H165" s="47" t="str">
        <f t="shared" si="5"/>
        <v>BUDGAM</v>
      </c>
      <c r="I165" s="47" t="s">
        <v>6945</v>
      </c>
      <c r="J165" s="48">
        <v>46000</v>
      </c>
      <c r="K165" s="47">
        <v>7889471670</v>
      </c>
      <c r="L165" s="47" t="s">
        <v>307</v>
      </c>
      <c r="M165" s="49" t="s">
        <v>7455</v>
      </c>
      <c r="N165" s="48">
        <v>46029</v>
      </c>
      <c r="O165" s="47" t="s">
        <v>23</v>
      </c>
      <c r="P165" s="50">
        <v>46001</v>
      </c>
      <c r="Q165" s="47" t="s">
        <v>6460</v>
      </c>
      <c r="R165" s="47"/>
    </row>
    <row r="166" spans="1:18" x14ac:dyDescent="0.25">
      <c r="A166" s="47">
        <f t="shared" si="4"/>
        <v>165</v>
      </c>
      <c r="B166" s="47" t="s">
        <v>6953</v>
      </c>
      <c r="C166" s="47" t="s">
        <v>6950</v>
      </c>
      <c r="D166" s="47" t="s">
        <v>6951</v>
      </c>
      <c r="E166" s="47" t="s">
        <v>6952</v>
      </c>
      <c r="F166" s="47" t="s">
        <v>100</v>
      </c>
      <c r="G166" s="47" t="s">
        <v>226</v>
      </c>
      <c r="H166" s="47" t="str">
        <f t="shared" si="5"/>
        <v>PULWAMA</v>
      </c>
      <c r="I166" s="47" t="s">
        <v>6954</v>
      </c>
      <c r="J166" s="48">
        <v>46000</v>
      </c>
      <c r="K166" s="47">
        <v>9596030882</v>
      </c>
      <c r="L166" s="47" t="s">
        <v>6955</v>
      </c>
      <c r="M166" s="49" t="s">
        <v>7164</v>
      </c>
      <c r="N166" s="48">
        <v>46007</v>
      </c>
      <c r="O166" s="47"/>
      <c r="P166" s="50"/>
      <c r="Q166" s="47"/>
      <c r="R166" s="47" t="s">
        <v>6974</v>
      </c>
    </row>
    <row r="167" spans="1:18" x14ac:dyDescent="0.25">
      <c r="A167" s="47">
        <f t="shared" si="4"/>
        <v>166</v>
      </c>
      <c r="B167" s="47" t="s">
        <v>6910</v>
      </c>
      <c r="C167" s="47" t="s">
        <v>6907</v>
      </c>
      <c r="D167" s="47" t="s">
        <v>6908</v>
      </c>
      <c r="E167" s="47" t="s">
        <v>6909</v>
      </c>
      <c r="F167" s="47" t="s">
        <v>119</v>
      </c>
      <c r="G167" s="47" t="s">
        <v>174</v>
      </c>
      <c r="H167" s="47" t="str">
        <f t="shared" si="5"/>
        <v>PULWAMA</v>
      </c>
      <c r="I167" s="47" t="s">
        <v>6911</v>
      </c>
      <c r="J167" s="48">
        <v>46000</v>
      </c>
      <c r="K167" s="47">
        <v>7006058418</v>
      </c>
      <c r="L167" s="47" t="s">
        <v>138</v>
      </c>
      <c r="M167" s="49" t="s">
        <v>7164</v>
      </c>
      <c r="N167" s="48">
        <v>46007</v>
      </c>
      <c r="O167" s="47"/>
      <c r="P167" s="50"/>
      <c r="Q167" s="47"/>
      <c r="R167" s="47"/>
    </row>
    <row r="168" spans="1:18" x14ac:dyDescent="0.25">
      <c r="A168" s="47">
        <f t="shared" si="4"/>
        <v>167</v>
      </c>
      <c r="B168" s="47" t="s">
        <v>6926</v>
      </c>
      <c r="C168" s="47" t="s">
        <v>6924</v>
      </c>
      <c r="D168" s="47" t="s">
        <v>6925</v>
      </c>
      <c r="E168" s="47" t="s">
        <v>3420</v>
      </c>
      <c r="F168" s="47" t="s">
        <v>31</v>
      </c>
      <c r="G168" s="47" t="s">
        <v>174</v>
      </c>
      <c r="H168" s="47" t="str">
        <f t="shared" si="5"/>
        <v>PULWAMA</v>
      </c>
      <c r="I168" s="47" t="s">
        <v>6928</v>
      </c>
      <c r="J168" s="48">
        <v>46000</v>
      </c>
      <c r="K168" s="47">
        <v>9622432608</v>
      </c>
      <c r="L168" s="47" t="s">
        <v>6521</v>
      </c>
      <c r="M168" s="49" t="s">
        <v>7164</v>
      </c>
      <c r="N168" s="48">
        <v>46007</v>
      </c>
      <c r="O168" s="47"/>
      <c r="P168" s="50"/>
      <c r="Q168" s="47"/>
      <c r="R168" s="47"/>
    </row>
    <row r="169" spans="1:18" x14ac:dyDescent="0.25">
      <c r="A169" s="47">
        <f t="shared" si="4"/>
        <v>168</v>
      </c>
      <c r="B169" s="47" t="s">
        <v>6913</v>
      </c>
      <c r="C169" s="47" t="s">
        <v>6920</v>
      </c>
      <c r="D169" s="47" t="s">
        <v>6921</v>
      </c>
      <c r="E169" s="47" t="s">
        <v>6914</v>
      </c>
      <c r="F169" s="47" t="s">
        <v>281</v>
      </c>
      <c r="G169" s="47" t="s">
        <v>199</v>
      </c>
      <c r="H169" s="47" t="str">
        <f t="shared" si="5"/>
        <v>SHOPIAN</v>
      </c>
      <c r="I169" s="47" t="s">
        <v>6912</v>
      </c>
      <c r="J169" s="48">
        <v>46000</v>
      </c>
      <c r="K169" s="47">
        <v>7006824047</v>
      </c>
      <c r="L169" s="47" t="s">
        <v>6580</v>
      </c>
      <c r="M169" s="49" t="s">
        <v>7151</v>
      </c>
      <c r="N169" s="48">
        <v>46007</v>
      </c>
      <c r="O169" s="47"/>
      <c r="P169" s="50"/>
      <c r="Q169" s="47"/>
      <c r="R169" s="47"/>
    </row>
    <row r="170" spans="1:18" x14ac:dyDescent="0.25">
      <c r="A170" s="47">
        <f t="shared" si="4"/>
        <v>169</v>
      </c>
      <c r="B170" s="47" t="s">
        <v>6967</v>
      </c>
      <c r="C170" s="47" t="s">
        <v>6963</v>
      </c>
      <c r="D170" s="47" t="s">
        <v>6964</v>
      </c>
      <c r="E170" s="47" t="s">
        <v>6965</v>
      </c>
      <c r="F170" s="47" t="s">
        <v>6966</v>
      </c>
      <c r="G170" s="47" t="s">
        <v>200</v>
      </c>
      <c r="H170" s="47" t="str">
        <f t="shared" si="5"/>
        <v>SRINAGAR</v>
      </c>
      <c r="I170" s="47" t="s">
        <v>6973</v>
      </c>
      <c r="J170" s="48">
        <v>46001</v>
      </c>
      <c r="K170" s="47">
        <v>7889467793</v>
      </c>
      <c r="L170" s="47" t="s">
        <v>2248</v>
      </c>
      <c r="M170" s="49" t="s">
        <v>7113</v>
      </c>
      <c r="N170" s="48">
        <v>46006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6970</v>
      </c>
      <c r="C171" s="47" t="s">
        <v>6968</v>
      </c>
      <c r="D171" s="47" t="s">
        <v>6969</v>
      </c>
      <c r="E171" s="47" t="s">
        <v>3089</v>
      </c>
      <c r="F171" s="47" t="s">
        <v>119</v>
      </c>
      <c r="G171" s="47" t="s">
        <v>175</v>
      </c>
      <c r="H171" s="47" t="str">
        <f t="shared" si="5"/>
        <v>SRINAGAR</v>
      </c>
      <c r="I171" s="47" t="s">
        <v>6972</v>
      </c>
      <c r="J171" s="48">
        <v>46001</v>
      </c>
      <c r="K171" s="47">
        <v>9419381680</v>
      </c>
      <c r="L171" s="47" t="s">
        <v>75</v>
      </c>
      <c r="M171" s="49" t="s">
        <v>8242</v>
      </c>
      <c r="N171" s="48">
        <v>46027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6962</v>
      </c>
      <c r="C172" s="47" t="s">
        <v>6959</v>
      </c>
      <c r="D172" s="47" t="s">
        <v>6960</v>
      </c>
      <c r="E172" s="47" t="s">
        <v>6961</v>
      </c>
      <c r="F172" s="47" t="s">
        <v>290</v>
      </c>
      <c r="G172" s="47" t="s">
        <v>200</v>
      </c>
      <c r="H172" s="47" t="str">
        <f t="shared" si="5"/>
        <v>ANANTNAG</v>
      </c>
      <c r="I172" s="47" t="s">
        <v>6971</v>
      </c>
      <c r="J172" s="48">
        <v>46001</v>
      </c>
      <c r="K172" s="47">
        <v>9103172002</v>
      </c>
      <c r="L172" s="47" t="s">
        <v>48</v>
      </c>
      <c r="M172" s="49" t="s">
        <v>7085</v>
      </c>
      <c r="N172" s="48">
        <v>46004</v>
      </c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6983</v>
      </c>
      <c r="C173" s="47" t="s">
        <v>6978</v>
      </c>
      <c r="D173" s="47" t="s">
        <v>6979</v>
      </c>
      <c r="E173" s="47" t="s">
        <v>6980</v>
      </c>
      <c r="F173" s="47" t="s">
        <v>100</v>
      </c>
      <c r="G173" s="47" t="s">
        <v>174</v>
      </c>
      <c r="H173" s="47" t="str">
        <f t="shared" si="5"/>
        <v>KUPWARA</v>
      </c>
      <c r="I173" s="47" t="s">
        <v>6984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6989</v>
      </c>
      <c r="C174" s="47" t="s">
        <v>6986</v>
      </c>
      <c r="D174" s="47" t="s">
        <v>6987</v>
      </c>
      <c r="E174" s="47" t="s">
        <v>6988</v>
      </c>
      <c r="F174" s="47" t="s">
        <v>3130</v>
      </c>
      <c r="G174" s="47" t="s">
        <v>6475</v>
      </c>
      <c r="H174" s="47" t="str">
        <f t="shared" si="5"/>
        <v>SRINAGAR</v>
      </c>
      <c r="I174" s="47" t="s">
        <v>6991</v>
      </c>
      <c r="J174" s="48">
        <v>46002</v>
      </c>
      <c r="K174" s="47">
        <v>9596275480</v>
      </c>
      <c r="L174" s="47" t="s">
        <v>70</v>
      </c>
      <c r="M174" s="49" t="s">
        <v>7617</v>
      </c>
      <c r="N174" s="48">
        <v>46028</v>
      </c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7009</v>
      </c>
      <c r="C175" s="47" t="s">
        <v>7010</v>
      </c>
      <c r="D175" s="47" t="s">
        <v>7011</v>
      </c>
      <c r="E175" s="47" t="s">
        <v>7012</v>
      </c>
      <c r="F175" s="47" t="s">
        <v>281</v>
      </c>
      <c r="G175" s="47" t="s">
        <v>200</v>
      </c>
      <c r="H175" s="47" t="str">
        <f t="shared" si="5"/>
        <v>SRINAGAR</v>
      </c>
      <c r="I175" s="47" t="s">
        <v>7013</v>
      </c>
      <c r="J175" s="48">
        <v>46002</v>
      </c>
      <c r="K175" s="47">
        <v>7006743019</v>
      </c>
      <c r="L175" s="47" t="s">
        <v>7014</v>
      </c>
      <c r="M175" s="49" t="s">
        <v>7164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7007</v>
      </c>
      <c r="C176" s="47" t="s">
        <v>7004</v>
      </c>
      <c r="D176" s="47" t="s">
        <v>7005</v>
      </c>
      <c r="E176" s="47" t="s">
        <v>7006</v>
      </c>
      <c r="F176" s="47" t="s">
        <v>31</v>
      </c>
      <c r="G176" s="47" t="s">
        <v>174</v>
      </c>
      <c r="H176" s="47" t="str">
        <f t="shared" si="5"/>
        <v>SRINAGAR</v>
      </c>
      <c r="I176" s="47" t="s">
        <v>7008</v>
      </c>
      <c r="J176" s="48">
        <v>46002</v>
      </c>
      <c r="K176" s="47">
        <v>9541537572</v>
      </c>
      <c r="L176" s="47" t="s">
        <v>307</v>
      </c>
      <c r="M176" s="49"/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7000</v>
      </c>
      <c r="C177" s="47" t="s">
        <v>7001</v>
      </c>
      <c r="D177" s="47" t="s">
        <v>7002</v>
      </c>
      <c r="E177" s="47" t="s">
        <v>7003</v>
      </c>
      <c r="F177" s="47" t="s">
        <v>6998</v>
      </c>
      <c r="G177" s="47" t="s">
        <v>175</v>
      </c>
      <c r="H177" s="47" t="str">
        <f t="shared" si="5"/>
        <v>BUDGAM</v>
      </c>
      <c r="I177" s="47" t="s">
        <v>7026</v>
      </c>
      <c r="J177" s="48">
        <v>46002</v>
      </c>
      <c r="K177" s="47">
        <v>9149852485</v>
      </c>
      <c r="L177" s="47" t="s">
        <v>70</v>
      </c>
      <c r="M177" s="49" t="s">
        <v>7114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6999</v>
      </c>
      <c r="C178" s="47" t="s">
        <v>6996</v>
      </c>
      <c r="D178" s="47" t="s">
        <v>6997</v>
      </c>
      <c r="E178" s="47" t="s">
        <v>4399</v>
      </c>
      <c r="F178" s="47" t="s">
        <v>6998</v>
      </c>
      <c r="G178" s="47" t="s">
        <v>200</v>
      </c>
      <c r="H178" s="47" t="str">
        <f t="shared" si="5"/>
        <v>BUDGAM</v>
      </c>
      <c r="I178" s="47" t="s">
        <v>7025</v>
      </c>
      <c r="J178" s="48">
        <v>46002</v>
      </c>
      <c r="K178" s="47">
        <v>6006763182</v>
      </c>
      <c r="L178" s="47" t="s">
        <v>70</v>
      </c>
      <c r="M178" s="49" t="s">
        <v>7954</v>
      </c>
      <c r="N178" s="48">
        <v>46032</v>
      </c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7021</v>
      </c>
      <c r="C179" s="47" t="s">
        <v>7022</v>
      </c>
      <c r="D179" s="47" t="s">
        <v>7023</v>
      </c>
      <c r="E179" s="47" t="s">
        <v>7024</v>
      </c>
      <c r="F179" s="47" t="s">
        <v>119</v>
      </c>
      <c r="G179" s="47" t="s">
        <v>174</v>
      </c>
      <c r="H179" s="47" t="str">
        <f t="shared" si="5"/>
        <v>BARAMULLA</v>
      </c>
      <c r="I179" s="47" t="s">
        <v>7027</v>
      </c>
      <c r="J179" s="48">
        <v>46002</v>
      </c>
      <c r="K179" s="47">
        <v>8082636745</v>
      </c>
      <c r="L179" s="47" t="s">
        <v>43</v>
      </c>
      <c r="M179" s="49" t="s">
        <v>7152</v>
      </c>
      <c r="N179" s="48">
        <v>46007</v>
      </c>
      <c r="O179" s="47" t="s">
        <v>23</v>
      </c>
      <c r="P179" s="50">
        <v>46003</v>
      </c>
      <c r="Q179" s="47" t="s">
        <v>6460</v>
      </c>
      <c r="R179" s="47"/>
    </row>
    <row r="180" spans="1:18" x14ac:dyDescent="0.25">
      <c r="A180" s="47">
        <f t="shared" si="4"/>
        <v>179</v>
      </c>
      <c r="B180" s="47" t="s">
        <v>7018</v>
      </c>
      <c r="C180" s="47" t="s">
        <v>7015</v>
      </c>
      <c r="D180" s="47" t="s">
        <v>7016</v>
      </c>
      <c r="E180" s="47" t="s">
        <v>7017</v>
      </c>
      <c r="F180" s="47" t="s">
        <v>31</v>
      </c>
      <c r="G180" s="47" t="s">
        <v>221</v>
      </c>
      <c r="H180" s="47" t="str">
        <f t="shared" si="5"/>
        <v>PULWAMA</v>
      </c>
      <c r="I180" s="47" t="s">
        <v>7020</v>
      </c>
      <c r="J180" s="48">
        <v>46002</v>
      </c>
      <c r="K180" s="47">
        <v>7889910978</v>
      </c>
      <c r="L180" s="47" t="s">
        <v>6570</v>
      </c>
      <c r="M180" s="49" t="s">
        <v>7151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6992</v>
      </c>
      <c r="C181" s="47" t="s">
        <v>6993</v>
      </c>
      <c r="D181" s="47" t="s">
        <v>6995</v>
      </c>
      <c r="E181" s="47" t="s">
        <v>6994</v>
      </c>
      <c r="F181" s="47" t="s">
        <v>5</v>
      </c>
      <c r="G181" s="47" t="s">
        <v>200</v>
      </c>
      <c r="H181" s="47" t="str">
        <f t="shared" si="5"/>
        <v>SHOPIAN</v>
      </c>
      <c r="I181" s="47" t="s">
        <v>7019</v>
      </c>
      <c r="J181" s="48">
        <v>46002</v>
      </c>
      <c r="K181" s="47">
        <v>9906277021</v>
      </c>
      <c r="L181" s="47" t="s">
        <v>6570</v>
      </c>
      <c r="M181" s="49" t="s">
        <v>7151</v>
      </c>
      <c r="N181" s="48">
        <v>46007</v>
      </c>
      <c r="O181" s="47"/>
      <c r="P181" s="50"/>
      <c r="Q181" s="47"/>
      <c r="R181" s="47"/>
    </row>
    <row r="182" spans="1:18" x14ac:dyDescent="0.25">
      <c r="A182" s="47">
        <f t="shared" si="4"/>
        <v>181</v>
      </c>
      <c r="B182" s="47" t="s">
        <v>7070</v>
      </c>
      <c r="C182" s="47" t="s">
        <v>7071</v>
      </c>
      <c r="D182" s="47" t="s">
        <v>7072</v>
      </c>
      <c r="E182" s="47" t="s">
        <v>7073</v>
      </c>
      <c r="F182" s="47" t="s">
        <v>3130</v>
      </c>
      <c r="G182" s="47" t="s">
        <v>6475</v>
      </c>
      <c r="H182" s="47" t="str">
        <f t="shared" si="5"/>
        <v>SRINAGAR</v>
      </c>
      <c r="I182" s="47" t="s">
        <v>7074</v>
      </c>
      <c r="J182" s="48">
        <v>46003</v>
      </c>
      <c r="K182" s="47">
        <v>9419705595</v>
      </c>
      <c r="L182" s="47" t="s">
        <v>70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7042</v>
      </c>
      <c r="C183" s="47" t="s">
        <v>7039</v>
      </c>
      <c r="D183" s="47" t="s">
        <v>7040</v>
      </c>
      <c r="E183" s="47" t="s">
        <v>7041</v>
      </c>
      <c r="F183" s="47" t="s">
        <v>238</v>
      </c>
      <c r="G183" s="47" t="s">
        <v>181</v>
      </c>
      <c r="H183" s="47" t="str">
        <f t="shared" si="5"/>
        <v>SRINAGAR</v>
      </c>
      <c r="I183" s="47" t="s">
        <v>7062</v>
      </c>
      <c r="J183" s="48">
        <v>46003</v>
      </c>
      <c r="K183" s="47">
        <v>9419015767</v>
      </c>
      <c r="L183" s="47" t="s">
        <v>48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7048</v>
      </c>
      <c r="C184" s="47" t="s">
        <v>7049</v>
      </c>
      <c r="D184" s="47" t="s">
        <v>7050</v>
      </c>
      <c r="E184" s="47" t="s">
        <v>7051</v>
      </c>
      <c r="F184" s="47" t="s">
        <v>31</v>
      </c>
      <c r="G184" s="47" t="s">
        <v>221</v>
      </c>
      <c r="H184" s="47" t="str">
        <f t="shared" si="5"/>
        <v>SRINAGAR</v>
      </c>
      <c r="I184" s="47" t="s">
        <v>7061</v>
      </c>
      <c r="J184" s="48">
        <v>46003</v>
      </c>
      <c r="K184" s="47">
        <v>7006646319</v>
      </c>
      <c r="L184" s="47" t="s">
        <v>6521</v>
      </c>
      <c r="M184" s="49" t="s">
        <v>7262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7052</v>
      </c>
      <c r="C185" s="47" t="s">
        <v>7053</v>
      </c>
      <c r="D185" s="47" t="s">
        <v>7054</v>
      </c>
      <c r="E185" s="47" t="s">
        <v>7055</v>
      </c>
      <c r="F185" s="47" t="s">
        <v>3130</v>
      </c>
      <c r="G185" s="47" t="s">
        <v>6475</v>
      </c>
      <c r="H185" s="47" t="str">
        <f t="shared" si="5"/>
        <v>SRINAGAR</v>
      </c>
      <c r="I185" s="47" t="s">
        <v>7063</v>
      </c>
      <c r="J185" s="48">
        <v>46003</v>
      </c>
      <c r="K185" s="47">
        <v>6006485825</v>
      </c>
      <c r="L185" s="47" t="s">
        <v>7056</v>
      </c>
      <c r="M185" s="49" t="s">
        <v>8075</v>
      </c>
      <c r="N185" s="48">
        <v>46027</v>
      </c>
      <c r="O185" s="54" t="s">
        <v>7083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7043</v>
      </c>
      <c r="C186" s="47" t="s">
        <v>7044</v>
      </c>
      <c r="D186" s="47" t="s">
        <v>7045</v>
      </c>
      <c r="E186" s="47" t="s">
        <v>7046</v>
      </c>
      <c r="F186" s="47" t="s">
        <v>119</v>
      </c>
      <c r="G186" s="47" t="s">
        <v>200</v>
      </c>
      <c r="H186" s="47" t="str">
        <f t="shared" si="5"/>
        <v>BUDGAM</v>
      </c>
      <c r="I186" s="47" t="s">
        <v>7064</v>
      </c>
      <c r="J186" s="48">
        <v>46003</v>
      </c>
      <c r="K186" s="47">
        <v>9622901567</v>
      </c>
      <c r="L186" s="47" t="s">
        <v>26</v>
      </c>
      <c r="M186" s="49"/>
      <c r="N186" s="48"/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7057</v>
      </c>
      <c r="C187" s="47" t="s">
        <v>7058</v>
      </c>
      <c r="D187" s="47" t="s">
        <v>7059</v>
      </c>
      <c r="E187" s="47" t="s">
        <v>7060</v>
      </c>
      <c r="F187" s="47" t="s">
        <v>119</v>
      </c>
      <c r="G187" s="47" t="s">
        <v>200</v>
      </c>
      <c r="H187" s="47" t="str">
        <f t="shared" si="5"/>
        <v>PULWAMA</v>
      </c>
      <c r="I187" s="47" t="s">
        <v>7075</v>
      </c>
      <c r="J187" s="48">
        <v>46003</v>
      </c>
      <c r="K187" s="47">
        <v>9682101195</v>
      </c>
      <c r="L187" s="47" t="s">
        <v>70</v>
      </c>
      <c r="M187" s="49" t="s">
        <v>7114</v>
      </c>
      <c r="N187" s="48">
        <v>46009</v>
      </c>
      <c r="O187" s="47" t="s">
        <v>23</v>
      </c>
      <c r="P187" s="50">
        <v>46003</v>
      </c>
      <c r="Q187" s="47" t="s">
        <v>6460</v>
      </c>
      <c r="R187" s="47"/>
    </row>
    <row r="188" spans="1:18" x14ac:dyDescent="0.25">
      <c r="A188" s="47">
        <f t="shared" si="4"/>
        <v>187</v>
      </c>
      <c r="B188" s="47" t="s">
        <v>7065</v>
      </c>
      <c r="C188" s="47" t="s">
        <v>7066</v>
      </c>
      <c r="D188" s="47" t="s">
        <v>7067</v>
      </c>
      <c r="E188" s="47" t="s">
        <v>7068</v>
      </c>
      <c r="F188" s="47" t="s">
        <v>193</v>
      </c>
      <c r="G188" s="47" t="s">
        <v>200</v>
      </c>
      <c r="H188" s="47" t="str">
        <f t="shared" si="5"/>
        <v>PULWAMA</v>
      </c>
      <c r="I188" s="47" t="s">
        <v>7076</v>
      </c>
      <c r="J188" s="48">
        <v>46003</v>
      </c>
      <c r="K188" s="47">
        <v>9797499942</v>
      </c>
      <c r="L188" s="47" t="s">
        <v>7069</v>
      </c>
      <c r="M188" s="49"/>
      <c r="N188" s="48"/>
      <c r="O188" s="47"/>
      <c r="P188" s="50"/>
      <c r="Q188" s="47"/>
      <c r="R188" s="47"/>
    </row>
    <row r="189" spans="1:18" x14ac:dyDescent="0.25">
      <c r="A189" s="47">
        <f t="shared" si="4"/>
        <v>188</v>
      </c>
      <c r="B189" s="47" t="s">
        <v>7098</v>
      </c>
      <c r="C189" s="47" t="s">
        <v>7099</v>
      </c>
      <c r="D189" s="47" t="s">
        <v>7100</v>
      </c>
      <c r="E189" s="47" t="s">
        <v>7101</v>
      </c>
      <c r="F189" s="47" t="s">
        <v>6829</v>
      </c>
      <c r="G189" s="47" t="s">
        <v>6440</v>
      </c>
      <c r="H189" s="47" t="str">
        <f t="shared" si="5"/>
        <v>SRINAGAR</v>
      </c>
      <c r="I189" s="47" t="s">
        <v>7108</v>
      </c>
      <c r="J189" s="48">
        <v>46004</v>
      </c>
      <c r="K189" s="47">
        <v>7006224132</v>
      </c>
      <c r="L189" s="47" t="s">
        <v>7111</v>
      </c>
      <c r="M189" s="49"/>
      <c r="N189" s="48"/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7106</v>
      </c>
      <c r="C190" s="47" t="s">
        <v>7094</v>
      </c>
      <c r="D190" s="47" t="s">
        <v>7095</v>
      </c>
      <c r="E190" s="47" t="s">
        <v>7096</v>
      </c>
      <c r="F190" s="47" t="s">
        <v>31</v>
      </c>
      <c r="G190" s="47" t="s">
        <v>175</v>
      </c>
      <c r="H190" s="47" t="str">
        <f t="shared" si="5"/>
        <v>JAMMU</v>
      </c>
      <c r="I190" s="47" t="s">
        <v>7107</v>
      </c>
      <c r="J190" s="48">
        <v>46004</v>
      </c>
      <c r="K190" s="47">
        <v>7006058332</v>
      </c>
      <c r="L190" s="47" t="s">
        <v>6761</v>
      </c>
      <c r="M190" s="49" t="s">
        <v>7151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7089</v>
      </c>
      <c r="C191" s="47" t="s">
        <v>7090</v>
      </c>
      <c r="D191" s="47" t="s">
        <v>7091</v>
      </c>
      <c r="E191" s="47" t="s">
        <v>7092</v>
      </c>
      <c r="F191" s="47" t="s">
        <v>125</v>
      </c>
      <c r="G191" s="47" t="s">
        <v>199</v>
      </c>
      <c r="H191" s="47" t="str">
        <f t="shared" si="5"/>
        <v>BUDGAM</v>
      </c>
      <c r="I191" s="47" t="s">
        <v>7093</v>
      </c>
      <c r="J191" s="48">
        <v>46004</v>
      </c>
      <c r="K191" s="47">
        <v>7006296665</v>
      </c>
      <c r="L191" s="47" t="s">
        <v>43</v>
      </c>
      <c r="M191" s="49" t="s">
        <v>7152</v>
      </c>
      <c r="N191" s="48">
        <v>46007</v>
      </c>
      <c r="O191" s="47" t="s">
        <v>23</v>
      </c>
      <c r="P191" s="50">
        <v>46004</v>
      </c>
      <c r="Q191" s="47" t="s">
        <v>6460</v>
      </c>
      <c r="R191" s="47"/>
    </row>
    <row r="192" spans="1:18" x14ac:dyDescent="0.25">
      <c r="A192" s="47">
        <f t="shared" si="4"/>
        <v>191</v>
      </c>
      <c r="B192" s="47" t="s">
        <v>7097</v>
      </c>
      <c r="C192" s="47" t="s">
        <v>7102</v>
      </c>
      <c r="D192" s="47" t="s">
        <v>7103</v>
      </c>
      <c r="E192" s="47" t="s">
        <v>7104</v>
      </c>
      <c r="F192" s="47" t="s">
        <v>290</v>
      </c>
      <c r="G192" s="47" t="s">
        <v>175</v>
      </c>
      <c r="H192" s="47" t="str">
        <f t="shared" si="5"/>
        <v>SHOPIAN</v>
      </c>
      <c r="I192" s="47" t="s">
        <v>7105</v>
      </c>
      <c r="J192" s="48">
        <v>46004</v>
      </c>
      <c r="K192" s="47">
        <v>7006885644</v>
      </c>
      <c r="L192" s="47" t="s">
        <v>6580</v>
      </c>
      <c r="M192" s="49" t="s">
        <v>7151</v>
      </c>
      <c r="N192" s="48">
        <v>46007</v>
      </c>
      <c r="O192" s="47"/>
      <c r="P192" s="50"/>
      <c r="Q192" s="47"/>
      <c r="R192" s="47"/>
    </row>
    <row r="193" spans="1:18" x14ac:dyDescent="0.25">
      <c r="A193" s="47">
        <f t="shared" si="4"/>
        <v>192</v>
      </c>
      <c r="B193" s="47" t="s">
        <v>7121</v>
      </c>
      <c r="C193" s="47" t="s">
        <v>7122</v>
      </c>
      <c r="D193" s="47" t="s">
        <v>7123</v>
      </c>
      <c r="E193" s="47" t="s">
        <v>7124</v>
      </c>
      <c r="F193" s="47" t="s">
        <v>290</v>
      </c>
      <c r="G193" s="47" t="s">
        <v>174</v>
      </c>
      <c r="H193" s="47" t="str">
        <f t="shared" si="5"/>
        <v>SRINAGAR</v>
      </c>
      <c r="I193" s="47" t="s">
        <v>7126</v>
      </c>
      <c r="J193" s="48">
        <v>46006</v>
      </c>
      <c r="K193" s="47">
        <v>7006417231</v>
      </c>
      <c r="L193" s="47" t="s">
        <v>48</v>
      </c>
      <c r="M193" s="49"/>
      <c r="N193" s="48"/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6">ROW()-1</f>
        <v>193</v>
      </c>
      <c r="B194" s="47" t="s">
        <v>7125</v>
      </c>
      <c r="C194" s="47" t="s">
        <v>7131</v>
      </c>
      <c r="D194" s="47" t="s">
        <v>7132</v>
      </c>
      <c r="E194" s="47" t="s">
        <v>7133</v>
      </c>
      <c r="F194" s="47" t="s">
        <v>31</v>
      </c>
      <c r="G194" s="47" t="s">
        <v>199</v>
      </c>
      <c r="H194" s="47" t="str">
        <f t="shared" ref="H194:H257" si="7">IF(LEFT(I194,4)="JK13","PULWAMA",IF(LEFT(I194,4)="JK01","SRINAGAR",IF(LEFT(I194,4)="JK04","BUDGAM",IF(LEFT(I194,4)="JK03","ANANTNAG",IF(LEFT(I194,4)="JK05","BARAMULLA",IF(LEFT(I194,4)="26BH","BHARAT",IF(LEFT(I194,4)="25BH","BHARAT",IF(LEFT(I194,4)="JK12","POONCH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</f>
        <v>BUDGAM</v>
      </c>
      <c r="I194" s="47" t="s">
        <v>7134</v>
      </c>
      <c r="J194" s="48">
        <v>46006</v>
      </c>
      <c r="K194" s="47">
        <v>9419007332</v>
      </c>
      <c r="L194" s="47" t="s">
        <v>1126</v>
      </c>
      <c r="M194" s="49" t="s">
        <v>6876</v>
      </c>
      <c r="N194" s="48">
        <v>46007</v>
      </c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6"/>
        <v>194</v>
      </c>
      <c r="B195" s="47" t="s">
        <v>7130</v>
      </c>
      <c r="C195" s="47" t="s">
        <v>7127</v>
      </c>
      <c r="D195" s="47" t="s">
        <v>7128</v>
      </c>
      <c r="E195" s="47" t="s">
        <v>7129</v>
      </c>
      <c r="F195" s="47" t="s">
        <v>119</v>
      </c>
      <c r="G195" s="47" t="s">
        <v>200</v>
      </c>
      <c r="H195" s="47" t="str">
        <f t="shared" si="7"/>
        <v>BUDGAM</v>
      </c>
      <c r="I195" s="47" t="s">
        <v>7135</v>
      </c>
      <c r="J195" s="48">
        <v>46006</v>
      </c>
      <c r="K195" s="47">
        <v>6006807265</v>
      </c>
      <c r="L195" s="47" t="s">
        <v>70</v>
      </c>
      <c r="M195" s="49" t="s">
        <v>7114</v>
      </c>
      <c r="N195" s="48">
        <v>46009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6"/>
        <v>195</v>
      </c>
      <c r="B196" s="47" t="s">
        <v>7119</v>
      </c>
      <c r="C196" s="47" t="s">
        <v>7116</v>
      </c>
      <c r="D196" s="47" t="s">
        <v>7117</v>
      </c>
      <c r="E196" s="47" t="s">
        <v>7118</v>
      </c>
      <c r="F196" s="47" t="s">
        <v>119</v>
      </c>
      <c r="G196" s="47" t="s">
        <v>221</v>
      </c>
      <c r="H196" s="47" t="str">
        <f t="shared" si="7"/>
        <v>BUDGAM</v>
      </c>
      <c r="I196" s="47" t="s">
        <v>7120</v>
      </c>
      <c r="J196" s="48">
        <v>46006</v>
      </c>
      <c r="K196" s="47">
        <v>7006159140</v>
      </c>
      <c r="L196" s="47" t="s">
        <v>70</v>
      </c>
      <c r="M196" s="49" t="s">
        <v>7114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6"/>
        <v>196</v>
      </c>
      <c r="B197" s="47" t="s">
        <v>7148</v>
      </c>
      <c r="C197" s="47" t="s">
        <v>7149</v>
      </c>
      <c r="D197" s="47" t="s">
        <v>7150</v>
      </c>
      <c r="E197" s="47" t="s">
        <v>4727</v>
      </c>
      <c r="F197" s="47" t="s">
        <v>119</v>
      </c>
      <c r="G197" s="47" t="s">
        <v>175</v>
      </c>
      <c r="H197" s="47" t="str">
        <f t="shared" si="7"/>
        <v>SRINAGAR</v>
      </c>
      <c r="I197" s="47" t="s">
        <v>7187</v>
      </c>
      <c r="J197" s="48">
        <v>46007</v>
      </c>
      <c r="K197" s="47">
        <v>9622347307</v>
      </c>
      <c r="L197" s="47" t="s">
        <v>106</v>
      </c>
      <c r="M197" s="49" t="s">
        <v>7601</v>
      </c>
      <c r="N197" s="48">
        <v>46027</v>
      </c>
      <c r="O197" s="47" t="s">
        <v>23</v>
      </c>
      <c r="P197" s="50">
        <v>46008</v>
      </c>
      <c r="Q197" s="47" t="s">
        <v>6460</v>
      </c>
      <c r="R197" s="47"/>
    </row>
    <row r="198" spans="1:18" x14ac:dyDescent="0.25">
      <c r="A198" s="47">
        <f t="shared" si="6"/>
        <v>197</v>
      </c>
      <c r="B198" s="47" t="s">
        <v>7180</v>
      </c>
      <c r="C198" s="47" t="s">
        <v>7177</v>
      </c>
      <c r="D198" s="47" t="s">
        <v>7178</v>
      </c>
      <c r="E198" s="47" t="s">
        <v>7179</v>
      </c>
      <c r="F198" s="47" t="s">
        <v>6420</v>
      </c>
      <c r="G198" s="47" t="s">
        <v>200</v>
      </c>
      <c r="H198" s="47" t="str">
        <f t="shared" si="7"/>
        <v>SRINAGAR</v>
      </c>
      <c r="I198" s="47" t="s">
        <v>7188</v>
      </c>
      <c r="J198" s="48">
        <v>46007</v>
      </c>
      <c r="K198" s="47">
        <v>8825095120</v>
      </c>
      <c r="L198" s="47" t="s">
        <v>43</v>
      </c>
      <c r="M198" s="49" t="s">
        <v>7152</v>
      </c>
      <c r="N198" s="48">
        <v>46010</v>
      </c>
      <c r="O198" s="47" t="s">
        <v>23</v>
      </c>
      <c r="P198" s="50">
        <v>46008</v>
      </c>
      <c r="Q198" s="47" t="s">
        <v>6460</v>
      </c>
      <c r="R198" s="47"/>
    </row>
    <row r="199" spans="1:18" x14ac:dyDescent="0.25">
      <c r="A199" s="47">
        <f t="shared" si="6"/>
        <v>198</v>
      </c>
      <c r="B199" s="47" t="s">
        <v>7165</v>
      </c>
      <c r="C199" s="47" t="s">
        <v>7166</v>
      </c>
      <c r="D199" s="47" t="s">
        <v>7167</v>
      </c>
      <c r="E199" s="47" t="s">
        <v>7168</v>
      </c>
      <c r="F199" s="47" t="s">
        <v>250</v>
      </c>
      <c r="G199" s="47" t="s">
        <v>200</v>
      </c>
      <c r="H199" s="47" t="str">
        <f t="shared" si="7"/>
        <v>SRINAGAR</v>
      </c>
      <c r="I199" s="47" t="s">
        <v>7186</v>
      </c>
      <c r="J199" s="48">
        <v>46007</v>
      </c>
      <c r="K199" s="47">
        <v>9797255546</v>
      </c>
      <c r="L199" s="47" t="s">
        <v>75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6"/>
        <v>199</v>
      </c>
      <c r="B200" s="47" t="s">
        <v>7143</v>
      </c>
      <c r="C200" s="47" t="s">
        <v>7140</v>
      </c>
      <c r="D200" s="47" t="s">
        <v>7141</v>
      </c>
      <c r="E200" s="47" t="s">
        <v>7142</v>
      </c>
      <c r="F200" s="47" t="s">
        <v>119</v>
      </c>
      <c r="G200" s="47" t="s">
        <v>200</v>
      </c>
      <c r="H200" s="47" t="str">
        <f t="shared" si="7"/>
        <v>BUDGAM</v>
      </c>
      <c r="I200" s="47" t="s">
        <v>7173</v>
      </c>
      <c r="J200" s="48">
        <v>46007</v>
      </c>
      <c r="K200" s="47">
        <v>9622878211</v>
      </c>
      <c r="L200" s="47" t="s">
        <v>6521</v>
      </c>
      <c r="M200" s="49" t="s">
        <v>7776</v>
      </c>
      <c r="N200" s="48">
        <v>46021</v>
      </c>
      <c r="O200" s="47"/>
      <c r="P200" s="50"/>
      <c r="Q200" s="47"/>
      <c r="R200" s="47" t="s">
        <v>7194</v>
      </c>
    </row>
    <row r="201" spans="1:18" x14ac:dyDescent="0.25">
      <c r="A201" s="47">
        <f t="shared" si="6"/>
        <v>200</v>
      </c>
      <c r="B201" s="47" t="s">
        <v>7163</v>
      </c>
      <c r="C201" s="47" t="s">
        <v>7160</v>
      </c>
      <c r="D201" s="47" t="s">
        <v>7161</v>
      </c>
      <c r="E201" s="47" t="s">
        <v>7162</v>
      </c>
      <c r="F201" s="47" t="s">
        <v>119</v>
      </c>
      <c r="G201" s="47" t="s">
        <v>200</v>
      </c>
      <c r="H201" s="47" t="str">
        <f t="shared" si="7"/>
        <v>BUDGAM</v>
      </c>
      <c r="I201" s="47" t="s">
        <v>7169</v>
      </c>
      <c r="J201" s="48">
        <v>46007</v>
      </c>
      <c r="K201" s="47">
        <v>8493000467</v>
      </c>
      <c r="L201" s="47" t="s">
        <v>1517</v>
      </c>
      <c r="M201" s="49"/>
      <c r="N201" s="48"/>
      <c r="O201" s="47" t="s">
        <v>23</v>
      </c>
      <c r="P201" s="50">
        <v>46007</v>
      </c>
      <c r="Q201" s="47" t="s">
        <v>6460</v>
      </c>
      <c r="R201" s="47"/>
    </row>
    <row r="202" spans="1:18" x14ac:dyDescent="0.25">
      <c r="A202" s="47">
        <f t="shared" si="6"/>
        <v>201</v>
      </c>
      <c r="B202" s="47" t="s">
        <v>7144</v>
      </c>
      <c r="C202" s="47" t="s">
        <v>7145</v>
      </c>
      <c r="D202" s="47" t="s">
        <v>7146</v>
      </c>
      <c r="E202" s="47" t="s">
        <v>7147</v>
      </c>
      <c r="F202" s="47" t="s">
        <v>119</v>
      </c>
      <c r="G202" s="47" t="s">
        <v>175</v>
      </c>
      <c r="H202" s="47" t="str">
        <f t="shared" si="7"/>
        <v>BARAMULLA</v>
      </c>
      <c r="I202" s="47" t="s">
        <v>7172</v>
      </c>
      <c r="J202" s="48">
        <v>46007</v>
      </c>
      <c r="K202" s="47">
        <v>7889821425</v>
      </c>
      <c r="L202" s="47" t="s">
        <v>6832</v>
      </c>
      <c r="M202" s="49" t="s">
        <v>6890</v>
      </c>
      <c r="N202" s="48">
        <v>46008</v>
      </c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6"/>
        <v>202</v>
      </c>
      <c r="B203" s="47" t="s">
        <v>7181</v>
      </c>
      <c r="C203" s="47" t="s">
        <v>7182</v>
      </c>
      <c r="D203" s="47" t="s">
        <v>7183</v>
      </c>
      <c r="E203" s="47" t="s">
        <v>7184</v>
      </c>
      <c r="F203" s="47" t="s">
        <v>31</v>
      </c>
      <c r="G203" s="47" t="s">
        <v>199</v>
      </c>
      <c r="H203" s="47" t="str">
        <f t="shared" si="7"/>
        <v>POONCH</v>
      </c>
      <c r="I203" s="47" t="s">
        <v>7185</v>
      </c>
      <c r="J203" s="48">
        <v>46007</v>
      </c>
      <c r="K203" s="47">
        <v>6005890836</v>
      </c>
      <c r="L203" s="47" t="s">
        <v>7195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6"/>
        <v>203</v>
      </c>
      <c r="B204" s="47" t="s">
        <v>7159</v>
      </c>
      <c r="C204" s="47" t="s">
        <v>7156</v>
      </c>
      <c r="D204" s="47" t="s">
        <v>7157</v>
      </c>
      <c r="E204" s="47" t="s">
        <v>7158</v>
      </c>
      <c r="F204" s="47" t="s">
        <v>119</v>
      </c>
      <c r="G204" s="47" t="s">
        <v>175</v>
      </c>
      <c r="H204" s="47" t="str">
        <f t="shared" si="7"/>
        <v>PULWAMA</v>
      </c>
      <c r="I204" s="47" t="s">
        <v>7170</v>
      </c>
      <c r="J204" s="48">
        <v>46007</v>
      </c>
      <c r="K204" s="47">
        <v>7889354231</v>
      </c>
      <c r="L204" s="47" t="s">
        <v>6521</v>
      </c>
      <c r="M204" s="49" t="s">
        <v>7672</v>
      </c>
      <c r="N204" s="48">
        <v>46021</v>
      </c>
      <c r="O204" s="47"/>
      <c r="P204" s="50"/>
      <c r="Q204" s="47"/>
      <c r="R204" s="47" t="s">
        <v>7194</v>
      </c>
    </row>
    <row r="205" spans="1:18" x14ac:dyDescent="0.25">
      <c r="A205" s="47">
        <f t="shared" si="6"/>
        <v>204</v>
      </c>
      <c r="B205" s="47" t="s">
        <v>7153</v>
      </c>
      <c r="C205" s="47" t="s">
        <v>7154</v>
      </c>
      <c r="D205" s="47" t="s">
        <v>7155</v>
      </c>
      <c r="E205" s="47" t="s">
        <v>3493</v>
      </c>
      <c r="F205" s="47" t="s">
        <v>119</v>
      </c>
      <c r="G205" s="47" t="s">
        <v>174</v>
      </c>
      <c r="H205" s="47" t="str">
        <f t="shared" si="7"/>
        <v>PULWAMA</v>
      </c>
      <c r="I205" s="47" t="s">
        <v>7171</v>
      </c>
      <c r="J205" s="48">
        <v>46007</v>
      </c>
      <c r="K205" s="47">
        <v>8492997838</v>
      </c>
      <c r="L205" s="47" t="s">
        <v>6451</v>
      </c>
      <c r="M205" s="49"/>
      <c r="N205" s="48"/>
      <c r="O205" s="47"/>
      <c r="P205" s="50"/>
      <c r="Q205" s="47"/>
      <c r="R205" s="47" t="s">
        <v>7176</v>
      </c>
    </row>
    <row r="206" spans="1:18" x14ac:dyDescent="0.25">
      <c r="A206" s="47">
        <f t="shared" si="6"/>
        <v>205</v>
      </c>
      <c r="B206" s="47" t="s">
        <v>7221</v>
      </c>
      <c r="C206" s="47" t="s">
        <v>7222</v>
      </c>
      <c r="D206" s="47" t="s">
        <v>7223</v>
      </c>
      <c r="E206" s="47" t="s">
        <v>7224</v>
      </c>
      <c r="F206" s="47" t="s">
        <v>31</v>
      </c>
      <c r="G206" s="47" t="s">
        <v>200</v>
      </c>
      <c r="H206" s="47" t="str">
        <f t="shared" si="7"/>
        <v>SRINAGAR</v>
      </c>
      <c r="I206" s="47" t="s">
        <v>7232</v>
      </c>
      <c r="J206" s="48">
        <v>46008</v>
      </c>
      <c r="K206" s="47">
        <v>9419084883</v>
      </c>
      <c r="L206" s="47" t="s">
        <v>43</v>
      </c>
      <c r="M206" s="49" t="s">
        <v>7152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6"/>
        <v>206</v>
      </c>
      <c r="B207" s="47" t="s">
        <v>7225</v>
      </c>
      <c r="C207" s="47" t="s">
        <v>7226</v>
      </c>
      <c r="D207" s="47" t="s">
        <v>7227</v>
      </c>
      <c r="E207" s="47" t="s">
        <v>7228</v>
      </c>
      <c r="F207" s="47" t="s">
        <v>102</v>
      </c>
      <c r="G207" s="47" t="s">
        <v>181</v>
      </c>
      <c r="H207" s="47" t="str">
        <f t="shared" si="7"/>
        <v>SRINAGAR</v>
      </c>
      <c r="I207" s="47" t="s">
        <v>7233</v>
      </c>
      <c r="J207" s="48">
        <v>46008</v>
      </c>
      <c r="K207" s="47">
        <v>8825002572</v>
      </c>
      <c r="L207" s="47" t="s">
        <v>70</v>
      </c>
      <c r="M207" s="49" t="s">
        <v>7113</v>
      </c>
      <c r="N207" s="48">
        <v>46010</v>
      </c>
      <c r="O207" s="47" t="s">
        <v>23</v>
      </c>
      <c r="P207" s="50">
        <v>46010</v>
      </c>
      <c r="Q207" s="47" t="s">
        <v>6460</v>
      </c>
      <c r="R207" s="47"/>
    </row>
    <row r="208" spans="1:18" x14ac:dyDescent="0.25">
      <c r="A208" s="47">
        <f t="shared" si="6"/>
        <v>207</v>
      </c>
      <c r="B208" s="47" t="s">
        <v>7212</v>
      </c>
      <c r="C208" s="47" t="s">
        <v>7210</v>
      </c>
      <c r="D208" s="47" t="s">
        <v>7211</v>
      </c>
      <c r="E208" s="47" t="s">
        <v>5115</v>
      </c>
      <c r="F208" s="47" t="s">
        <v>119</v>
      </c>
      <c r="G208" s="47" t="s">
        <v>221</v>
      </c>
      <c r="H208" s="47" t="str">
        <f t="shared" si="7"/>
        <v>SRINAGAR</v>
      </c>
      <c r="I208" s="47" t="s">
        <v>7234</v>
      </c>
      <c r="J208" s="48">
        <v>46008</v>
      </c>
      <c r="K208" s="47">
        <v>9797187246</v>
      </c>
      <c r="L208" s="47" t="s">
        <v>194</v>
      </c>
      <c r="M208" s="49"/>
      <c r="N208" s="48"/>
      <c r="O208" s="47" t="s">
        <v>23</v>
      </c>
      <c r="P208" s="50">
        <v>46009</v>
      </c>
      <c r="Q208" s="47" t="s">
        <v>6460</v>
      </c>
      <c r="R208" s="47"/>
    </row>
    <row r="209" spans="1:18" x14ac:dyDescent="0.25">
      <c r="A209" s="47">
        <f t="shared" si="6"/>
        <v>208</v>
      </c>
      <c r="B209" s="47" t="s">
        <v>7199</v>
      </c>
      <c r="C209" s="47" t="s">
        <v>7196</v>
      </c>
      <c r="D209" s="47" t="s">
        <v>7197</v>
      </c>
      <c r="E209" s="47" t="s">
        <v>7198</v>
      </c>
      <c r="F209" s="47" t="s">
        <v>3130</v>
      </c>
      <c r="G209" s="47" t="s">
        <v>6475</v>
      </c>
      <c r="H209" s="47" t="str">
        <f t="shared" si="7"/>
        <v>SRINAGAR</v>
      </c>
      <c r="I209" s="47" t="s">
        <v>7230</v>
      </c>
      <c r="J209" s="48">
        <v>46008</v>
      </c>
      <c r="K209" s="47">
        <v>9906946331</v>
      </c>
      <c r="L209" s="47" t="s">
        <v>2248</v>
      </c>
      <c r="M209" s="49" t="s">
        <v>7270</v>
      </c>
      <c r="N209" s="48">
        <v>46009</v>
      </c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6"/>
        <v>209</v>
      </c>
      <c r="B210" s="47" t="s">
        <v>7216</v>
      </c>
      <c r="C210" s="47" t="s">
        <v>7214</v>
      </c>
      <c r="D210" s="47" t="s">
        <v>7213</v>
      </c>
      <c r="E210" s="47" t="s">
        <v>3440</v>
      </c>
      <c r="F210" s="47" t="s">
        <v>119</v>
      </c>
      <c r="G210" s="47" t="s">
        <v>200</v>
      </c>
      <c r="H210" s="47" t="str">
        <f t="shared" si="7"/>
        <v>SRINAGAR</v>
      </c>
      <c r="I210" s="47" t="s">
        <v>7231</v>
      </c>
      <c r="J210" s="48">
        <v>46008</v>
      </c>
      <c r="K210" s="47">
        <v>9419273796</v>
      </c>
      <c r="L210" s="47" t="s">
        <v>7215</v>
      </c>
      <c r="M210" s="49" t="s">
        <v>7453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6"/>
        <v>210</v>
      </c>
      <c r="B211" s="47" t="s">
        <v>7220</v>
      </c>
      <c r="C211" s="47" t="s">
        <v>7217</v>
      </c>
      <c r="D211" s="47" t="s">
        <v>7218</v>
      </c>
      <c r="E211" s="47" t="s">
        <v>7219</v>
      </c>
      <c r="F211" s="47" t="s">
        <v>1224</v>
      </c>
      <c r="G211" s="47" t="s">
        <v>200</v>
      </c>
      <c r="H211" s="47" t="str">
        <f t="shared" si="7"/>
        <v>SRINAGAR</v>
      </c>
      <c r="I211" s="47" t="s">
        <v>7229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6"/>
        <v>211</v>
      </c>
      <c r="B212" s="47" t="s">
        <v>7207</v>
      </c>
      <c r="C212" s="47" t="s">
        <v>7200</v>
      </c>
      <c r="D212" s="47" t="s">
        <v>7201</v>
      </c>
      <c r="E212" s="47" t="s">
        <v>7202</v>
      </c>
      <c r="F212" s="47" t="s">
        <v>119</v>
      </c>
      <c r="G212" s="47" t="s">
        <v>174</v>
      </c>
      <c r="H212" s="47" t="str">
        <f t="shared" si="7"/>
        <v>BUDGAM</v>
      </c>
      <c r="I212" s="47" t="s">
        <v>7208</v>
      </c>
      <c r="J212" s="48">
        <v>46008</v>
      </c>
      <c r="K212" s="47">
        <v>6005634614</v>
      </c>
      <c r="L212" s="47" t="s">
        <v>2172</v>
      </c>
      <c r="M212" s="49"/>
      <c r="N212" s="48"/>
      <c r="O212" s="47" t="s">
        <v>23</v>
      </c>
      <c r="P212" s="50">
        <v>46008</v>
      </c>
      <c r="Q212" s="47" t="s">
        <v>6460</v>
      </c>
      <c r="R212" s="47"/>
    </row>
    <row r="213" spans="1:18" x14ac:dyDescent="0.25">
      <c r="A213" s="47">
        <f t="shared" si="6"/>
        <v>212</v>
      </c>
      <c r="B213" s="47" t="s">
        <v>7206</v>
      </c>
      <c r="C213" s="47" t="s">
        <v>7204</v>
      </c>
      <c r="D213" s="47" t="s">
        <v>7205</v>
      </c>
      <c r="E213" s="47" t="s">
        <v>7203</v>
      </c>
      <c r="F213" s="47" t="s">
        <v>3130</v>
      </c>
      <c r="G213" s="47" t="s">
        <v>6475</v>
      </c>
      <c r="H213" s="47" t="str">
        <f t="shared" si="7"/>
        <v>BUDGAM</v>
      </c>
      <c r="I213" s="47" t="s">
        <v>7209</v>
      </c>
      <c r="J213" s="48">
        <v>46008</v>
      </c>
      <c r="K213" s="47">
        <v>7006565352</v>
      </c>
      <c r="L213" s="47" t="s">
        <v>70</v>
      </c>
      <c r="M213" s="49" t="s">
        <v>6850</v>
      </c>
      <c r="N213" s="48">
        <v>46009</v>
      </c>
      <c r="O213" s="47" t="s">
        <v>23</v>
      </c>
      <c r="P213" s="50">
        <v>46008</v>
      </c>
      <c r="Q213" s="47" t="s">
        <v>6460</v>
      </c>
      <c r="R213" s="47"/>
    </row>
    <row r="214" spans="1:18" x14ac:dyDescent="0.25">
      <c r="A214" s="47">
        <f t="shared" si="6"/>
        <v>213</v>
      </c>
      <c r="B214" s="47" t="s">
        <v>7247</v>
      </c>
      <c r="C214" s="47" t="s">
        <v>7248</v>
      </c>
      <c r="D214" s="47" t="s">
        <v>7249</v>
      </c>
      <c r="E214" s="47" t="s">
        <v>687</v>
      </c>
      <c r="F214" s="47" t="s">
        <v>119</v>
      </c>
      <c r="G214" s="47" t="s">
        <v>175</v>
      </c>
      <c r="H214" s="47" t="str">
        <f t="shared" si="7"/>
        <v>BARAMULLA</v>
      </c>
      <c r="I214" s="47" t="s">
        <v>7257</v>
      </c>
      <c r="J214" s="48">
        <v>46009</v>
      </c>
      <c r="K214" s="47">
        <v>9906859364</v>
      </c>
      <c r="L214" s="47" t="s">
        <v>7250</v>
      </c>
      <c r="M214" s="49" t="s">
        <v>7305</v>
      </c>
      <c r="N214" s="48">
        <v>46010</v>
      </c>
      <c r="O214" s="47" t="s">
        <v>23</v>
      </c>
      <c r="P214" s="50">
        <v>46009</v>
      </c>
      <c r="Q214" s="47" t="s">
        <v>6460</v>
      </c>
      <c r="R214" s="47"/>
    </row>
    <row r="215" spans="1:18" x14ac:dyDescent="0.25">
      <c r="A215" s="47">
        <f t="shared" si="6"/>
        <v>214</v>
      </c>
      <c r="B215" s="47" t="s">
        <v>7242</v>
      </c>
      <c r="C215" s="47" t="s">
        <v>7239</v>
      </c>
      <c r="D215" s="47" t="s">
        <v>7240</v>
      </c>
      <c r="E215" s="47" t="s">
        <v>7241</v>
      </c>
      <c r="F215" s="47" t="s">
        <v>119</v>
      </c>
      <c r="G215" s="47" t="s">
        <v>200</v>
      </c>
      <c r="H215" s="47" t="str">
        <f t="shared" si="7"/>
        <v>PULWAMA</v>
      </c>
      <c r="I215" s="47" t="s">
        <v>7259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6"/>
        <v>215</v>
      </c>
      <c r="B216" s="47" t="s">
        <v>7235</v>
      </c>
      <c r="C216" s="47" t="s">
        <v>7236</v>
      </c>
      <c r="D216" s="47" t="s">
        <v>7237</v>
      </c>
      <c r="E216" s="47" t="s">
        <v>6772</v>
      </c>
      <c r="F216" s="47" t="s">
        <v>31</v>
      </c>
      <c r="G216" s="47" t="s">
        <v>200</v>
      </c>
      <c r="H216" s="47" t="str">
        <f t="shared" si="7"/>
        <v>PULWAMA</v>
      </c>
      <c r="I216" s="47" t="s">
        <v>7258</v>
      </c>
      <c r="J216" s="48">
        <v>46009</v>
      </c>
      <c r="K216" s="47">
        <v>9906698557</v>
      </c>
      <c r="L216" s="47" t="s">
        <v>7238</v>
      </c>
      <c r="M216" s="49" t="s">
        <v>7672</v>
      </c>
      <c r="N216" s="48">
        <v>46018</v>
      </c>
      <c r="O216" s="47"/>
      <c r="P216" s="50"/>
      <c r="Q216" s="47"/>
      <c r="R216" s="47"/>
    </row>
    <row r="217" spans="1:18" x14ac:dyDescent="0.25">
      <c r="A217" s="47">
        <f t="shared" si="6"/>
        <v>216</v>
      </c>
      <c r="B217" s="47" t="s">
        <v>7265</v>
      </c>
      <c r="C217" s="47" t="s">
        <v>7266</v>
      </c>
      <c r="D217" s="47" t="s">
        <v>7267</v>
      </c>
      <c r="E217" s="47" t="s">
        <v>7268</v>
      </c>
      <c r="F217" s="47" t="s">
        <v>119</v>
      </c>
      <c r="G217" s="47" t="s">
        <v>175</v>
      </c>
      <c r="H217" s="47" t="str">
        <f t="shared" si="7"/>
        <v>SHOPIAN</v>
      </c>
      <c r="I217" s="47" t="s">
        <v>7269</v>
      </c>
      <c r="J217" s="48">
        <v>46009</v>
      </c>
      <c r="K217" s="47">
        <v>9103369022</v>
      </c>
      <c r="L217" s="47" t="s">
        <v>6570</v>
      </c>
      <c r="M217" s="49" t="s">
        <v>7294</v>
      </c>
      <c r="N217" s="48">
        <v>46010</v>
      </c>
      <c r="O217" s="47"/>
      <c r="P217" s="50"/>
      <c r="Q217" s="47"/>
      <c r="R217" s="47"/>
    </row>
    <row r="218" spans="1:18" x14ac:dyDescent="0.25">
      <c r="A218" s="47">
        <f t="shared" si="6"/>
        <v>217</v>
      </c>
      <c r="B218" s="47" t="s">
        <v>7276</v>
      </c>
      <c r="C218" s="47" t="s">
        <v>7273</v>
      </c>
      <c r="D218" s="47" t="s">
        <v>7274</v>
      </c>
      <c r="E218" s="47" t="s">
        <v>7275</v>
      </c>
      <c r="F218" s="47" t="s">
        <v>31</v>
      </c>
      <c r="G218" s="47" t="s">
        <v>200</v>
      </c>
      <c r="H218" s="47" t="str">
        <f t="shared" si="7"/>
        <v>SHOPIAN</v>
      </c>
      <c r="I218" s="47" t="s">
        <v>7277</v>
      </c>
      <c r="J218" s="48">
        <v>46009</v>
      </c>
      <c r="K218" s="47">
        <v>7006865316</v>
      </c>
      <c r="L218" s="47" t="s">
        <v>6521</v>
      </c>
      <c r="M218" s="49" t="s">
        <v>7672</v>
      </c>
      <c r="N218" s="48">
        <v>46021</v>
      </c>
      <c r="O218" s="47"/>
      <c r="P218" s="50"/>
      <c r="Q218" s="47"/>
      <c r="R218" s="47"/>
    </row>
    <row r="219" spans="1:18" x14ac:dyDescent="0.25">
      <c r="A219" s="47">
        <f t="shared" si="6"/>
        <v>218</v>
      </c>
      <c r="B219" s="47" t="s">
        <v>7243</v>
      </c>
      <c r="C219" s="47" t="s">
        <v>7244</v>
      </c>
      <c r="D219" s="47" t="s">
        <v>7245</v>
      </c>
      <c r="E219" s="47" t="s">
        <v>7246</v>
      </c>
      <c r="F219" s="47" t="s">
        <v>31</v>
      </c>
      <c r="G219" s="47" t="s">
        <v>175</v>
      </c>
      <c r="H219" s="47" t="str">
        <f t="shared" si="7"/>
        <v>SHOPIAN</v>
      </c>
      <c r="I219" s="47" t="s">
        <v>7260</v>
      </c>
      <c r="J219" s="48">
        <v>46009</v>
      </c>
      <c r="K219" s="47">
        <v>8484070924</v>
      </c>
      <c r="L219" s="47" t="s">
        <v>6570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6"/>
        <v>219</v>
      </c>
      <c r="B220" s="47" t="s">
        <v>7279</v>
      </c>
      <c r="C220" s="47" t="s">
        <v>7280</v>
      </c>
      <c r="D220" s="47" t="s">
        <v>7281</v>
      </c>
      <c r="E220" s="47" t="s">
        <v>7129</v>
      </c>
      <c r="F220" s="47" t="s">
        <v>6829</v>
      </c>
      <c r="G220" s="47" t="s">
        <v>199</v>
      </c>
      <c r="H220" s="47" t="str">
        <f t="shared" si="7"/>
        <v>SRINAGAR</v>
      </c>
      <c r="I220" s="47" t="s">
        <v>7286</v>
      </c>
      <c r="J220" s="48">
        <v>46010</v>
      </c>
      <c r="K220" s="47">
        <v>7006797277</v>
      </c>
      <c r="L220" s="47" t="s">
        <v>3926</v>
      </c>
      <c r="M220" s="49" t="s">
        <v>7454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6"/>
        <v>220</v>
      </c>
      <c r="B221" s="47" t="s">
        <v>7287</v>
      </c>
      <c r="C221" s="47" t="s">
        <v>7288</v>
      </c>
      <c r="D221" s="47" t="s">
        <v>7289</v>
      </c>
      <c r="E221" s="47" t="s">
        <v>7290</v>
      </c>
      <c r="F221" s="47" t="s">
        <v>6546</v>
      </c>
      <c r="G221" s="47" t="s">
        <v>6475</v>
      </c>
      <c r="H221" s="47" t="str">
        <f t="shared" si="7"/>
        <v>SRINAGAR</v>
      </c>
      <c r="I221" s="47" t="s">
        <v>7292</v>
      </c>
      <c r="J221" s="48">
        <v>46010</v>
      </c>
      <c r="K221" s="47">
        <v>9018112121</v>
      </c>
      <c r="L221" s="47" t="s">
        <v>26</v>
      </c>
      <c r="M221" s="49"/>
      <c r="N221" s="48"/>
      <c r="O221" s="47" t="s">
        <v>23</v>
      </c>
      <c r="P221" s="50">
        <v>46011</v>
      </c>
      <c r="Q221" s="47" t="s">
        <v>6460</v>
      </c>
      <c r="R221" s="47"/>
    </row>
    <row r="222" spans="1:18" x14ac:dyDescent="0.25">
      <c r="A222" s="47">
        <f t="shared" si="6"/>
        <v>221</v>
      </c>
      <c r="B222" s="47" t="s">
        <v>7299</v>
      </c>
      <c r="C222" s="47" t="s">
        <v>7295</v>
      </c>
      <c r="D222" s="47" t="s">
        <v>7296</v>
      </c>
      <c r="E222" s="47" t="s">
        <v>7297</v>
      </c>
      <c r="F222" s="47" t="s">
        <v>31</v>
      </c>
      <c r="G222" s="47" t="s">
        <v>200</v>
      </c>
      <c r="H222" s="47" t="str">
        <f t="shared" si="7"/>
        <v>SRINAGAR</v>
      </c>
      <c r="I222" s="47" t="s">
        <v>7298</v>
      </c>
      <c r="J222" s="48">
        <v>46010</v>
      </c>
      <c r="K222" s="47">
        <v>9797150382</v>
      </c>
      <c r="L222" s="47" t="s">
        <v>48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6"/>
        <v>222</v>
      </c>
      <c r="B223" s="47" t="s">
        <v>7304</v>
      </c>
      <c r="C223" s="47" t="s">
        <v>7301</v>
      </c>
      <c r="D223" s="47" t="s">
        <v>7302</v>
      </c>
      <c r="E223" s="47" t="s">
        <v>7303</v>
      </c>
      <c r="F223" s="47" t="s">
        <v>125</v>
      </c>
      <c r="G223" s="47" t="s">
        <v>200</v>
      </c>
      <c r="H223" s="47" t="str">
        <f t="shared" si="7"/>
        <v>SRINAGAR</v>
      </c>
      <c r="I223" s="47" t="s">
        <v>7300</v>
      </c>
      <c r="J223" s="48">
        <v>46010</v>
      </c>
      <c r="K223" s="47">
        <v>9797271333</v>
      </c>
      <c r="L223" s="47" t="s">
        <v>6451</v>
      </c>
      <c r="M223" s="49" t="s">
        <v>8239</v>
      </c>
      <c r="N223" s="48">
        <v>46032</v>
      </c>
      <c r="O223" s="47"/>
      <c r="P223" s="50"/>
      <c r="Q223" s="47"/>
      <c r="R223" s="47"/>
    </row>
    <row r="224" spans="1:18" x14ac:dyDescent="0.25">
      <c r="A224" s="47">
        <f t="shared" si="6"/>
        <v>223</v>
      </c>
      <c r="B224" s="47" t="s">
        <v>7282</v>
      </c>
      <c r="C224" s="47" t="s">
        <v>7283</v>
      </c>
      <c r="D224" s="47" t="s">
        <v>7284</v>
      </c>
      <c r="E224" s="47" t="s">
        <v>7285</v>
      </c>
      <c r="F224" s="47" t="s">
        <v>67</v>
      </c>
      <c r="G224" s="47" t="s">
        <v>174</v>
      </c>
      <c r="H224" s="47" t="str">
        <f t="shared" si="7"/>
        <v>PULWAMA</v>
      </c>
      <c r="I224" s="47" t="s">
        <v>7291</v>
      </c>
      <c r="J224" s="48">
        <v>46010</v>
      </c>
      <c r="K224" s="47">
        <v>9419032432</v>
      </c>
      <c r="L224" s="47" t="s">
        <v>6521</v>
      </c>
      <c r="M224" s="49" t="s">
        <v>7672</v>
      </c>
      <c r="N224" s="48">
        <v>46021</v>
      </c>
      <c r="O224" s="47"/>
      <c r="P224" s="50"/>
      <c r="Q224" s="47"/>
      <c r="R224" s="47" t="s">
        <v>7293</v>
      </c>
    </row>
    <row r="225" spans="1:18" x14ac:dyDescent="0.25">
      <c r="A225" s="47">
        <f t="shared" si="6"/>
        <v>224</v>
      </c>
      <c r="B225" s="47" t="s">
        <v>7329</v>
      </c>
      <c r="C225" s="47" t="s">
        <v>7325</v>
      </c>
      <c r="D225" s="47" t="s">
        <v>7326</v>
      </c>
      <c r="E225" s="47" t="s">
        <v>7327</v>
      </c>
      <c r="F225" s="47" t="s">
        <v>31</v>
      </c>
      <c r="G225" s="47" t="s">
        <v>174</v>
      </c>
      <c r="H225" s="47" t="str">
        <f t="shared" si="7"/>
        <v>SRINAGAR</v>
      </c>
      <c r="I225" s="47" t="s">
        <v>7328</v>
      </c>
      <c r="J225" s="48">
        <v>46011</v>
      </c>
      <c r="K225" s="47">
        <v>9622755213</v>
      </c>
      <c r="L225" s="47" t="s">
        <v>26</v>
      </c>
      <c r="M225" s="49" t="s">
        <v>7616</v>
      </c>
      <c r="N225" s="48">
        <v>46024</v>
      </c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6"/>
        <v>225</v>
      </c>
      <c r="B226" s="47" t="s">
        <v>7342</v>
      </c>
      <c r="C226" s="47" t="s">
        <v>7343</v>
      </c>
      <c r="D226" s="47" t="s">
        <v>7344</v>
      </c>
      <c r="E226" s="47" t="s">
        <v>7345</v>
      </c>
      <c r="F226" s="47" t="s">
        <v>101</v>
      </c>
      <c r="G226" s="47" t="s">
        <v>200</v>
      </c>
      <c r="H226" s="47" t="str">
        <f t="shared" si="7"/>
        <v>SRINAGAR</v>
      </c>
      <c r="I226" s="47" t="s">
        <v>7347</v>
      </c>
      <c r="J226" s="48">
        <v>46011</v>
      </c>
      <c r="K226" s="47">
        <v>7006565342</v>
      </c>
      <c r="L226" s="47" t="s">
        <v>110</v>
      </c>
      <c r="M226" s="49"/>
      <c r="N226" s="48"/>
      <c r="O226" s="47" t="s">
        <v>23</v>
      </c>
      <c r="P226" s="50">
        <v>46016</v>
      </c>
      <c r="Q226" s="47" t="s">
        <v>6460</v>
      </c>
      <c r="R226" s="47"/>
    </row>
    <row r="227" spans="1:18" x14ac:dyDescent="0.25">
      <c r="A227" s="47">
        <f t="shared" si="6"/>
        <v>226</v>
      </c>
      <c r="B227" s="47" t="s">
        <v>7306</v>
      </c>
      <c r="C227" s="47" t="s">
        <v>7307</v>
      </c>
      <c r="D227" s="47" t="s">
        <v>7308</v>
      </c>
      <c r="E227" s="47" t="s">
        <v>7309</v>
      </c>
      <c r="F227" s="47" t="s">
        <v>1264</v>
      </c>
      <c r="G227" s="47" t="s">
        <v>174</v>
      </c>
      <c r="H227" s="47" t="str">
        <f t="shared" si="7"/>
        <v>BUDGAM</v>
      </c>
      <c r="I227" s="47" t="s">
        <v>7321</v>
      </c>
      <c r="J227" s="48">
        <v>46011</v>
      </c>
      <c r="K227" s="47">
        <v>9797913220</v>
      </c>
      <c r="L227" s="47" t="s">
        <v>26</v>
      </c>
      <c r="M227" s="49" t="s">
        <v>7616</v>
      </c>
      <c r="N227" s="48">
        <v>46023</v>
      </c>
      <c r="O227" s="47" t="s">
        <v>23</v>
      </c>
      <c r="P227" s="50">
        <v>46011</v>
      </c>
      <c r="Q227" s="47" t="s">
        <v>6460</v>
      </c>
      <c r="R227" s="47"/>
    </row>
    <row r="228" spans="1:18" x14ac:dyDescent="0.25">
      <c r="A228" s="47">
        <f t="shared" si="6"/>
        <v>227</v>
      </c>
      <c r="B228" s="47" t="s">
        <v>7338</v>
      </c>
      <c r="C228" s="47" t="s">
        <v>7339</v>
      </c>
      <c r="D228" s="47" t="s">
        <v>7340</v>
      </c>
      <c r="E228" s="47" t="s">
        <v>7341</v>
      </c>
      <c r="F228" s="47" t="s">
        <v>31</v>
      </c>
      <c r="G228" s="47" t="s">
        <v>174</v>
      </c>
      <c r="H228" s="47" t="str">
        <f t="shared" si="7"/>
        <v>BARAMULLA</v>
      </c>
      <c r="I228" s="47" t="s">
        <v>7346</v>
      </c>
      <c r="J228" s="48">
        <v>46011</v>
      </c>
      <c r="K228" s="47">
        <v>7889605207</v>
      </c>
      <c r="L228" s="47" t="s">
        <v>110</v>
      </c>
      <c r="M228" s="49"/>
      <c r="N228" s="48"/>
      <c r="O228" s="47" t="s">
        <v>23</v>
      </c>
      <c r="P228" s="50">
        <v>46016</v>
      </c>
      <c r="Q228" s="47" t="s">
        <v>6460</v>
      </c>
      <c r="R228" s="47"/>
    </row>
    <row r="229" spans="1:18" x14ac:dyDescent="0.25">
      <c r="A229" s="47">
        <f t="shared" si="6"/>
        <v>228</v>
      </c>
      <c r="B229" s="47" t="s">
        <v>7313</v>
      </c>
      <c r="C229" s="47" t="s">
        <v>7310</v>
      </c>
      <c r="D229" s="47" t="s">
        <v>7311</v>
      </c>
      <c r="E229" s="47" t="s">
        <v>7312</v>
      </c>
      <c r="F229" s="47" t="s">
        <v>238</v>
      </c>
      <c r="G229" s="47" t="s">
        <v>200</v>
      </c>
      <c r="H229" s="47" t="str">
        <f t="shared" si="7"/>
        <v>PULWAMA</v>
      </c>
      <c r="I229" s="47" t="s">
        <v>7320</v>
      </c>
      <c r="J229" s="48">
        <v>46011</v>
      </c>
      <c r="K229" s="47">
        <v>7006878734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6"/>
        <v>229</v>
      </c>
      <c r="B230" s="47" t="s">
        <v>7322</v>
      </c>
      <c r="C230" s="47" t="s">
        <v>7323</v>
      </c>
      <c r="D230" s="47" t="s">
        <v>7324</v>
      </c>
      <c r="E230" s="47" t="s">
        <v>7330</v>
      </c>
      <c r="F230" s="47" t="s">
        <v>193</v>
      </c>
      <c r="G230" s="47" t="s">
        <v>200</v>
      </c>
      <c r="H230" s="47" t="str">
        <f t="shared" si="7"/>
        <v>NEW</v>
      </c>
      <c r="I230" s="47" t="s">
        <v>7331</v>
      </c>
      <c r="J230" s="48">
        <v>46011</v>
      </c>
      <c r="K230" s="47">
        <v>9596209114</v>
      </c>
      <c r="L230" s="47" t="s">
        <v>2172</v>
      </c>
      <c r="M230" s="49" t="s">
        <v>7617</v>
      </c>
      <c r="N230" s="48">
        <v>46017</v>
      </c>
      <c r="O230" s="47" t="s">
        <v>23</v>
      </c>
      <c r="P230" s="50">
        <v>46011</v>
      </c>
      <c r="Q230" s="47" t="s">
        <v>6460</v>
      </c>
      <c r="R230" s="47"/>
    </row>
    <row r="231" spans="1:18" x14ac:dyDescent="0.25">
      <c r="A231" s="47">
        <f t="shared" si="6"/>
        <v>230</v>
      </c>
      <c r="B231" s="47" t="s">
        <v>7314</v>
      </c>
      <c r="C231" s="47" t="s">
        <v>7315</v>
      </c>
      <c r="D231" s="47" t="s">
        <v>7316</v>
      </c>
      <c r="E231" s="47" t="s">
        <v>7317</v>
      </c>
      <c r="F231" s="47" t="s">
        <v>119</v>
      </c>
      <c r="G231" s="47" t="s">
        <v>221</v>
      </c>
      <c r="H231" s="47" t="str">
        <f t="shared" si="7"/>
        <v>SHOPIAN</v>
      </c>
      <c r="I231" s="47" t="s">
        <v>7319</v>
      </c>
      <c r="J231" s="48">
        <v>46011</v>
      </c>
      <c r="K231" s="47">
        <v>6006713170</v>
      </c>
      <c r="L231" s="47" t="s">
        <v>6570</v>
      </c>
      <c r="M231" s="49"/>
      <c r="N231" s="48"/>
      <c r="O231" s="47"/>
      <c r="P231" s="50"/>
      <c r="Q231" s="47"/>
      <c r="R231" s="47" t="s">
        <v>7385</v>
      </c>
    </row>
    <row r="232" spans="1:18" x14ac:dyDescent="0.25">
      <c r="A232" s="47">
        <f t="shared" si="6"/>
        <v>231</v>
      </c>
      <c r="B232" s="47" t="s">
        <v>7357</v>
      </c>
      <c r="C232" s="47" t="s">
        <v>7354</v>
      </c>
      <c r="D232" s="47" t="s">
        <v>7355</v>
      </c>
      <c r="E232" s="47" t="s">
        <v>7356</v>
      </c>
      <c r="F232" s="47" t="s">
        <v>6546</v>
      </c>
      <c r="G232" s="47" t="s">
        <v>6475</v>
      </c>
      <c r="H232" s="47" t="str">
        <f t="shared" si="7"/>
        <v>SRINAGAR</v>
      </c>
      <c r="I232" s="47" t="s">
        <v>7375</v>
      </c>
      <c r="J232" s="48">
        <v>46012</v>
      </c>
      <c r="K232" s="47">
        <v>8491929306</v>
      </c>
      <c r="L232" s="47" t="s">
        <v>166</v>
      </c>
      <c r="M232" s="49"/>
      <c r="N232" s="48"/>
      <c r="O232" s="47" t="s">
        <v>23</v>
      </c>
      <c r="P232" s="50">
        <v>46014</v>
      </c>
      <c r="Q232" s="47" t="s">
        <v>6460</v>
      </c>
      <c r="R232" s="47"/>
    </row>
    <row r="233" spans="1:18" x14ac:dyDescent="0.25">
      <c r="A233" s="47">
        <f t="shared" si="6"/>
        <v>232</v>
      </c>
      <c r="B233" s="47" t="s">
        <v>7362</v>
      </c>
      <c r="C233" s="47" t="s">
        <v>7363</v>
      </c>
      <c r="D233" s="47" t="s">
        <v>7364</v>
      </c>
      <c r="E233" s="47" t="s">
        <v>7365</v>
      </c>
      <c r="F233" s="47" t="s">
        <v>7366</v>
      </c>
      <c r="G233" s="47" t="s">
        <v>199</v>
      </c>
      <c r="H233" s="47" t="str">
        <f t="shared" si="7"/>
        <v>SRINAGAR</v>
      </c>
      <c r="I233" s="47" t="s">
        <v>7376</v>
      </c>
      <c r="J233" s="48">
        <v>46012</v>
      </c>
      <c r="K233" s="47">
        <v>7780927793</v>
      </c>
      <c r="L233" s="47" t="s">
        <v>551</v>
      </c>
      <c r="M233" s="49" t="s">
        <v>7455</v>
      </c>
      <c r="N233" s="48">
        <v>46015</v>
      </c>
      <c r="O233" s="47" t="s">
        <v>23</v>
      </c>
      <c r="P233" s="50">
        <v>46013</v>
      </c>
      <c r="Q233" s="47" t="s">
        <v>6460</v>
      </c>
      <c r="R233" s="47"/>
    </row>
    <row r="234" spans="1:18" x14ac:dyDescent="0.25">
      <c r="A234" s="47">
        <f t="shared" si="6"/>
        <v>233</v>
      </c>
      <c r="B234" s="47" t="s">
        <v>7350</v>
      </c>
      <c r="C234" s="47" t="s">
        <v>7351</v>
      </c>
      <c r="D234" s="47" t="s">
        <v>7352</v>
      </c>
      <c r="E234" s="47" t="s">
        <v>7353</v>
      </c>
      <c r="F234" s="47" t="s">
        <v>119</v>
      </c>
      <c r="G234" s="47" t="s">
        <v>200</v>
      </c>
      <c r="H234" s="47" t="str">
        <f t="shared" si="7"/>
        <v>KUPWARA</v>
      </c>
      <c r="I234" s="47" t="s">
        <v>7374</v>
      </c>
      <c r="J234" s="48">
        <v>46012</v>
      </c>
      <c r="K234" s="47">
        <v>7006028890</v>
      </c>
      <c r="L234" s="47" t="s">
        <v>307</v>
      </c>
      <c r="M234" s="49"/>
      <c r="N234" s="48"/>
      <c r="O234" s="47" t="s">
        <v>23</v>
      </c>
      <c r="P234" s="50">
        <v>46013</v>
      </c>
      <c r="Q234" s="47" t="s">
        <v>6460</v>
      </c>
      <c r="R234" s="47"/>
    </row>
    <row r="235" spans="1:18" x14ac:dyDescent="0.25">
      <c r="A235" s="47">
        <f t="shared" si="6"/>
        <v>234</v>
      </c>
      <c r="B235" s="47" t="s">
        <v>7371</v>
      </c>
      <c r="C235" s="47" t="s">
        <v>7372</v>
      </c>
      <c r="D235" s="47" t="s">
        <v>7373</v>
      </c>
      <c r="E235" s="47" t="s">
        <v>5598</v>
      </c>
      <c r="F235" s="47" t="s">
        <v>3130</v>
      </c>
      <c r="G235" s="47" t="s">
        <v>6475</v>
      </c>
      <c r="H235" s="47" t="str">
        <f t="shared" si="7"/>
        <v>PULWAMA</v>
      </c>
      <c r="I235" s="47" t="s">
        <v>7377</v>
      </c>
      <c r="J235" s="48">
        <v>46012</v>
      </c>
      <c r="K235" s="47">
        <v>6006619660</v>
      </c>
      <c r="L235" s="47" t="s">
        <v>6807</v>
      </c>
      <c r="M235" s="49" t="s">
        <v>8223</v>
      </c>
      <c r="N235" s="48">
        <v>46015</v>
      </c>
      <c r="O235" s="47"/>
      <c r="P235" s="50"/>
      <c r="Q235" s="47"/>
      <c r="R235" s="47"/>
    </row>
    <row r="236" spans="1:18" x14ac:dyDescent="0.25">
      <c r="A236" s="47">
        <f t="shared" si="6"/>
        <v>235</v>
      </c>
      <c r="B236" s="47" t="s">
        <v>7367</v>
      </c>
      <c r="C236" s="47" t="s">
        <v>7368</v>
      </c>
      <c r="D236" s="47" t="s">
        <v>7369</v>
      </c>
      <c r="E236" s="47" t="s">
        <v>7370</v>
      </c>
      <c r="F236" s="47" t="s">
        <v>5</v>
      </c>
      <c r="G236" s="47" t="s">
        <v>200</v>
      </c>
      <c r="H236" s="47" t="str">
        <f t="shared" si="7"/>
        <v>PULWAMA</v>
      </c>
      <c r="I236" s="47" t="s">
        <v>7378</v>
      </c>
      <c r="J236" s="48">
        <v>46012</v>
      </c>
      <c r="K236" s="47">
        <v>7780912337</v>
      </c>
      <c r="L236" s="47" t="s">
        <v>6451</v>
      </c>
      <c r="M236" s="49" t="s">
        <v>8239</v>
      </c>
      <c r="N236" s="48">
        <v>46032</v>
      </c>
      <c r="O236" s="47"/>
      <c r="P236" s="50"/>
      <c r="Q236" s="47"/>
      <c r="R236" s="47" t="s">
        <v>7176</v>
      </c>
    </row>
    <row r="237" spans="1:18" x14ac:dyDescent="0.25">
      <c r="A237" s="47">
        <f t="shared" si="6"/>
        <v>236</v>
      </c>
      <c r="B237" s="47" t="s">
        <v>7358</v>
      </c>
      <c r="C237" s="47" t="s">
        <v>7359</v>
      </c>
      <c r="D237" s="47" t="s">
        <v>7360</v>
      </c>
      <c r="E237" s="47" t="s">
        <v>7361</v>
      </c>
      <c r="F237" s="47" t="s">
        <v>238</v>
      </c>
      <c r="G237" s="47" t="s">
        <v>200</v>
      </c>
      <c r="H237" s="47" t="str">
        <f t="shared" si="7"/>
        <v>PULWAMA</v>
      </c>
      <c r="I237" s="47" t="s">
        <v>7379</v>
      </c>
      <c r="J237" s="48">
        <v>46012</v>
      </c>
      <c r="K237" s="47">
        <v>6005579912</v>
      </c>
      <c r="L237" s="47" t="s">
        <v>7238</v>
      </c>
      <c r="M237" s="49"/>
      <c r="N237" s="48"/>
      <c r="O237" s="47" t="s">
        <v>23</v>
      </c>
      <c r="P237" s="50">
        <v>46018</v>
      </c>
      <c r="Q237" s="47" t="s">
        <v>6460</v>
      </c>
      <c r="R237" s="47"/>
    </row>
    <row r="238" spans="1:18" x14ac:dyDescent="0.25">
      <c r="A238" s="47">
        <f t="shared" si="6"/>
        <v>237</v>
      </c>
      <c r="B238" s="47" t="s">
        <v>7383</v>
      </c>
      <c r="C238" s="47" t="s">
        <v>7380</v>
      </c>
      <c r="D238" s="47" t="s">
        <v>7381</v>
      </c>
      <c r="E238" s="47" t="s">
        <v>7382</v>
      </c>
      <c r="F238" s="47" t="s">
        <v>12</v>
      </c>
      <c r="G238" s="47" t="s">
        <v>181</v>
      </c>
      <c r="H238" s="47" t="str">
        <f t="shared" si="7"/>
        <v>PULWAMA</v>
      </c>
      <c r="I238" s="47" t="s">
        <v>7384</v>
      </c>
      <c r="J238" s="48">
        <v>46012</v>
      </c>
      <c r="K238" s="47">
        <v>9622838656</v>
      </c>
      <c r="L238" s="47" t="s">
        <v>6451</v>
      </c>
      <c r="M238" s="49" t="s">
        <v>8239</v>
      </c>
      <c r="N238" s="48">
        <v>46053</v>
      </c>
      <c r="O238" s="47"/>
      <c r="P238" s="50"/>
      <c r="Q238" s="47"/>
      <c r="R238" s="47" t="s">
        <v>7176</v>
      </c>
    </row>
    <row r="239" spans="1:18" x14ac:dyDescent="0.25">
      <c r="A239" s="47">
        <f t="shared" si="6"/>
        <v>238</v>
      </c>
      <c r="B239" s="47" t="s">
        <v>7402</v>
      </c>
      <c r="C239" s="47" t="s">
        <v>7398</v>
      </c>
      <c r="D239" s="47" t="s">
        <v>7399</v>
      </c>
      <c r="E239" s="47" t="s">
        <v>7400</v>
      </c>
      <c r="F239" s="47" t="s">
        <v>7401</v>
      </c>
      <c r="G239" s="47" t="s">
        <v>200</v>
      </c>
      <c r="H239" s="47" t="str">
        <f t="shared" si="7"/>
        <v>SRINAGAR</v>
      </c>
      <c r="I239" s="47" t="s">
        <v>7404</v>
      </c>
      <c r="J239" s="48">
        <v>46013</v>
      </c>
      <c r="K239" s="47">
        <v>9906387311</v>
      </c>
      <c r="L239" s="47" t="s">
        <v>1517</v>
      </c>
      <c r="M239" s="49"/>
      <c r="N239" s="48"/>
      <c r="O239" s="47" t="s">
        <v>23</v>
      </c>
      <c r="P239" s="50">
        <v>46013</v>
      </c>
      <c r="Q239" s="47" t="s">
        <v>6460</v>
      </c>
      <c r="R239" s="47"/>
    </row>
    <row r="240" spans="1:18" x14ac:dyDescent="0.25">
      <c r="A240" s="47">
        <f t="shared" si="6"/>
        <v>239</v>
      </c>
      <c r="B240" s="47" t="s">
        <v>7415</v>
      </c>
      <c r="C240" s="47" t="s">
        <v>7412</v>
      </c>
      <c r="D240" s="47" t="s">
        <v>7413</v>
      </c>
      <c r="E240" s="47" t="s">
        <v>7414</v>
      </c>
      <c r="F240" s="47" t="s">
        <v>101</v>
      </c>
      <c r="G240" s="47" t="s">
        <v>199</v>
      </c>
      <c r="H240" s="47" t="str">
        <f t="shared" si="7"/>
        <v>SRINAGAR</v>
      </c>
      <c r="I240" s="47" t="s">
        <v>7420</v>
      </c>
      <c r="J240" s="48">
        <v>46013</v>
      </c>
      <c r="K240" s="47">
        <v>7780857793</v>
      </c>
      <c r="L240" s="47" t="s">
        <v>110</v>
      </c>
      <c r="M240" s="49"/>
      <c r="N240" s="48"/>
      <c r="O240" s="47" t="s">
        <v>23</v>
      </c>
      <c r="P240" s="50">
        <v>46014</v>
      </c>
      <c r="Q240" s="47" t="s">
        <v>6460</v>
      </c>
      <c r="R240" s="47"/>
    </row>
    <row r="241" spans="1:18" x14ac:dyDescent="0.25">
      <c r="A241" s="47">
        <f t="shared" si="6"/>
        <v>240</v>
      </c>
      <c r="B241" s="47" t="s">
        <v>7405</v>
      </c>
      <c r="C241" s="47" t="s">
        <v>7406</v>
      </c>
      <c r="D241" s="47" t="s">
        <v>7407</v>
      </c>
      <c r="E241" s="47" t="s">
        <v>357</v>
      </c>
      <c r="F241" s="47" t="s">
        <v>31</v>
      </c>
      <c r="G241" s="47" t="s">
        <v>200</v>
      </c>
      <c r="H241" s="47" t="str">
        <f t="shared" si="7"/>
        <v>SRINAGAR</v>
      </c>
      <c r="I241" s="47" t="s">
        <v>7418</v>
      </c>
      <c r="J241" s="48">
        <v>46013</v>
      </c>
      <c r="K241" s="47">
        <v>7006804594</v>
      </c>
      <c r="L241" s="47" t="s">
        <v>106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6"/>
        <v>241</v>
      </c>
      <c r="B242" s="47" t="s">
        <v>7397</v>
      </c>
      <c r="C242" s="47" t="s">
        <v>7393</v>
      </c>
      <c r="D242" s="47" t="s">
        <v>7394</v>
      </c>
      <c r="E242" s="47" t="s">
        <v>7395</v>
      </c>
      <c r="F242" s="47" t="s">
        <v>12</v>
      </c>
      <c r="G242" s="47" t="s">
        <v>200</v>
      </c>
      <c r="H242" s="47" t="str">
        <f t="shared" si="7"/>
        <v>JAMMU</v>
      </c>
      <c r="I242" s="47" t="s">
        <v>7396</v>
      </c>
      <c r="J242" s="48">
        <v>46013</v>
      </c>
      <c r="K242" s="47">
        <v>7006740143</v>
      </c>
      <c r="L242" s="47" t="s">
        <v>1517</v>
      </c>
      <c r="M242" s="49"/>
      <c r="N242" s="48"/>
      <c r="O242" s="47"/>
      <c r="P242" s="50"/>
      <c r="Q242" s="47"/>
      <c r="R242" s="47"/>
    </row>
    <row r="243" spans="1:18" x14ac:dyDescent="0.25">
      <c r="A243" s="47">
        <f t="shared" si="6"/>
        <v>242</v>
      </c>
      <c r="B243" s="47" t="s">
        <v>7389</v>
      </c>
      <c r="C243" s="47" t="s">
        <v>7390</v>
      </c>
      <c r="D243" s="47" t="s">
        <v>7391</v>
      </c>
      <c r="E243" s="47" t="s">
        <v>7392</v>
      </c>
      <c r="F243" s="47" t="s">
        <v>12</v>
      </c>
      <c r="G243" s="47" t="s">
        <v>181</v>
      </c>
      <c r="H243" s="47" t="str">
        <f t="shared" si="7"/>
        <v>BUDGAM</v>
      </c>
      <c r="I243" s="47" t="s">
        <v>7403</v>
      </c>
      <c r="J243" s="48">
        <v>46013</v>
      </c>
      <c r="K243" s="47">
        <v>9622737390</v>
      </c>
      <c r="L243" s="47" t="s">
        <v>48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6"/>
        <v>243</v>
      </c>
      <c r="B244" s="47" t="s">
        <v>7411</v>
      </c>
      <c r="C244" s="47" t="s">
        <v>7408</v>
      </c>
      <c r="D244" s="47" t="s">
        <v>7409</v>
      </c>
      <c r="E244" s="47" t="s">
        <v>7410</v>
      </c>
      <c r="F244" s="47" t="s">
        <v>12</v>
      </c>
      <c r="G244" s="47" t="s">
        <v>200</v>
      </c>
      <c r="H244" s="47" t="str">
        <f t="shared" si="7"/>
        <v>KUPWARA</v>
      </c>
      <c r="I244" s="47" t="s">
        <v>7419</v>
      </c>
      <c r="J244" s="48">
        <v>46013</v>
      </c>
      <c r="K244" s="47">
        <v>8899080830</v>
      </c>
      <c r="L244" s="47" t="s">
        <v>307</v>
      </c>
      <c r="M244" s="49"/>
      <c r="N244" s="48"/>
      <c r="O244" s="47" t="s">
        <v>23</v>
      </c>
      <c r="P244" s="50">
        <v>46014</v>
      </c>
      <c r="Q244" s="47" t="s">
        <v>6460</v>
      </c>
      <c r="R244" s="47" t="s">
        <v>8649</v>
      </c>
    </row>
    <row r="245" spans="1:18" x14ac:dyDescent="0.25">
      <c r="A245" s="47">
        <f t="shared" si="6"/>
        <v>244</v>
      </c>
      <c r="B245" s="47" t="s">
        <v>7425</v>
      </c>
      <c r="C245" s="47" t="s">
        <v>7426</v>
      </c>
      <c r="D245" s="47" t="s">
        <v>7427</v>
      </c>
      <c r="E245" s="47" t="s">
        <v>7428</v>
      </c>
      <c r="F245" s="47" t="s">
        <v>125</v>
      </c>
      <c r="G245" s="47" t="s">
        <v>174</v>
      </c>
      <c r="H245" s="47" t="str">
        <f t="shared" si="7"/>
        <v>SRINAGAR</v>
      </c>
      <c r="I245" s="47" t="s">
        <v>7442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6"/>
        <v>245</v>
      </c>
      <c r="B246" s="47" t="s">
        <v>7433</v>
      </c>
      <c r="C246" s="47" t="s">
        <v>7434</v>
      </c>
      <c r="D246" s="47" t="s">
        <v>7435</v>
      </c>
      <c r="E246" s="47" t="s">
        <v>7436</v>
      </c>
      <c r="F246" s="47" t="s">
        <v>12</v>
      </c>
      <c r="G246" s="47" t="s">
        <v>226</v>
      </c>
      <c r="H246" s="47" t="str">
        <f t="shared" si="7"/>
        <v>SRINAGAR</v>
      </c>
      <c r="I246" s="47" t="s">
        <v>7440</v>
      </c>
      <c r="J246" s="48">
        <v>46014</v>
      </c>
      <c r="K246" s="47">
        <v>9906998728</v>
      </c>
      <c r="L246" s="47" t="s">
        <v>194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6"/>
        <v>246</v>
      </c>
      <c r="B247" s="47" t="s">
        <v>7432</v>
      </c>
      <c r="C247" s="47" t="s">
        <v>7429</v>
      </c>
      <c r="D247" s="47" t="s">
        <v>7430</v>
      </c>
      <c r="E247" s="47" t="s">
        <v>7431</v>
      </c>
      <c r="F247" s="47" t="s">
        <v>12</v>
      </c>
      <c r="G247" s="47" t="s">
        <v>181</v>
      </c>
      <c r="H247" s="47" t="str">
        <f t="shared" si="7"/>
        <v>BUDGAM</v>
      </c>
      <c r="I247" s="47" t="s">
        <v>7437</v>
      </c>
      <c r="J247" s="48">
        <v>46014</v>
      </c>
      <c r="K247" s="47">
        <v>7889474847</v>
      </c>
      <c r="L247" s="47" t="s">
        <v>106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6"/>
        <v>247</v>
      </c>
      <c r="B248" s="47" t="s">
        <v>7443</v>
      </c>
      <c r="C248" s="47" t="s">
        <v>7444</v>
      </c>
      <c r="D248" s="47" t="s">
        <v>7445</v>
      </c>
      <c r="E248" s="47" t="s">
        <v>7446</v>
      </c>
      <c r="F248" s="47" t="s">
        <v>100</v>
      </c>
      <c r="G248" s="47" t="s">
        <v>174</v>
      </c>
      <c r="H248" s="47" t="str">
        <f t="shared" si="7"/>
        <v>BUDGAM</v>
      </c>
      <c r="I248" s="47" t="s">
        <v>7456</v>
      </c>
      <c r="J248" s="48">
        <v>46014</v>
      </c>
      <c r="K248" s="47">
        <v>7889666298</v>
      </c>
      <c r="L248" s="47" t="s">
        <v>70</v>
      </c>
      <c r="M248" s="49" t="s">
        <v>7954</v>
      </c>
      <c r="N248" s="48">
        <v>46025</v>
      </c>
      <c r="O248" s="47" t="s">
        <v>23</v>
      </c>
      <c r="P248" s="50">
        <v>46029</v>
      </c>
      <c r="Q248" s="47" t="s">
        <v>6460</v>
      </c>
      <c r="R248" s="47"/>
    </row>
    <row r="249" spans="1:18" x14ac:dyDescent="0.25">
      <c r="A249" s="47">
        <f t="shared" si="6"/>
        <v>248</v>
      </c>
      <c r="B249" s="47" t="s">
        <v>7447</v>
      </c>
      <c r="C249" s="47" t="s">
        <v>7448</v>
      </c>
      <c r="D249" s="47" t="s">
        <v>7449</v>
      </c>
      <c r="E249" s="47" t="s">
        <v>7450</v>
      </c>
      <c r="F249" s="47" t="s">
        <v>486</v>
      </c>
      <c r="G249" s="47" t="s">
        <v>221</v>
      </c>
      <c r="H249" s="47" t="str">
        <f t="shared" si="7"/>
        <v>BUDGAM</v>
      </c>
      <c r="I249" s="47" t="s">
        <v>7457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7565</v>
      </c>
      <c r="R249" s="47"/>
    </row>
    <row r="250" spans="1:18" x14ac:dyDescent="0.25">
      <c r="A250" s="47">
        <f t="shared" si="6"/>
        <v>249</v>
      </c>
      <c r="B250" s="47" t="s">
        <v>7483</v>
      </c>
      <c r="C250" s="47" t="s">
        <v>7475</v>
      </c>
      <c r="D250" s="47" t="s">
        <v>7497</v>
      </c>
      <c r="E250" s="47" t="s">
        <v>7467</v>
      </c>
      <c r="F250" s="47" t="s">
        <v>5</v>
      </c>
      <c r="G250" s="47" t="s">
        <v>200</v>
      </c>
      <c r="H250" s="47" t="str">
        <f t="shared" si="7"/>
        <v>SRINAGAR</v>
      </c>
      <c r="I250" s="47" t="s">
        <v>7493</v>
      </c>
      <c r="J250" s="48">
        <v>46015</v>
      </c>
      <c r="K250" s="47">
        <v>9541622336</v>
      </c>
      <c r="L250" s="47" t="s">
        <v>18</v>
      </c>
      <c r="M250" s="49" t="s">
        <v>7614</v>
      </c>
      <c r="N250" s="48">
        <v>46024</v>
      </c>
      <c r="O250" s="47" t="s">
        <v>23</v>
      </c>
      <c r="P250" s="50">
        <v>46016</v>
      </c>
      <c r="Q250" s="47" t="s">
        <v>6460</v>
      </c>
      <c r="R250" s="47"/>
    </row>
    <row r="251" spans="1:18" x14ac:dyDescent="0.25">
      <c r="A251" s="47">
        <f t="shared" si="6"/>
        <v>250</v>
      </c>
      <c r="B251" s="47" t="s">
        <v>7481</v>
      </c>
      <c r="C251" s="47" t="s">
        <v>7473</v>
      </c>
      <c r="D251" s="47" t="s">
        <v>7496</v>
      </c>
      <c r="E251" s="47" t="s">
        <v>7465</v>
      </c>
      <c r="F251" s="47" t="s">
        <v>7485</v>
      </c>
      <c r="G251" s="47" t="s">
        <v>199</v>
      </c>
      <c r="H251" s="47" t="str">
        <f t="shared" si="7"/>
        <v>SRINAGAR</v>
      </c>
      <c r="I251" s="47" t="s">
        <v>7491</v>
      </c>
      <c r="J251" s="48">
        <v>46015</v>
      </c>
      <c r="K251" s="47">
        <v>9149877765</v>
      </c>
      <c r="L251" s="47" t="s">
        <v>6451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6"/>
        <v>251</v>
      </c>
      <c r="B252" s="47" t="s">
        <v>7482</v>
      </c>
      <c r="C252" s="47" t="s">
        <v>7474</v>
      </c>
      <c r="D252" s="47" t="s">
        <v>7494</v>
      </c>
      <c r="E252" s="47" t="s">
        <v>7466</v>
      </c>
      <c r="F252" s="47" t="s">
        <v>849</v>
      </c>
      <c r="G252" s="47" t="s">
        <v>181</v>
      </c>
      <c r="H252" s="47" t="str">
        <f t="shared" si="7"/>
        <v>SRINAGAR</v>
      </c>
      <c r="I252" s="47" t="s">
        <v>7492</v>
      </c>
      <c r="J252" s="48">
        <v>46015</v>
      </c>
      <c r="K252" s="47">
        <v>9205000009</v>
      </c>
      <c r="L252" s="47" t="s">
        <v>18</v>
      </c>
      <c r="M252" s="49" t="s">
        <v>7614</v>
      </c>
      <c r="N252" s="48">
        <v>46017</v>
      </c>
      <c r="O252" s="47" t="s">
        <v>23</v>
      </c>
      <c r="P252" s="50">
        <v>46017</v>
      </c>
      <c r="Q252" s="47" t="s">
        <v>6460</v>
      </c>
      <c r="R252" s="47"/>
    </row>
    <row r="253" spans="1:18" x14ac:dyDescent="0.25">
      <c r="A253" s="47">
        <f t="shared" si="6"/>
        <v>252</v>
      </c>
      <c r="B253" s="47" t="s">
        <v>7479</v>
      </c>
      <c r="C253" s="47" t="s">
        <v>7471</v>
      </c>
      <c r="D253" s="47" t="s">
        <v>7498</v>
      </c>
      <c r="E253" s="47" t="s">
        <v>7463</v>
      </c>
      <c r="F253" s="47" t="s">
        <v>100</v>
      </c>
      <c r="G253" s="47" t="s">
        <v>200</v>
      </c>
      <c r="H253" s="47" t="str">
        <f t="shared" si="7"/>
        <v>BUDGAM</v>
      </c>
      <c r="I253" s="47" t="s">
        <v>7489</v>
      </c>
      <c r="J253" s="48">
        <v>46015</v>
      </c>
      <c r="K253" s="47">
        <v>7889383674</v>
      </c>
      <c r="L253" s="47" t="s">
        <v>48</v>
      </c>
      <c r="M253" s="49" t="s">
        <v>7775</v>
      </c>
      <c r="N253" s="48">
        <v>46022</v>
      </c>
      <c r="O253" s="47" t="s">
        <v>23</v>
      </c>
      <c r="P253" s="50">
        <v>46016</v>
      </c>
      <c r="Q253" s="47" t="s">
        <v>6460</v>
      </c>
      <c r="R253" s="47"/>
    </row>
    <row r="254" spans="1:18" x14ac:dyDescent="0.25">
      <c r="A254" s="47">
        <f t="shared" si="6"/>
        <v>253</v>
      </c>
      <c r="B254" s="47" t="s">
        <v>7443</v>
      </c>
      <c r="C254" s="47" t="s">
        <v>7444</v>
      </c>
      <c r="D254" s="47" t="s">
        <v>7445</v>
      </c>
      <c r="E254" s="47" t="s">
        <v>7446</v>
      </c>
      <c r="F254" s="47" t="s">
        <v>100</v>
      </c>
      <c r="G254" s="44" t="s">
        <v>174</v>
      </c>
      <c r="H254" s="47" t="str">
        <f t="shared" si="7"/>
        <v>BUDGAM</v>
      </c>
      <c r="I254" s="47" t="s">
        <v>7456</v>
      </c>
      <c r="J254" s="48">
        <v>46015</v>
      </c>
      <c r="K254" s="47">
        <v>7889666298</v>
      </c>
      <c r="L254" s="47" t="s">
        <v>70</v>
      </c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6"/>
        <v>254</v>
      </c>
      <c r="B255" s="47" t="s">
        <v>7478</v>
      </c>
      <c r="C255" s="47" t="s">
        <v>7470</v>
      </c>
      <c r="D255" s="47" t="s">
        <v>7520</v>
      </c>
      <c r="E255" s="47" t="s">
        <v>7462</v>
      </c>
      <c r="F255" s="47" t="s">
        <v>125</v>
      </c>
      <c r="G255" s="47" t="s">
        <v>175</v>
      </c>
      <c r="H255" s="47" t="str">
        <f t="shared" si="7"/>
        <v>BUDGAM</v>
      </c>
      <c r="I255" s="47" t="s">
        <v>7488</v>
      </c>
      <c r="J255" s="48">
        <v>46015</v>
      </c>
      <c r="K255" s="47">
        <v>9018754974</v>
      </c>
      <c r="L255" s="47" t="s">
        <v>2172</v>
      </c>
      <c r="M255" s="49"/>
      <c r="N255" s="48"/>
      <c r="O255" s="47" t="s">
        <v>23</v>
      </c>
      <c r="P255" s="50">
        <v>46016</v>
      </c>
      <c r="Q255" s="47" t="s">
        <v>6460</v>
      </c>
      <c r="R255" s="47"/>
    </row>
    <row r="256" spans="1:18" x14ac:dyDescent="0.25">
      <c r="A256" s="47">
        <f t="shared" si="6"/>
        <v>255</v>
      </c>
      <c r="B256" s="47" t="s">
        <v>7477</v>
      </c>
      <c r="C256" s="47" t="s">
        <v>7469</v>
      </c>
      <c r="D256" s="47" t="s">
        <v>7495</v>
      </c>
      <c r="E256" s="47" t="s">
        <v>7461</v>
      </c>
      <c r="F256" s="47" t="s">
        <v>7484</v>
      </c>
      <c r="G256" s="47" t="s">
        <v>199</v>
      </c>
      <c r="H256" s="47" t="str">
        <f t="shared" si="7"/>
        <v>BARAMULLA</v>
      </c>
      <c r="I256" s="47" t="s">
        <v>7487</v>
      </c>
      <c r="J256" s="48">
        <v>46015</v>
      </c>
      <c r="K256" s="47">
        <v>9906539681</v>
      </c>
      <c r="L256" s="47" t="s">
        <v>106</v>
      </c>
      <c r="M256" s="49" t="s">
        <v>8094</v>
      </c>
      <c r="N256" s="48">
        <v>46028</v>
      </c>
      <c r="O256" s="47"/>
      <c r="P256" s="50"/>
      <c r="Q256" s="47"/>
      <c r="R256" s="47"/>
    </row>
    <row r="257" spans="1:18" x14ac:dyDescent="0.25">
      <c r="A257" s="47">
        <f t="shared" si="6"/>
        <v>256</v>
      </c>
      <c r="B257" s="47" t="s">
        <v>7476</v>
      </c>
      <c r="C257" s="47" t="s">
        <v>7468</v>
      </c>
      <c r="D257" s="47" t="s">
        <v>7515</v>
      </c>
      <c r="E257" s="47" t="s">
        <v>7460</v>
      </c>
      <c r="F257" s="47" t="s">
        <v>67</v>
      </c>
      <c r="G257" s="47" t="s">
        <v>200</v>
      </c>
      <c r="H257" s="47" t="str">
        <f t="shared" si="7"/>
        <v>BARAMULLA</v>
      </c>
      <c r="I257" s="47" t="s">
        <v>7486</v>
      </c>
      <c r="J257" s="48">
        <v>46015</v>
      </c>
      <c r="K257" s="47">
        <v>9596022327</v>
      </c>
      <c r="L257" s="47" t="s">
        <v>6683</v>
      </c>
      <c r="M257" s="49" t="s">
        <v>8017</v>
      </c>
      <c r="N257" s="48">
        <v>46025</v>
      </c>
      <c r="O257" s="47"/>
      <c r="P257" s="50"/>
      <c r="Q257" s="47"/>
      <c r="R257" s="47"/>
    </row>
    <row r="258" spans="1:18" x14ac:dyDescent="0.25">
      <c r="A258" s="47">
        <f t="shared" ref="A258:A321" si="8">ROW()-1</f>
        <v>257</v>
      </c>
      <c r="B258" s="47" t="s">
        <v>7480</v>
      </c>
      <c r="C258" s="47" t="s">
        <v>7472</v>
      </c>
      <c r="D258" s="47" t="s">
        <v>7522</v>
      </c>
      <c r="E258" s="47" t="s">
        <v>7464</v>
      </c>
      <c r="F258" s="47" t="s">
        <v>67</v>
      </c>
      <c r="G258" s="47" t="s">
        <v>199</v>
      </c>
      <c r="H258" s="47" t="str">
        <f t="shared" ref="H258:H321" si="9">IF(LEFT(I258,4)="JK13","PULWAMA",IF(LEFT(I258,4)="JK01","SRINAGAR",IF(LEFT(I258,4)="JK04","BUDGAM",IF(LEFT(I258,4)="JK03","ANANTNAG",IF(LEFT(I258,4)="JK05","BARAMULLA",IF(LEFT(I258,4)="26BH","BHARAT",IF(LEFT(I258,4)="25BH","BHARAT",IF(LEFT(I258,4)="JK12","POONCH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</f>
        <v>SHOPIAN</v>
      </c>
      <c r="I258" s="47" t="s">
        <v>7490</v>
      </c>
      <c r="J258" s="48">
        <v>46015</v>
      </c>
      <c r="K258" s="47">
        <v>6006293557</v>
      </c>
      <c r="L258" s="47" t="s">
        <v>6570</v>
      </c>
      <c r="M258" s="49"/>
      <c r="N258" s="48"/>
      <c r="O258" s="47"/>
      <c r="P258" s="50"/>
      <c r="Q258" s="47"/>
      <c r="R258" s="47"/>
    </row>
    <row r="259" spans="1:18" x14ac:dyDescent="0.25">
      <c r="A259" s="47">
        <f t="shared" si="8"/>
        <v>258</v>
      </c>
      <c r="B259" s="47" t="s">
        <v>7556</v>
      </c>
      <c r="C259" s="47" t="s">
        <v>7557</v>
      </c>
      <c r="D259" s="47" t="s">
        <v>7558</v>
      </c>
      <c r="E259" s="47" t="s">
        <v>7559</v>
      </c>
      <c r="F259" s="47" t="s">
        <v>5</v>
      </c>
      <c r="G259" s="47" t="s">
        <v>200</v>
      </c>
      <c r="H259" s="47" t="str">
        <f t="shared" si="9"/>
        <v>TEMP</v>
      </c>
      <c r="I259" s="47" t="s">
        <v>7560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8"/>
        <v>259</v>
      </c>
      <c r="B260" s="47" t="s">
        <v>7527</v>
      </c>
      <c r="C260" s="47" t="s">
        <v>7523</v>
      </c>
      <c r="D260" s="47" t="s">
        <v>7524</v>
      </c>
      <c r="E260" s="47" t="s">
        <v>7525</v>
      </c>
      <c r="F260" s="47" t="s">
        <v>67</v>
      </c>
      <c r="G260" s="47" t="s">
        <v>199</v>
      </c>
      <c r="H260" s="47" t="str">
        <f t="shared" si="9"/>
        <v>SRINAGAR</v>
      </c>
      <c r="I260" s="47" t="s">
        <v>7526</v>
      </c>
      <c r="J260" s="48">
        <v>46016</v>
      </c>
      <c r="K260" s="47">
        <v>9906536032</v>
      </c>
      <c r="L260" s="47" t="s">
        <v>61</v>
      </c>
      <c r="M260" s="49"/>
      <c r="N260" s="48"/>
      <c r="O260" s="47"/>
      <c r="P260" s="50"/>
      <c r="Q260" s="47"/>
      <c r="R260" s="47"/>
    </row>
    <row r="261" spans="1:18" x14ac:dyDescent="0.25">
      <c r="A261" s="47">
        <f t="shared" si="8"/>
        <v>260</v>
      </c>
      <c r="B261" s="47" t="s">
        <v>7499</v>
      </c>
      <c r="C261" s="47" t="s">
        <v>7500</v>
      </c>
      <c r="D261" s="47" t="s">
        <v>7501</v>
      </c>
      <c r="E261" s="47" t="s">
        <v>7502</v>
      </c>
      <c r="F261" s="47" t="s">
        <v>119</v>
      </c>
      <c r="G261" s="47" t="s">
        <v>174</v>
      </c>
      <c r="H261" s="47" t="str">
        <f t="shared" si="9"/>
        <v>BUDGAM</v>
      </c>
      <c r="I261" s="47" t="s">
        <v>7516</v>
      </c>
      <c r="J261" s="48">
        <v>46016</v>
      </c>
      <c r="K261" s="47">
        <v>6005068829</v>
      </c>
      <c r="L261" s="47" t="s">
        <v>194</v>
      </c>
      <c r="M261" s="49" t="s">
        <v>7595</v>
      </c>
      <c r="N261" s="48">
        <v>46017</v>
      </c>
      <c r="O261" s="47" t="s">
        <v>23</v>
      </c>
      <c r="P261" s="50">
        <v>46016</v>
      </c>
      <c r="Q261" s="47" t="s">
        <v>6460</v>
      </c>
      <c r="R261" s="47"/>
    </row>
    <row r="262" spans="1:18" x14ac:dyDescent="0.25">
      <c r="A262" s="47">
        <f t="shared" si="8"/>
        <v>261</v>
      </c>
      <c r="B262" s="47" t="s">
        <v>7503</v>
      </c>
      <c r="C262" s="47" t="s">
        <v>7504</v>
      </c>
      <c r="D262" s="47" t="s">
        <v>7505</v>
      </c>
      <c r="E262" s="47" t="s">
        <v>7506</v>
      </c>
      <c r="F262" s="47" t="s">
        <v>5</v>
      </c>
      <c r="G262" s="47" t="s">
        <v>200</v>
      </c>
      <c r="H262" s="47" t="str">
        <f t="shared" si="9"/>
        <v>BUDGAM</v>
      </c>
      <c r="I262" s="47" t="s">
        <v>7517</v>
      </c>
      <c r="J262" s="48">
        <v>46016</v>
      </c>
      <c r="K262" s="47">
        <v>9858727429</v>
      </c>
      <c r="L262" s="47" t="s">
        <v>176</v>
      </c>
      <c r="M262" s="49"/>
      <c r="N262" s="48"/>
      <c r="O262" s="47" t="s">
        <v>23</v>
      </c>
      <c r="P262" s="50">
        <v>46018</v>
      </c>
      <c r="Q262" s="47" t="s">
        <v>6460</v>
      </c>
      <c r="R262" s="47"/>
    </row>
    <row r="263" spans="1:18" x14ac:dyDescent="0.25">
      <c r="A263" s="47">
        <f t="shared" si="8"/>
        <v>262</v>
      </c>
      <c r="B263" s="47" t="s">
        <v>7532</v>
      </c>
      <c r="C263" s="47" t="s">
        <v>7533</v>
      </c>
      <c r="D263" s="47" t="s">
        <v>7534</v>
      </c>
      <c r="E263" s="47" t="s">
        <v>6433</v>
      </c>
      <c r="F263" s="47" t="s">
        <v>31</v>
      </c>
      <c r="G263" s="47" t="s">
        <v>175</v>
      </c>
      <c r="H263" s="47" t="str">
        <f t="shared" si="9"/>
        <v>BUDGAM</v>
      </c>
      <c r="I263" s="47" t="s">
        <v>7554</v>
      </c>
      <c r="J263" s="48">
        <v>46016</v>
      </c>
      <c r="K263" s="47">
        <v>9858321757</v>
      </c>
      <c r="L263" s="47" t="s">
        <v>43</v>
      </c>
      <c r="M263" s="49" t="s">
        <v>7596</v>
      </c>
      <c r="N263" s="48">
        <v>46017</v>
      </c>
      <c r="O263" s="47" t="s">
        <v>23</v>
      </c>
      <c r="P263" s="50">
        <v>46016</v>
      </c>
      <c r="Q263" s="47" t="s">
        <v>6460</v>
      </c>
      <c r="R263" s="47"/>
    </row>
    <row r="264" spans="1:18" x14ac:dyDescent="0.25">
      <c r="A264" s="47">
        <f t="shared" si="8"/>
        <v>263</v>
      </c>
      <c r="B264" s="47" t="s">
        <v>7511</v>
      </c>
      <c r="C264" s="47" t="s">
        <v>7512</v>
      </c>
      <c r="D264" s="47" t="s">
        <v>7513</v>
      </c>
      <c r="E264" s="47" t="s">
        <v>7514</v>
      </c>
      <c r="F264" s="47" t="s">
        <v>12</v>
      </c>
      <c r="G264" s="47" t="s">
        <v>181</v>
      </c>
      <c r="H264" s="47" t="str">
        <f t="shared" si="9"/>
        <v>PULWAMA</v>
      </c>
      <c r="I264" s="47" t="s">
        <v>7519</v>
      </c>
      <c r="J264" s="48">
        <v>46016</v>
      </c>
      <c r="K264" s="47">
        <v>8825024324</v>
      </c>
      <c r="L264" s="47" t="s">
        <v>6521</v>
      </c>
      <c r="M264" s="49" t="s">
        <v>7715</v>
      </c>
      <c r="N264" s="48">
        <v>46042</v>
      </c>
      <c r="O264" s="47"/>
      <c r="P264" s="50"/>
      <c r="Q264" s="47"/>
      <c r="R264" s="47" t="s">
        <v>7521</v>
      </c>
    </row>
    <row r="265" spans="1:18" x14ac:dyDescent="0.25">
      <c r="A265" s="47">
        <f t="shared" si="8"/>
        <v>264</v>
      </c>
      <c r="B265" s="47" t="s">
        <v>7540</v>
      </c>
      <c r="C265" s="47" t="s">
        <v>7541</v>
      </c>
      <c r="D265" s="47" t="s">
        <v>7542</v>
      </c>
      <c r="E265" s="47" t="s">
        <v>7543</v>
      </c>
      <c r="F265" s="47" t="s">
        <v>119</v>
      </c>
      <c r="G265" s="47" t="s">
        <v>174</v>
      </c>
      <c r="H265" s="47" t="str">
        <f t="shared" si="9"/>
        <v>PULWAMA</v>
      </c>
      <c r="I265" s="47" t="s">
        <v>7555</v>
      </c>
      <c r="J265" s="48">
        <v>46016</v>
      </c>
      <c r="K265" s="47">
        <v>8825061187</v>
      </c>
      <c r="L265" s="47" t="s">
        <v>7544</v>
      </c>
      <c r="M265" s="49" t="s">
        <v>7694</v>
      </c>
      <c r="N265" s="48">
        <v>46020</v>
      </c>
      <c r="O265" s="47" t="s">
        <v>23</v>
      </c>
      <c r="P265" s="50">
        <v>46017</v>
      </c>
      <c r="Q265" s="47" t="s">
        <v>6460</v>
      </c>
      <c r="R265" s="47"/>
    </row>
    <row r="266" spans="1:18" x14ac:dyDescent="0.25">
      <c r="A266" s="47">
        <f t="shared" si="8"/>
        <v>265</v>
      </c>
      <c r="B266" s="47" t="s">
        <v>7528</v>
      </c>
      <c r="C266" s="47" t="s">
        <v>7529</v>
      </c>
      <c r="D266" s="47" t="s">
        <v>7530</v>
      </c>
      <c r="E266" s="47" t="s">
        <v>7531</v>
      </c>
      <c r="F266" s="47" t="s">
        <v>100</v>
      </c>
      <c r="G266" s="47" t="s">
        <v>200</v>
      </c>
      <c r="H266" s="47" t="str">
        <f t="shared" si="9"/>
        <v>PULWAMA</v>
      </c>
      <c r="I266" s="47" t="s">
        <v>7539</v>
      </c>
      <c r="J266" s="48">
        <v>46016</v>
      </c>
      <c r="K266" s="47">
        <v>9697972995</v>
      </c>
      <c r="L266" s="47" t="s">
        <v>26</v>
      </c>
      <c r="M266" s="49" t="s">
        <v>7616</v>
      </c>
      <c r="N266" s="48">
        <v>46023</v>
      </c>
      <c r="O266" s="47"/>
      <c r="P266" s="50"/>
      <c r="Q266" s="47"/>
      <c r="R266" s="47"/>
    </row>
    <row r="267" spans="1:18" x14ac:dyDescent="0.25">
      <c r="A267" s="47">
        <f t="shared" si="8"/>
        <v>266</v>
      </c>
      <c r="B267" s="47" t="s">
        <v>7535</v>
      </c>
      <c r="C267" s="47" t="s">
        <v>7536</v>
      </c>
      <c r="D267" s="47" t="s">
        <v>7537</v>
      </c>
      <c r="E267" s="47" t="s">
        <v>7538</v>
      </c>
      <c r="F267" s="47" t="s">
        <v>100</v>
      </c>
      <c r="G267" s="47" t="s">
        <v>200</v>
      </c>
      <c r="H267" s="47" t="str">
        <f t="shared" si="9"/>
        <v>BANDIPORA</v>
      </c>
      <c r="I267" s="47" t="s">
        <v>7553</v>
      </c>
      <c r="J267" s="48">
        <v>46016</v>
      </c>
      <c r="K267" s="47">
        <v>7889559968</v>
      </c>
      <c r="L267" s="47" t="s">
        <v>6832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8"/>
        <v>267</v>
      </c>
      <c r="B268" s="47" t="s">
        <v>7507</v>
      </c>
      <c r="C268" s="47" t="s">
        <v>7508</v>
      </c>
      <c r="D268" s="47" t="s">
        <v>7509</v>
      </c>
      <c r="E268" s="47" t="s">
        <v>7510</v>
      </c>
      <c r="F268" s="47" t="s">
        <v>12</v>
      </c>
      <c r="G268" s="47" t="s">
        <v>181</v>
      </c>
      <c r="H268" s="47" t="str">
        <f t="shared" si="9"/>
        <v>SHOPIAN</v>
      </c>
      <c r="I268" s="47" t="s">
        <v>7518</v>
      </c>
      <c r="J268" s="48">
        <v>46016</v>
      </c>
      <c r="K268" s="47">
        <v>7889339504</v>
      </c>
      <c r="L268" s="47" t="s">
        <v>6451</v>
      </c>
      <c r="M268" s="49" t="s">
        <v>8239</v>
      </c>
      <c r="N268" s="48">
        <v>46053</v>
      </c>
      <c r="O268" s="47"/>
      <c r="P268" s="50"/>
      <c r="Q268" s="47"/>
      <c r="R268" s="47"/>
    </row>
    <row r="269" spans="1:18" x14ac:dyDescent="0.25">
      <c r="A269" s="47">
        <f t="shared" si="8"/>
        <v>268</v>
      </c>
      <c r="B269" s="47" t="s">
        <v>7573</v>
      </c>
      <c r="C269" s="47" t="s">
        <v>7575</v>
      </c>
      <c r="D269" s="47" t="s">
        <v>7576</v>
      </c>
      <c r="E269" s="47" t="s">
        <v>7574</v>
      </c>
      <c r="F269" s="47" t="s">
        <v>7577</v>
      </c>
      <c r="G269" s="47" t="s">
        <v>6475</v>
      </c>
      <c r="H269" s="47" t="str">
        <f t="shared" si="9"/>
        <v>SRINAGAR</v>
      </c>
      <c r="I269" s="47" t="s">
        <v>7591</v>
      </c>
      <c r="J269" s="48">
        <v>46017</v>
      </c>
      <c r="K269" s="47">
        <v>9419002237</v>
      </c>
      <c r="L269" s="47" t="s">
        <v>106</v>
      </c>
      <c r="M269" s="49" t="s">
        <v>7601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8"/>
        <v>269</v>
      </c>
      <c r="B270" s="47" t="s">
        <v>7578</v>
      </c>
      <c r="C270" s="47" t="s">
        <v>7579</v>
      </c>
      <c r="D270" s="47" t="s">
        <v>7580</v>
      </c>
      <c r="E270" s="47" t="s">
        <v>7581</v>
      </c>
      <c r="F270" s="47" t="s">
        <v>290</v>
      </c>
      <c r="G270" s="47" t="s">
        <v>175</v>
      </c>
      <c r="H270" s="47" t="str">
        <f t="shared" si="9"/>
        <v>SRINAGAR</v>
      </c>
      <c r="I270" s="47" t="s">
        <v>7592</v>
      </c>
      <c r="J270" s="48">
        <v>46017</v>
      </c>
      <c r="K270" s="47">
        <v>7006907205</v>
      </c>
      <c r="L270" s="47" t="s">
        <v>26</v>
      </c>
      <c r="M270" s="49"/>
      <c r="N270" s="48"/>
      <c r="O270" s="47" t="s">
        <v>23</v>
      </c>
      <c r="P270" s="50">
        <v>46018</v>
      </c>
      <c r="Q270" s="47" t="s">
        <v>6460</v>
      </c>
      <c r="R270" s="47"/>
    </row>
    <row r="271" spans="1:18" x14ac:dyDescent="0.25">
      <c r="A271" s="47">
        <f t="shared" si="8"/>
        <v>270</v>
      </c>
      <c r="B271" s="47" t="s">
        <v>7612</v>
      </c>
      <c r="C271" s="47" t="s">
        <v>7606</v>
      </c>
      <c r="D271" s="47" t="s">
        <v>7607</v>
      </c>
      <c r="E271" s="47" t="s">
        <v>7608</v>
      </c>
      <c r="F271" s="47" t="s">
        <v>31</v>
      </c>
      <c r="G271" s="47" t="s">
        <v>200</v>
      </c>
      <c r="H271" s="47" t="str">
        <f t="shared" si="9"/>
        <v>SRINAGAR</v>
      </c>
      <c r="I271" s="47" t="s">
        <v>7609</v>
      </c>
      <c r="J271" s="48">
        <v>46017</v>
      </c>
      <c r="K271" s="47">
        <v>9149416177</v>
      </c>
      <c r="L271" s="47" t="s">
        <v>1126</v>
      </c>
      <c r="M271" s="49"/>
      <c r="N271" s="48"/>
      <c r="O271" s="47" t="s">
        <v>23</v>
      </c>
      <c r="P271" s="50">
        <v>46017</v>
      </c>
      <c r="Q271" s="47" t="s">
        <v>6460</v>
      </c>
      <c r="R271" s="47"/>
    </row>
    <row r="272" spans="1:18" x14ac:dyDescent="0.25">
      <c r="A272" s="47">
        <f t="shared" si="8"/>
        <v>271</v>
      </c>
      <c r="B272" s="47" t="s">
        <v>7582</v>
      </c>
      <c r="C272" s="47" t="s">
        <v>7583</v>
      </c>
      <c r="D272" s="47" t="s">
        <v>7584</v>
      </c>
      <c r="E272" s="47" t="s">
        <v>7585</v>
      </c>
      <c r="F272" s="47" t="s">
        <v>125</v>
      </c>
      <c r="G272" s="47" t="s">
        <v>199</v>
      </c>
      <c r="H272" s="47" t="str">
        <f t="shared" si="9"/>
        <v>BUDGAM</v>
      </c>
      <c r="I272" s="47" t="s">
        <v>7593</v>
      </c>
      <c r="J272" s="48">
        <v>46017</v>
      </c>
      <c r="K272" s="47">
        <v>7889773670</v>
      </c>
      <c r="L272" s="47" t="s">
        <v>7586</v>
      </c>
      <c r="M272" s="49" t="s">
        <v>7721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8"/>
        <v>272</v>
      </c>
      <c r="B273" s="47" t="s">
        <v>7561</v>
      </c>
      <c r="C273" s="47" t="s">
        <v>7562</v>
      </c>
      <c r="D273" s="47" t="s">
        <v>7563</v>
      </c>
      <c r="E273" s="47" t="s">
        <v>7564</v>
      </c>
      <c r="F273" s="47" t="s">
        <v>31</v>
      </c>
      <c r="G273" s="47" t="s">
        <v>174</v>
      </c>
      <c r="H273" s="47" t="str">
        <f t="shared" si="9"/>
        <v>BARAMULLA</v>
      </c>
      <c r="I273" s="47" t="s">
        <v>7590</v>
      </c>
      <c r="J273" s="48">
        <v>46017</v>
      </c>
      <c r="K273" s="47">
        <v>9906918176</v>
      </c>
      <c r="L273" s="47" t="s">
        <v>26</v>
      </c>
      <c r="M273" s="49" t="s">
        <v>7616</v>
      </c>
      <c r="N273" s="48">
        <v>46017</v>
      </c>
      <c r="O273" s="47" t="s">
        <v>23</v>
      </c>
      <c r="P273" s="50">
        <v>46017</v>
      </c>
      <c r="Q273" s="47" t="s">
        <v>6460</v>
      </c>
      <c r="R273" s="47"/>
    </row>
    <row r="274" spans="1:18" x14ac:dyDescent="0.25">
      <c r="A274" s="47">
        <f t="shared" si="8"/>
        <v>273</v>
      </c>
      <c r="B274" s="47" t="s">
        <v>7597</v>
      </c>
      <c r="C274" s="47" t="s">
        <v>7598</v>
      </c>
      <c r="D274" s="47" t="s">
        <v>7599</v>
      </c>
      <c r="E274" s="47" t="s">
        <v>7600</v>
      </c>
      <c r="F274" s="47" t="s">
        <v>31</v>
      </c>
      <c r="G274" s="47" t="s">
        <v>200</v>
      </c>
      <c r="H274" s="47" t="str">
        <f t="shared" si="9"/>
        <v>KUPWARA</v>
      </c>
      <c r="I274" s="47" t="s">
        <v>7611</v>
      </c>
      <c r="J274" s="48">
        <v>46017</v>
      </c>
      <c r="K274" s="47">
        <v>9797222635</v>
      </c>
      <c r="L274" s="47" t="s">
        <v>1517</v>
      </c>
      <c r="M274" s="49" t="s">
        <v>7778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8"/>
        <v>274</v>
      </c>
      <c r="B275" s="47" t="s">
        <v>7587</v>
      </c>
      <c r="C275" s="47" t="s">
        <v>7587</v>
      </c>
      <c r="D275" s="47" t="s">
        <v>7588</v>
      </c>
      <c r="E275" s="47" t="s">
        <v>7589</v>
      </c>
      <c r="F275" s="47" t="s">
        <v>31</v>
      </c>
      <c r="G275" s="47" t="s">
        <v>200</v>
      </c>
      <c r="H275" s="47" t="str">
        <f t="shared" si="9"/>
        <v>PULWAMA</v>
      </c>
      <c r="I275" s="47" t="s">
        <v>7594</v>
      </c>
      <c r="J275" s="48">
        <v>46017</v>
      </c>
      <c r="K275" s="47">
        <v>8491093722</v>
      </c>
      <c r="L275" s="47" t="s">
        <v>6521</v>
      </c>
      <c r="M275" s="49" t="s">
        <v>7672</v>
      </c>
      <c r="N275" s="48">
        <v>46021</v>
      </c>
      <c r="O275" s="47"/>
      <c r="P275" s="50"/>
      <c r="Q275" s="47"/>
      <c r="R275" s="47"/>
    </row>
    <row r="276" spans="1:18" x14ac:dyDescent="0.25">
      <c r="A276" s="47">
        <f t="shared" si="8"/>
        <v>275</v>
      </c>
      <c r="B276" s="47" t="s">
        <v>7602</v>
      </c>
      <c r="C276" s="47" t="s">
        <v>7603</v>
      </c>
      <c r="D276" s="47" t="s">
        <v>7604</v>
      </c>
      <c r="E276" s="47" t="s">
        <v>7605</v>
      </c>
      <c r="F276" s="47" t="s">
        <v>31</v>
      </c>
      <c r="G276" s="47" t="s">
        <v>174</v>
      </c>
      <c r="H276" s="47" t="str">
        <f t="shared" si="9"/>
        <v>SHOPIAN</v>
      </c>
      <c r="I276" s="48" t="s">
        <v>7610</v>
      </c>
      <c r="J276" s="48">
        <v>46017</v>
      </c>
      <c r="K276" s="47">
        <v>6006651112</v>
      </c>
      <c r="L276" s="47" t="s">
        <v>6521</v>
      </c>
      <c r="M276" s="49" t="s">
        <v>7715</v>
      </c>
      <c r="N276" s="48">
        <v>46043</v>
      </c>
      <c r="O276" s="47"/>
      <c r="P276" s="50"/>
      <c r="Q276" s="47"/>
      <c r="R276" s="47"/>
    </row>
    <row r="277" spans="1:18" x14ac:dyDescent="0.25">
      <c r="A277" s="47">
        <f t="shared" si="8"/>
        <v>276</v>
      </c>
      <c r="B277" s="47" t="s">
        <v>7638</v>
      </c>
      <c r="C277" s="47" t="s">
        <v>7639</v>
      </c>
      <c r="D277" s="47" t="s">
        <v>7640</v>
      </c>
      <c r="E277" s="47" t="s">
        <v>7641</v>
      </c>
      <c r="F277" s="47" t="s">
        <v>5104</v>
      </c>
      <c r="G277" s="47" t="s">
        <v>174</v>
      </c>
      <c r="H277" s="47" t="str">
        <f t="shared" si="9"/>
        <v>SRINAGAR</v>
      </c>
      <c r="I277" s="47" t="s">
        <v>7651</v>
      </c>
      <c r="J277" s="48">
        <v>46018</v>
      </c>
      <c r="K277" s="47">
        <v>7006141977</v>
      </c>
      <c r="L277" s="47" t="s">
        <v>1126</v>
      </c>
      <c r="M277" s="49" t="s">
        <v>7700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8"/>
        <v>277</v>
      </c>
      <c r="B278" s="47" t="s">
        <v>7624</v>
      </c>
      <c r="C278" s="47" t="s">
        <v>7625</v>
      </c>
      <c r="D278" s="47" t="s">
        <v>7626</v>
      </c>
      <c r="E278" s="47" t="s">
        <v>7627</v>
      </c>
      <c r="F278" s="47" t="s">
        <v>250</v>
      </c>
      <c r="G278" s="47" t="s">
        <v>221</v>
      </c>
      <c r="H278" s="47" t="str">
        <f t="shared" si="9"/>
        <v>SRINAGAR</v>
      </c>
      <c r="I278" s="47" t="s">
        <v>7635</v>
      </c>
      <c r="J278" s="48">
        <v>46018</v>
      </c>
      <c r="K278" s="47">
        <v>9596366782</v>
      </c>
      <c r="L278" s="47" t="s">
        <v>2172</v>
      </c>
      <c r="M278" s="49" t="s">
        <v>7716</v>
      </c>
      <c r="N278" s="48">
        <v>46020</v>
      </c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8"/>
        <v>278</v>
      </c>
      <c r="B279" s="47" t="s">
        <v>7645</v>
      </c>
      <c r="C279" s="47" t="s">
        <v>7642</v>
      </c>
      <c r="D279" s="47" t="s">
        <v>7643</v>
      </c>
      <c r="E279" s="47" t="s">
        <v>7644</v>
      </c>
      <c r="F279" s="47" t="s">
        <v>12</v>
      </c>
      <c r="G279" s="47" t="s">
        <v>200</v>
      </c>
      <c r="H279" s="47" t="str">
        <f t="shared" si="9"/>
        <v>SRINAGAR</v>
      </c>
      <c r="I279" s="47" t="s">
        <v>7650</v>
      </c>
      <c r="J279" s="48">
        <v>46018</v>
      </c>
      <c r="K279" s="47">
        <v>7006181232</v>
      </c>
      <c r="L279" s="47" t="s">
        <v>26</v>
      </c>
      <c r="M279" s="49"/>
      <c r="N279" s="48"/>
      <c r="O279" s="47"/>
      <c r="P279" s="50"/>
      <c r="Q279" s="47"/>
      <c r="R279" s="47"/>
    </row>
    <row r="280" spans="1:18" x14ac:dyDescent="0.25">
      <c r="A280" s="47">
        <f t="shared" si="8"/>
        <v>279</v>
      </c>
      <c r="B280" s="47" t="s">
        <v>7646</v>
      </c>
      <c r="C280" s="47" t="s">
        <v>7647</v>
      </c>
      <c r="D280" s="47" t="s">
        <v>7648</v>
      </c>
      <c r="E280" s="47" t="s">
        <v>7649</v>
      </c>
      <c r="F280" s="47" t="s">
        <v>12</v>
      </c>
      <c r="G280" s="47" t="s">
        <v>200</v>
      </c>
      <c r="H280" s="47" t="str">
        <f t="shared" si="9"/>
        <v>BUDGAM</v>
      </c>
      <c r="I280" s="47" t="s">
        <v>7652</v>
      </c>
      <c r="J280" s="48">
        <v>46018</v>
      </c>
      <c r="K280" s="47">
        <v>9622678196</v>
      </c>
      <c r="L280" s="47" t="s">
        <v>3926</v>
      </c>
      <c r="M280" s="49" t="s">
        <v>7454</v>
      </c>
      <c r="N280" s="48">
        <v>46024</v>
      </c>
      <c r="O280" s="47"/>
      <c r="P280" s="50"/>
      <c r="Q280" s="47"/>
      <c r="R280" s="47"/>
    </row>
    <row r="281" spans="1:18" x14ac:dyDescent="0.25">
      <c r="A281" s="47">
        <f t="shared" si="8"/>
        <v>280</v>
      </c>
      <c r="B281" s="47" t="s">
        <v>7656</v>
      </c>
      <c r="C281" s="47" t="s">
        <v>7653</v>
      </c>
      <c r="D281" s="47" t="s">
        <v>7654</v>
      </c>
      <c r="E281" s="47" t="s">
        <v>7655</v>
      </c>
      <c r="F281" s="47" t="s">
        <v>119</v>
      </c>
      <c r="G281" s="47" t="s">
        <v>175</v>
      </c>
      <c r="H281" s="47" t="str">
        <f t="shared" si="9"/>
        <v>BARAMULLA</v>
      </c>
      <c r="I281" s="47" t="s">
        <v>7657</v>
      </c>
      <c r="J281" s="48">
        <v>46018</v>
      </c>
      <c r="K281" s="47">
        <v>8715929114</v>
      </c>
      <c r="L281" s="47" t="s">
        <v>7250</v>
      </c>
      <c r="M281" s="49" t="s">
        <v>7615</v>
      </c>
      <c r="N281" s="48">
        <v>46020</v>
      </c>
      <c r="O281" s="47" t="s">
        <v>23</v>
      </c>
      <c r="P281" s="50">
        <v>46020</v>
      </c>
      <c r="Q281" s="47" t="s">
        <v>6460</v>
      </c>
      <c r="R281" s="47"/>
    </row>
    <row r="282" spans="1:18" x14ac:dyDescent="0.25">
      <c r="A282" s="47">
        <f t="shared" si="8"/>
        <v>281</v>
      </c>
      <c r="B282" s="47" t="s">
        <v>7667</v>
      </c>
      <c r="C282" s="47" t="s">
        <v>7658</v>
      </c>
      <c r="D282" s="47" t="s">
        <v>7659</v>
      </c>
      <c r="E282" s="47" t="s">
        <v>7660</v>
      </c>
      <c r="F282" s="47" t="s">
        <v>31</v>
      </c>
      <c r="G282" s="47" t="s">
        <v>200</v>
      </c>
      <c r="H282" s="47" t="str">
        <f t="shared" si="9"/>
        <v>PULWAMA</v>
      </c>
      <c r="I282" s="47" t="s">
        <v>7661</v>
      </c>
      <c r="J282" s="48">
        <v>46018</v>
      </c>
      <c r="K282" s="47">
        <v>9622531795</v>
      </c>
      <c r="L282" s="47" t="s">
        <v>26</v>
      </c>
      <c r="M282" s="49" t="s">
        <v>7616</v>
      </c>
      <c r="N282" s="48">
        <v>46032</v>
      </c>
      <c r="O282" s="47" t="s">
        <v>23</v>
      </c>
      <c r="P282" s="50">
        <v>46018</v>
      </c>
      <c r="Q282" s="47" t="s">
        <v>6460</v>
      </c>
      <c r="R282" s="47"/>
    </row>
    <row r="283" spans="1:18" x14ac:dyDescent="0.25">
      <c r="A283" s="47">
        <f t="shared" si="8"/>
        <v>282</v>
      </c>
      <c r="B283" s="47" t="s">
        <v>7666</v>
      </c>
      <c r="C283" s="47" t="s">
        <v>7662</v>
      </c>
      <c r="D283" s="47" t="s">
        <v>7663</v>
      </c>
      <c r="E283" s="47" t="s">
        <v>7665</v>
      </c>
      <c r="F283" s="47" t="s">
        <v>31</v>
      </c>
      <c r="G283" s="47" t="s">
        <v>175</v>
      </c>
      <c r="H283" s="47" t="str">
        <f t="shared" si="9"/>
        <v>PULWAMA</v>
      </c>
      <c r="I283" s="47" t="s">
        <v>7664</v>
      </c>
      <c r="J283" s="48">
        <v>46018</v>
      </c>
      <c r="K283" s="47">
        <v>8715028576</v>
      </c>
      <c r="L283" s="47" t="s">
        <v>6451</v>
      </c>
      <c r="M283" s="49" t="s">
        <v>7453</v>
      </c>
      <c r="N283" s="48">
        <v>46044</v>
      </c>
      <c r="O283" s="47"/>
      <c r="P283" s="50"/>
      <c r="Q283" s="47"/>
      <c r="R283" s="47"/>
    </row>
    <row r="284" spans="1:18" x14ac:dyDescent="0.25">
      <c r="A284" s="47">
        <f t="shared" si="8"/>
        <v>283</v>
      </c>
      <c r="B284" s="47" t="s">
        <v>7628</v>
      </c>
      <c r="C284" s="47" t="s">
        <v>7629</v>
      </c>
      <c r="D284" s="47" t="s">
        <v>7630</v>
      </c>
      <c r="E284" s="47" t="s">
        <v>7631</v>
      </c>
      <c r="F284" s="47" t="s">
        <v>67</v>
      </c>
      <c r="G284" s="47" t="s">
        <v>181</v>
      </c>
      <c r="H284" s="47" t="str">
        <f t="shared" si="9"/>
        <v>PULWAMA</v>
      </c>
      <c r="I284" s="47" t="s">
        <v>7636</v>
      </c>
      <c r="J284" s="48">
        <v>46018</v>
      </c>
      <c r="K284" s="47">
        <v>9906687592</v>
      </c>
      <c r="L284" s="47" t="s">
        <v>26</v>
      </c>
      <c r="M284" s="49" t="s">
        <v>7616</v>
      </c>
      <c r="N284" s="48">
        <v>46023</v>
      </c>
      <c r="O284" s="47" t="s">
        <v>23</v>
      </c>
      <c r="P284" s="50">
        <v>46018</v>
      </c>
      <c r="Q284" s="47" t="s">
        <v>6460</v>
      </c>
      <c r="R284" s="47"/>
    </row>
    <row r="285" spans="1:18" x14ac:dyDescent="0.25">
      <c r="A285" s="47">
        <f t="shared" si="8"/>
        <v>284</v>
      </c>
      <c r="B285" s="47" t="s">
        <v>7668</v>
      </c>
      <c r="C285" s="47" t="s">
        <v>7669</v>
      </c>
      <c r="D285" s="47" t="s">
        <v>7670</v>
      </c>
      <c r="E285" s="47" t="s">
        <v>7671</v>
      </c>
      <c r="F285" s="47" t="s">
        <v>125</v>
      </c>
      <c r="G285" s="47" t="s">
        <v>174</v>
      </c>
      <c r="H285" s="47" t="str">
        <f t="shared" si="9"/>
        <v>SRINAGAR</v>
      </c>
      <c r="I285" s="47" t="s">
        <v>7683</v>
      </c>
      <c r="J285" s="48">
        <v>46019</v>
      </c>
      <c r="K285" s="47">
        <v>9622727272</v>
      </c>
      <c r="L285" s="47" t="s">
        <v>6570</v>
      </c>
      <c r="M285" s="49" t="s">
        <v>7775</v>
      </c>
      <c r="N285" s="48">
        <v>46031</v>
      </c>
      <c r="O285" s="47"/>
      <c r="P285" s="50"/>
      <c r="Q285" s="47"/>
      <c r="R285" s="47"/>
    </row>
    <row r="286" spans="1:18" x14ac:dyDescent="0.25">
      <c r="A286" s="47">
        <f t="shared" si="8"/>
        <v>285</v>
      </c>
      <c r="B286" s="47" t="s">
        <v>7713</v>
      </c>
      <c r="C286" s="47" t="s">
        <v>7708</v>
      </c>
      <c r="D286" s="47" t="s">
        <v>7709</v>
      </c>
      <c r="E286" s="47" t="s">
        <v>7710</v>
      </c>
      <c r="F286" s="47" t="s">
        <v>7711</v>
      </c>
      <c r="G286" s="47" t="s">
        <v>200</v>
      </c>
      <c r="H286" s="47" t="str">
        <f t="shared" si="9"/>
        <v>NEW</v>
      </c>
      <c r="I286" s="47" t="s">
        <v>8016</v>
      </c>
      <c r="J286" s="48">
        <v>46020</v>
      </c>
      <c r="K286" s="47">
        <v>9622020576</v>
      </c>
      <c r="L286" s="47" t="s">
        <v>7712</v>
      </c>
      <c r="M286" s="49" t="s">
        <v>8124</v>
      </c>
      <c r="N286" s="48">
        <v>46028</v>
      </c>
      <c r="O286" s="47" t="s">
        <v>23</v>
      </c>
      <c r="P286" s="50">
        <v>46028</v>
      </c>
      <c r="Q286" s="47" t="s">
        <v>6460</v>
      </c>
      <c r="R286" s="47"/>
    </row>
    <row r="287" spans="1:18" x14ac:dyDescent="0.25">
      <c r="A287" s="47">
        <f t="shared" si="8"/>
        <v>286</v>
      </c>
      <c r="B287" s="47" t="s">
        <v>7722</v>
      </c>
      <c r="C287" s="47" t="s">
        <v>7723</v>
      </c>
      <c r="D287" s="47" t="s">
        <v>7724</v>
      </c>
      <c r="E287" s="47" t="s">
        <v>6772</v>
      </c>
      <c r="F287" s="47" t="s">
        <v>119</v>
      </c>
      <c r="G287" s="47" t="s">
        <v>200</v>
      </c>
      <c r="H287" s="47" t="str">
        <f t="shared" si="9"/>
        <v>SRINAGAR</v>
      </c>
      <c r="I287" s="47" t="s">
        <v>7729</v>
      </c>
      <c r="J287" s="48">
        <v>46020</v>
      </c>
      <c r="K287" s="47">
        <v>7006274587</v>
      </c>
      <c r="L287" s="47" t="s">
        <v>6807</v>
      </c>
      <c r="M287" s="49" t="s">
        <v>8173</v>
      </c>
      <c r="N287" s="48">
        <v>46029</v>
      </c>
      <c r="O287" s="47" t="s">
        <v>23</v>
      </c>
      <c r="P287" s="50">
        <v>46029</v>
      </c>
      <c r="Q287" s="47" t="s">
        <v>6460</v>
      </c>
      <c r="R287" s="47" t="s">
        <v>8123</v>
      </c>
    </row>
    <row r="288" spans="1:18" x14ac:dyDescent="0.25">
      <c r="A288" s="47">
        <f t="shared" si="8"/>
        <v>287</v>
      </c>
      <c r="B288" s="47" t="s">
        <v>7686</v>
      </c>
      <c r="C288" s="47" t="s">
        <v>7687</v>
      </c>
      <c r="D288" s="47" t="s">
        <v>7688</v>
      </c>
      <c r="E288" s="47" t="s">
        <v>7689</v>
      </c>
      <c r="F288" s="47" t="s">
        <v>119</v>
      </c>
      <c r="G288" s="47" t="s">
        <v>175</v>
      </c>
      <c r="H288" s="47" t="str">
        <f t="shared" si="9"/>
        <v>BARAMULLA</v>
      </c>
      <c r="I288" s="47" t="s">
        <v>7702</v>
      </c>
      <c r="J288" s="48">
        <v>46020</v>
      </c>
      <c r="K288" s="47">
        <v>9682558110</v>
      </c>
      <c r="L288" s="47" t="s">
        <v>1517</v>
      </c>
      <c r="M288" s="49" t="s">
        <v>7778</v>
      </c>
      <c r="N288" s="48">
        <v>46021</v>
      </c>
      <c r="O288" s="47" t="s">
        <v>7704</v>
      </c>
      <c r="P288" s="50">
        <v>46020</v>
      </c>
      <c r="Q288" s="47" t="s">
        <v>7705</v>
      </c>
      <c r="R288" s="47"/>
    </row>
    <row r="289" spans="1:18" x14ac:dyDescent="0.25">
      <c r="A289" s="47">
        <f t="shared" si="8"/>
        <v>288</v>
      </c>
      <c r="B289" s="47" t="s">
        <v>7693</v>
      </c>
      <c r="C289" s="47" t="s">
        <v>7690</v>
      </c>
      <c r="D289" s="47" t="s">
        <v>7691</v>
      </c>
      <c r="E289" s="47" t="s">
        <v>7692</v>
      </c>
      <c r="F289" s="47" t="s">
        <v>119</v>
      </c>
      <c r="G289" s="47" t="s">
        <v>175</v>
      </c>
      <c r="H289" s="47" t="str">
        <f t="shared" si="9"/>
        <v>PULWAMA</v>
      </c>
      <c r="I289" s="47" t="s">
        <v>7703</v>
      </c>
      <c r="J289" s="48">
        <v>46020</v>
      </c>
      <c r="K289" s="47">
        <v>9622716592</v>
      </c>
      <c r="L289" s="47" t="s">
        <v>48</v>
      </c>
      <c r="M289" s="49" t="s">
        <v>7773</v>
      </c>
      <c r="N289" s="48">
        <v>46021</v>
      </c>
      <c r="O289" s="47"/>
      <c r="P289" s="50"/>
      <c r="Q289" s="47"/>
      <c r="R289" s="47"/>
    </row>
    <row r="290" spans="1:18" x14ac:dyDescent="0.25">
      <c r="A290" s="47">
        <f t="shared" si="8"/>
        <v>289</v>
      </c>
      <c r="B290" s="47" t="s">
        <v>7695</v>
      </c>
      <c r="C290" s="47" t="s">
        <v>7696</v>
      </c>
      <c r="D290" s="47" t="s">
        <v>7697</v>
      </c>
      <c r="E290" s="47" t="s">
        <v>7698</v>
      </c>
      <c r="F290" s="47" t="s">
        <v>486</v>
      </c>
      <c r="G290" s="47" t="s">
        <v>199</v>
      </c>
      <c r="H290" s="47" t="str">
        <f t="shared" si="9"/>
        <v>SHOPIAN</v>
      </c>
      <c r="I290" s="47" t="s">
        <v>7701</v>
      </c>
      <c r="J290" s="48">
        <v>46020</v>
      </c>
      <c r="K290" s="47">
        <v>7006540570</v>
      </c>
      <c r="L290" s="47" t="s">
        <v>7699</v>
      </c>
      <c r="M290" s="49" t="s">
        <v>7294</v>
      </c>
      <c r="N290" s="48">
        <v>46035</v>
      </c>
      <c r="O290" s="47"/>
      <c r="P290" s="50"/>
      <c r="Q290" s="47"/>
      <c r="R290" s="47" t="s">
        <v>7731</v>
      </c>
    </row>
    <row r="291" spans="1:18" x14ac:dyDescent="0.25">
      <c r="A291" s="47">
        <f t="shared" si="8"/>
        <v>290</v>
      </c>
      <c r="B291" s="47" t="s">
        <v>7717</v>
      </c>
      <c r="C291" s="47" t="s">
        <v>7718</v>
      </c>
      <c r="D291" s="47" t="s">
        <v>7719</v>
      </c>
      <c r="E291" s="47" t="s">
        <v>7720</v>
      </c>
      <c r="F291" s="47" t="s">
        <v>31</v>
      </c>
      <c r="G291" s="47" t="s">
        <v>174</v>
      </c>
      <c r="H291" s="47" t="str">
        <f t="shared" si="9"/>
        <v>TEMP</v>
      </c>
      <c r="I291" s="47" t="s">
        <v>7730</v>
      </c>
      <c r="J291" s="48">
        <v>46020</v>
      </c>
      <c r="K291" s="47">
        <v>9622213085</v>
      </c>
      <c r="L291" s="47" t="s">
        <v>18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8"/>
        <v>291</v>
      </c>
      <c r="B292" s="47" t="s">
        <v>7725</v>
      </c>
      <c r="C292" s="47" t="s">
        <v>7726</v>
      </c>
      <c r="D292" s="47" t="s">
        <v>7727</v>
      </c>
      <c r="E292" s="47" t="s">
        <v>7728</v>
      </c>
      <c r="F292" s="47" t="s">
        <v>12</v>
      </c>
      <c r="G292" s="47" t="s">
        <v>200</v>
      </c>
      <c r="H292" s="47" t="str">
        <f t="shared" si="9"/>
        <v>BUDGAM</v>
      </c>
      <c r="I292" s="47" t="s">
        <v>7747</v>
      </c>
      <c r="J292" s="48">
        <v>46021</v>
      </c>
      <c r="K292" s="47">
        <v>9541083744</v>
      </c>
      <c r="L292" s="47" t="s">
        <v>194</v>
      </c>
      <c r="M292" s="49" t="s">
        <v>7775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8"/>
        <v>292</v>
      </c>
      <c r="B293" s="47" t="s">
        <v>7739</v>
      </c>
      <c r="C293" s="47" t="s">
        <v>7740</v>
      </c>
      <c r="D293" s="47" t="s">
        <v>7741</v>
      </c>
      <c r="E293" s="47" t="s">
        <v>7742</v>
      </c>
      <c r="F293" s="47" t="s">
        <v>119</v>
      </c>
      <c r="G293" s="47" t="s">
        <v>200</v>
      </c>
      <c r="H293" s="47" t="str">
        <f t="shared" si="9"/>
        <v>BUDGAM</v>
      </c>
      <c r="I293" s="47" t="s">
        <v>7750</v>
      </c>
      <c r="J293" s="48">
        <v>46021</v>
      </c>
      <c r="K293" s="47">
        <v>7006409005</v>
      </c>
      <c r="L293" s="47" t="s">
        <v>70</v>
      </c>
      <c r="M293" s="49" t="s">
        <v>7954</v>
      </c>
      <c r="N293" s="48">
        <v>46028</v>
      </c>
      <c r="O293" s="47"/>
      <c r="P293" s="50"/>
      <c r="Q293" s="47"/>
      <c r="R293" s="47"/>
    </row>
    <row r="294" spans="1:18" x14ac:dyDescent="0.25">
      <c r="A294" s="47">
        <f t="shared" si="8"/>
        <v>293</v>
      </c>
      <c r="B294" s="47" t="s">
        <v>7772</v>
      </c>
      <c r="C294" s="47" t="s">
        <v>7769</v>
      </c>
      <c r="D294" s="47" t="s">
        <v>7770</v>
      </c>
      <c r="E294" s="47" t="s">
        <v>7771</v>
      </c>
      <c r="F294" s="47" t="s">
        <v>633</v>
      </c>
      <c r="G294" s="47" t="s">
        <v>226</v>
      </c>
      <c r="H294" s="47" t="str">
        <f t="shared" si="9"/>
        <v>BARAMULLA</v>
      </c>
      <c r="I294" s="47" t="s">
        <v>7774</v>
      </c>
      <c r="J294" s="48">
        <v>46021</v>
      </c>
      <c r="K294" s="47">
        <v>9596336858</v>
      </c>
      <c r="L294" s="47" t="s">
        <v>1517</v>
      </c>
      <c r="M294" s="49"/>
      <c r="N294" s="48"/>
      <c r="O294" s="47" t="s">
        <v>23</v>
      </c>
      <c r="P294" s="50"/>
      <c r="Q294" s="47" t="s">
        <v>8167</v>
      </c>
      <c r="R294" s="47"/>
    </row>
    <row r="295" spans="1:18" x14ac:dyDescent="0.25">
      <c r="A295" s="47">
        <f t="shared" si="8"/>
        <v>294</v>
      </c>
      <c r="B295" s="47" t="s">
        <v>7779</v>
      </c>
      <c r="C295" s="47" t="s">
        <v>7780</v>
      </c>
      <c r="D295" s="47" t="s">
        <v>7781</v>
      </c>
      <c r="E295" s="47" t="s">
        <v>7782</v>
      </c>
      <c r="F295" s="47" t="s">
        <v>119</v>
      </c>
      <c r="G295" s="47" t="s">
        <v>175</v>
      </c>
      <c r="H295" s="47" t="str">
        <f t="shared" si="9"/>
        <v>BARAMULLA</v>
      </c>
      <c r="I295" s="47" t="s">
        <v>7783</v>
      </c>
      <c r="J295" s="48">
        <v>46021</v>
      </c>
      <c r="K295" s="47">
        <v>6006052436</v>
      </c>
      <c r="L295" s="47" t="s">
        <v>6521</v>
      </c>
      <c r="M295" s="49" t="s">
        <v>8218</v>
      </c>
      <c r="N295" s="48">
        <v>46030</v>
      </c>
      <c r="O295" s="47" t="s">
        <v>23</v>
      </c>
      <c r="P295" s="50">
        <v>46030</v>
      </c>
      <c r="Q295" s="47" t="s">
        <v>6460</v>
      </c>
      <c r="R295" s="47" t="s">
        <v>7808</v>
      </c>
    </row>
    <row r="296" spans="1:18" x14ac:dyDescent="0.25">
      <c r="A296" s="47">
        <f t="shared" si="8"/>
        <v>295</v>
      </c>
      <c r="B296" s="47" t="s">
        <v>7752</v>
      </c>
      <c r="C296" s="47" t="s">
        <v>7753</v>
      </c>
      <c r="D296" s="47" t="s">
        <v>7754</v>
      </c>
      <c r="E296" s="47" t="s">
        <v>7755</v>
      </c>
      <c r="F296" s="47" t="s">
        <v>100</v>
      </c>
      <c r="G296" s="47" t="s">
        <v>181</v>
      </c>
      <c r="H296" s="47" t="str">
        <f t="shared" si="9"/>
        <v>BARAMULLA</v>
      </c>
      <c r="I296" s="47" t="s">
        <v>7756</v>
      </c>
      <c r="J296" s="48">
        <v>46021</v>
      </c>
      <c r="K296" s="47">
        <v>9149570567</v>
      </c>
      <c r="L296" s="47" t="s">
        <v>6683</v>
      </c>
      <c r="M296" s="49" t="s">
        <v>7775</v>
      </c>
      <c r="N296" s="48">
        <v>46021</v>
      </c>
      <c r="O296" s="47"/>
      <c r="P296" s="50"/>
      <c r="Q296" s="47"/>
      <c r="R296" s="47"/>
    </row>
    <row r="297" spans="1:18" x14ac:dyDescent="0.25">
      <c r="A297" s="47">
        <f t="shared" si="8"/>
        <v>296</v>
      </c>
      <c r="B297" s="47" t="s">
        <v>7734</v>
      </c>
      <c r="C297" s="47" t="s">
        <v>7732</v>
      </c>
      <c r="D297" s="47" t="s">
        <v>7733</v>
      </c>
      <c r="E297" s="47" t="s">
        <v>2915</v>
      </c>
      <c r="F297" s="47" t="s">
        <v>238</v>
      </c>
      <c r="G297" s="47" t="s">
        <v>6475</v>
      </c>
      <c r="H297" s="47" t="str">
        <f t="shared" si="9"/>
        <v>PULWAMA</v>
      </c>
      <c r="I297" s="47" t="s">
        <v>7748</v>
      </c>
      <c r="J297" s="48">
        <v>46021</v>
      </c>
      <c r="K297" s="47">
        <v>9906625047</v>
      </c>
      <c r="L297" s="47" t="s">
        <v>26</v>
      </c>
      <c r="M297" s="49" t="s">
        <v>7616</v>
      </c>
      <c r="N297" s="48">
        <v>46022</v>
      </c>
      <c r="O297" s="47" t="s">
        <v>23</v>
      </c>
      <c r="P297" s="50">
        <v>46022</v>
      </c>
      <c r="Q297" s="47" t="s">
        <v>6460</v>
      </c>
      <c r="R297" s="47"/>
    </row>
    <row r="298" spans="1:18" x14ac:dyDescent="0.25">
      <c r="A298" s="47">
        <f t="shared" si="8"/>
        <v>297</v>
      </c>
      <c r="B298" s="47" t="s">
        <v>7743</v>
      </c>
      <c r="C298" s="47" t="s">
        <v>7744</v>
      </c>
      <c r="D298" s="47" t="s">
        <v>7746</v>
      </c>
      <c r="E298" s="47" t="s">
        <v>7745</v>
      </c>
      <c r="F298" s="47" t="s">
        <v>67</v>
      </c>
      <c r="G298" s="47" t="s">
        <v>199</v>
      </c>
      <c r="H298" s="47" t="str">
        <f t="shared" si="9"/>
        <v>PULWAMA</v>
      </c>
      <c r="I298" s="47" t="s">
        <v>7751</v>
      </c>
      <c r="J298" s="48">
        <v>46021</v>
      </c>
      <c r="K298" s="47">
        <v>8493950437</v>
      </c>
      <c r="L298" s="47" t="s">
        <v>6521</v>
      </c>
      <c r="M298" s="49" t="s">
        <v>7715</v>
      </c>
      <c r="N298" s="48">
        <v>46046</v>
      </c>
      <c r="O298" s="47"/>
      <c r="P298" s="50"/>
      <c r="Q298" s="47"/>
      <c r="R298" s="47" t="s">
        <v>7768</v>
      </c>
    </row>
    <row r="299" spans="1:18" x14ac:dyDescent="0.25">
      <c r="A299" s="47">
        <f t="shared" si="8"/>
        <v>298</v>
      </c>
      <c r="B299" s="47" t="s">
        <v>7761</v>
      </c>
      <c r="C299" s="47" t="s">
        <v>7757</v>
      </c>
      <c r="D299" s="47" t="s">
        <v>7758</v>
      </c>
      <c r="E299" s="47" t="s">
        <v>7759</v>
      </c>
      <c r="F299" s="47" t="s">
        <v>125</v>
      </c>
      <c r="G299" s="47" t="s">
        <v>7760</v>
      </c>
      <c r="H299" s="47" t="str">
        <f t="shared" si="9"/>
        <v>PULWAMA</v>
      </c>
      <c r="I299" s="47" t="s">
        <v>7766</v>
      </c>
      <c r="J299" s="48">
        <v>46021</v>
      </c>
      <c r="K299" s="47">
        <v>8082041918</v>
      </c>
      <c r="L299" s="47" t="s">
        <v>176</v>
      </c>
      <c r="M299" s="49" t="s">
        <v>7617</v>
      </c>
      <c r="N299" s="48">
        <v>46021</v>
      </c>
      <c r="O299" s="47"/>
      <c r="P299" s="50"/>
      <c r="Q299" s="47"/>
      <c r="R299" s="47"/>
    </row>
    <row r="300" spans="1:18" x14ac:dyDescent="0.25">
      <c r="A300" s="47">
        <f t="shared" si="8"/>
        <v>299</v>
      </c>
      <c r="B300" s="47" t="s">
        <v>7738</v>
      </c>
      <c r="C300" s="47" t="s">
        <v>7735</v>
      </c>
      <c r="D300" s="47" t="s">
        <v>7736</v>
      </c>
      <c r="E300" s="47" t="s">
        <v>7737</v>
      </c>
      <c r="F300" s="47" t="s">
        <v>31</v>
      </c>
      <c r="G300" s="47" t="s">
        <v>200</v>
      </c>
      <c r="H300" s="47" t="str">
        <f t="shared" si="9"/>
        <v>PULWAMA</v>
      </c>
      <c r="I300" s="47" t="s">
        <v>7749</v>
      </c>
      <c r="J300" s="48">
        <v>46021</v>
      </c>
      <c r="K300" s="47">
        <v>7006928931</v>
      </c>
      <c r="L300" s="47" t="s">
        <v>48</v>
      </c>
      <c r="M300" s="49" t="s">
        <v>7773</v>
      </c>
      <c r="N300" s="48">
        <v>46027</v>
      </c>
      <c r="O300" s="47" t="s">
        <v>23</v>
      </c>
      <c r="P300" s="50">
        <v>46029</v>
      </c>
      <c r="Q300" s="47" t="s">
        <v>6460</v>
      </c>
      <c r="R300" s="47"/>
    </row>
    <row r="301" spans="1:18" x14ac:dyDescent="0.25">
      <c r="A301" s="47">
        <f t="shared" si="8"/>
        <v>300</v>
      </c>
      <c r="B301" s="47" t="s">
        <v>7762</v>
      </c>
      <c r="C301" s="47" t="s">
        <v>7763</v>
      </c>
      <c r="D301" s="47" t="s">
        <v>7764</v>
      </c>
      <c r="E301" s="47" t="s">
        <v>7765</v>
      </c>
      <c r="F301" s="47" t="s">
        <v>3130</v>
      </c>
      <c r="G301" s="47" t="s">
        <v>6475</v>
      </c>
      <c r="H301" s="47" t="str">
        <f t="shared" si="9"/>
        <v>KULGAM</v>
      </c>
      <c r="I301" s="47" t="s">
        <v>7767</v>
      </c>
      <c r="J301" s="48">
        <v>46021</v>
      </c>
      <c r="K301" s="47">
        <v>9622775800</v>
      </c>
      <c r="L301" s="47" t="s">
        <v>26</v>
      </c>
      <c r="M301" s="49" t="s">
        <v>7616</v>
      </c>
      <c r="N301" s="48">
        <v>46032</v>
      </c>
      <c r="O301" s="47" t="s">
        <v>23</v>
      </c>
      <c r="P301" s="50">
        <v>46022</v>
      </c>
      <c r="Q301" s="47" t="s">
        <v>6460</v>
      </c>
      <c r="R301" s="47"/>
    </row>
    <row r="302" spans="1:18" x14ac:dyDescent="0.25">
      <c r="A302" s="47">
        <f t="shared" si="8"/>
        <v>301</v>
      </c>
      <c r="B302" s="47" t="s">
        <v>7786</v>
      </c>
      <c r="C302" s="47" t="s">
        <v>7787</v>
      </c>
      <c r="D302" s="47" t="s">
        <v>7788</v>
      </c>
      <c r="E302" s="47" t="s">
        <v>7789</v>
      </c>
      <c r="F302" s="47" t="s">
        <v>250</v>
      </c>
      <c r="G302" s="47" t="s">
        <v>175</v>
      </c>
      <c r="H302" s="47" t="str">
        <f t="shared" si="9"/>
        <v>SRINAGAR</v>
      </c>
      <c r="I302" s="47" t="s">
        <v>7794</v>
      </c>
      <c r="J302" s="48">
        <v>46022</v>
      </c>
      <c r="K302" s="47">
        <v>9419070393</v>
      </c>
      <c r="L302" s="47" t="s">
        <v>75</v>
      </c>
      <c r="M302" s="49" t="s">
        <v>7894</v>
      </c>
      <c r="N302" s="48">
        <v>46024</v>
      </c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8"/>
        <v>302</v>
      </c>
      <c r="B303" s="47" t="s">
        <v>7802</v>
      </c>
      <c r="C303" s="47" t="s">
        <v>7799</v>
      </c>
      <c r="D303" s="47" t="s">
        <v>7801</v>
      </c>
      <c r="E303" s="47" t="s">
        <v>7800</v>
      </c>
      <c r="F303" s="47" t="s">
        <v>119</v>
      </c>
      <c r="G303" s="47" t="s">
        <v>221</v>
      </c>
      <c r="H303" s="47" t="str">
        <f t="shared" si="9"/>
        <v>BUDGAM</v>
      </c>
      <c r="I303" s="47" t="s">
        <v>7810</v>
      </c>
      <c r="J303" s="48">
        <v>46022</v>
      </c>
      <c r="K303" s="47">
        <v>9596102065</v>
      </c>
      <c r="L303" s="47" t="s">
        <v>110</v>
      </c>
      <c r="M303" s="49" t="s">
        <v>8229</v>
      </c>
      <c r="N303" s="48">
        <v>46031</v>
      </c>
      <c r="O303" s="47" t="s">
        <v>23</v>
      </c>
      <c r="P303" s="50">
        <v>46022</v>
      </c>
      <c r="Q303" s="47" t="s">
        <v>6460</v>
      </c>
      <c r="R303" s="47"/>
    </row>
    <row r="304" spans="1:18" x14ac:dyDescent="0.25">
      <c r="A304" s="47">
        <f t="shared" si="8"/>
        <v>303</v>
      </c>
      <c r="B304" s="47" t="s">
        <v>7806</v>
      </c>
      <c r="C304" s="47" t="s">
        <v>7803</v>
      </c>
      <c r="D304" s="47" t="s">
        <v>7804</v>
      </c>
      <c r="E304" s="47" t="s">
        <v>7805</v>
      </c>
      <c r="F304" s="47" t="s">
        <v>6829</v>
      </c>
      <c r="G304" s="47" t="s">
        <v>226</v>
      </c>
      <c r="H304" s="47" t="str">
        <f t="shared" si="9"/>
        <v>BUDGAM</v>
      </c>
      <c r="I304" s="47" t="s">
        <v>7811</v>
      </c>
      <c r="J304" s="48">
        <v>46022</v>
      </c>
      <c r="K304" s="47">
        <v>7889324122</v>
      </c>
      <c r="L304" s="47" t="s">
        <v>110</v>
      </c>
      <c r="M304" s="49" t="s">
        <v>7775</v>
      </c>
      <c r="N304" s="48">
        <v>46022</v>
      </c>
      <c r="O304" s="47" t="s">
        <v>23</v>
      </c>
      <c r="P304" s="50">
        <v>46022</v>
      </c>
      <c r="Q304" s="47" t="s">
        <v>6460</v>
      </c>
      <c r="R304" s="47"/>
    </row>
    <row r="305" spans="1:18" x14ac:dyDescent="0.25">
      <c r="A305" s="47">
        <f t="shared" si="8"/>
        <v>304</v>
      </c>
      <c r="B305" s="47" t="s">
        <v>7793</v>
      </c>
      <c r="C305" s="47" t="s">
        <v>7790</v>
      </c>
      <c r="D305" s="47" t="s">
        <v>7791</v>
      </c>
      <c r="E305" s="47" t="s">
        <v>7792</v>
      </c>
      <c r="F305" s="47" t="s">
        <v>100</v>
      </c>
      <c r="G305" s="47" t="s">
        <v>200</v>
      </c>
      <c r="H305" s="47" t="str">
        <f t="shared" si="9"/>
        <v>BUDGAM</v>
      </c>
      <c r="I305" s="55" t="s">
        <v>7847</v>
      </c>
      <c r="J305" s="48">
        <v>46022</v>
      </c>
      <c r="K305" s="47">
        <v>7780996739</v>
      </c>
      <c r="L305" s="47" t="s">
        <v>70</v>
      </c>
      <c r="M305" s="49" t="s">
        <v>8227</v>
      </c>
      <c r="N305" s="48">
        <v>46063</v>
      </c>
      <c r="O305" s="47" t="s">
        <v>23</v>
      </c>
      <c r="P305" s="50">
        <v>46027</v>
      </c>
      <c r="Q305" s="47" t="s">
        <v>6460</v>
      </c>
      <c r="R305" s="47"/>
    </row>
    <row r="306" spans="1:18" x14ac:dyDescent="0.25">
      <c r="A306" s="47">
        <f t="shared" si="8"/>
        <v>305</v>
      </c>
      <c r="B306" s="47" t="s">
        <v>7798</v>
      </c>
      <c r="C306" s="47" t="s">
        <v>7795</v>
      </c>
      <c r="D306" s="47" t="s">
        <v>7796</v>
      </c>
      <c r="E306" s="47" t="s">
        <v>7797</v>
      </c>
      <c r="F306" s="47" t="s">
        <v>67</v>
      </c>
      <c r="G306" s="47" t="s">
        <v>200</v>
      </c>
      <c r="H306" s="47" t="str">
        <f t="shared" si="9"/>
        <v>PULWAMA</v>
      </c>
      <c r="I306" s="47" t="s">
        <v>7809</v>
      </c>
      <c r="J306" s="48">
        <v>46022</v>
      </c>
      <c r="K306" s="47">
        <v>8899294356</v>
      </c>
      <c r="L306" s="47" t="s">
        <v>6521</v>
      </c>
      <c r="M306" s="49" t="s">
        <v>7715</v>
      </c>
      <c r="N306" s="48">
        <v>46028</v>
      </c>
      <c r="O306" s="47" t="s">
        <v>23</v>
      </c>
      <c r="P306" s="50">
        <v>46057</v>
      </c>
      <c r="Q306" s="47" t="s">
        <v>6460</v>
      </c>
      <c r="R306" s="47" t="s">
        <v>8657</v>
      </c>
    </row>
    <row r="307" spans="1:18" x14ac:dyDescent="0.25">
      <c r="A307" s="47">
        <f t="shared" si="8"/>
        <v>306</v>
      </c>
      <c r="B307" s="47" t="s">
        <v>7825</v>
      </c>
      <c r="C307" s="47" t="s">
        <v>7822</v>
      </c>
      <c r="D307" s="47" t="s">
        <v>7823</v>
      </c>
      <c r="E307" s="47" t="s">
        <v>7824</v>
      </c>
      <c r="F307" s="47" t="s">
        <v>119</v>
      </c>
      <c r="G307" s="47" t="s">
        <v>200</v>
      </c>
      <c r="H307" s="47" t="str">
        <f t="shared" si="9"/>
        <v>SRINAGAR</v>
      </c>
      <c r="I307" s="55" t="s">
        <v>7848</v>
      </c>
      <c r="J307" s="48">
        <v>46023</v>
      </c>
      <c r="K307" s="47">
        <v>9469001234</v>
      </c>
      <c r="L307" s="47" t="s">
        <v>110</v>
      </c>
      <c r="M307" s="49" t="s">
        <v>8371</v>
      </c>
      <c r="N307" s="48"/>
      <c r="O307" s="47" t="s">
        <v>23</v>
      </c>
      <c r="P307" s="50">
        <v>46044</v>
      </c>
      <c r="Q307" s="47" t="s">
        <v>6460</v>
      </c>
      <c r="R307" s="47"/>
    </row>
    <row r="308" spans="1:18" x14ac:dyDescent="0.25">
      <c r="A308" s="47">
        <f t="shared" si="8"/>
        <v>307</v>
      </c>
      <c r="B308" s="47" t="s">
        <v>7842</v>
      </c>
      <c r="C308" s="47" t="s">
        <v>7843</v>
      </c>
      <c r="D308" s="47" t="s">
        <v>7844</v>
      </c>
      <c r="E308" s="47" t="s">
        <v>2915</v>
      </c>
      <c r="F308" s="47" t="s">
        <v>193</v>
      </c>
      <c r="G308" s="47" t="s">
        <v>6440</v>
      </c>
      <c r="H308" s="47" t="str">
        <f t="shared" si="9"/>
        <v>SRINAGAR</v>
      </c>
      <c r="I308" s="55" t="s">
        <v>7861</v>
      </c>
      <c r="J308" s="48">
        <v>46023</v>
      </c>
      <c r="K308" s="47">
        <v>9596187640</v>
      </c>
      <c r="L308" s="47" t="s">
        <v>48</v>
      </c>
      <c r="M308" s="49" t="s">
        <v>7773</v>
      </c>
      <c r="N308" s="48">
        <v>46027</v>
      </c>
      <c r="O308" s="47"/>
      <c r="P308" s="50"/>
      <c r="Q308" s="47"/>
      <c r="R308" s="47"/>
    </row>
    <row r="309" spans="1:18" x14ac:dyDescent="0.25">
      <c r="A309" s="47">
        <f t="shared" si="8"/>
        <v>308</v>
      </c>
      <c r="B309" s="47" t="s">
        <v>7833</v>
      </c>
      <c r="C309" s="47" t="s">
        <v>7830</v>
      </c>
      <c r="D309" s="47" t="s">
        <v>7831</v>
      </c>
      <c r="E309" s="47" t="s">
        <v>7832</v>
      </c>
      <c r="F309" s="47" t="s">
        <v>290</v>
      </c>
      <c r="G309" s="47" t="s">
        <v>200</v>
      </c>
      <c r="H309" s="47" t="str">
        <f t="shared" si="9"/>
        <v>SRINAGAR</v>
      </c>
      <c r="I309" s="55" t="s">
        <v>7850</v>
      </c>
      <c r="J309" s="48">
        <v>46023</v>
      </c>
      <c r="K309" s="47">
        <v>9906405123</v>
      </c>
      <c r="L309" s="47" t="s">
        <v>2248</v>
      </c>
      <c r="M309" s="49" t="s">
        <v>8164</v>
      </c>
      <c r="N309" s="48">
        <v>46029</v>
      </c>
      <c r="O309" s="47" t="s">
        <v>6445</v>
      </c>
      <c r="P309" s="50"/>
      <c r="Q309" s="47"/>
      <c r="R309" s="47"/>
    </row>
    <row r="310" spans="1:18" x14ac:dyDescent="0.25">
      <c r="A310" s="47">
        <f t="shared" si="8"/>
        <v>309</v>
      </c>
      <c r="B310" s="47" t="s">
        <v>7851</v>
      </c>
      <c r="C310" s="47" t="s">
        <v>7852</v>
      </c>
      <c r="D310" s="47" t="s">
        <v>7853</v>
      </c>
      <c r="E310" s="47" t="s">
        <v>7854</v>
      </c>
      <c r="F310" s="47" t="s">
        <v>7855</v>
      </c>
      <c r="G310" s="47" t="s">
        <v>181</v>
      </c>
      <c r="H310" s="47" t="str">
        <f t="shared" si="9"/>
        <v>SRINAGAR</v>
      </c>
      <c r="I310" s="55" t="s">
        <v>7860</v>
      </c>
      <c r="J310" s="48">
        <v>46023</v>
      </c>
      <c r="K310" s="47">
        <v>9622459354</v>
      </c>
      <c r="L310" s="47" t="s">
        <v>75</v>
      </c>
      <c r="M310" s="49" t="s">
        <v>7455</v>
      </c>
      <c r="N310" s="48">
        <v>46030</v>
      </c>
      <c r="O310" s="47" t="s">
        <v>23</v>
      </c>
      <c r="P310" s="50">
        <v>46028</v>
      </c>
      <c r="Q310" s="47" t="s">
        <v>6460</v>
      </c>
      <c r="R310" s="47"/>
    </row>
    <row r="311" spans="1:18" x14ac:dyDescent="0.25">
      <c r="A311" s="47">
        <f t="shared" si="8"/>
        <v>310</v>
      </c>
      <c r="B311" s="47" t="s">
        <v>7886</v>
      </c>
      <c r="C311" s="47" t="s">
        <v>7888</v>
      </c>
      <c r="D311" s="47" t="s">
        <v>7889</v>
      </c>
      <c r="E311" s="47" t="s">
        <v>7890</v>
      </c>
      <c r="F311" s="47" t="s">
        <v>633</v>
      </c>
      <c r="G311" s="47" t="s">
        <v>199</v>
      </c>
      <c r="H311" s="47" t="str">
        <f t="shared" si="9"/>
        <v>SRINAGAR</v>
      </c>
      <c r="I311" s="47" t="s">
        <v>7893</v>
      </c>
      <c r="J311" s="48">
        <v>46023</v>
      </c>
      <c r="K311" s="47">
        <v>7006616090</v>
      </c>
      <c r="L311" s="47" t="s">
        <v>2248</v>
      </c>
      <c r="M311" s="49" t="s">
        <v>8164</v>
      </c>
      <c r="N311" s="48">
        <v>46029</v>
      </c>
      <c r="O311" s="47" t="s">
        <v>23</v>
      </c>
      <c r="P311" s="50">
        <v>46028</v>
      </c>
      <c r="Q311" s="47" t="s">
        <v>6460</v>
      </c>
      <c r="R311" s="47"/>
    </row>
    <row r="312" spans="1:18" x14ac:dyDescent="0.25">
      <c r="A312" s="47">
        <f t="shared" si="8"/>
        <v>311</v>
      </c>
      <c r="B312" s="47" t="s">
        <v>7887</v>
      </c>
      <c r="C312" s="47" t="s">
        <v>7880</v>
      </c>
      <c r="D312" s="47" t="s">
        <v>7881</v>
      </c>
      <c r="E312" s="47" t="s">
        <v>7882</v>
      </c>
      <c r="F312" s="47" t="s">
        <v>290</v>
      </c>
      <c r="G312" s="47" t="s">
        <v>200</v>
      </c>
      <c r="H312" s="47" t="str">
        <f t="shared" si="9"/>
        <v>SRINAGAR</v>
      </c>
      <c r="I312" s="47" t="s">
        <v>7892</v>
      </c>
      <c r="J312" s="48">
        <v>46023</v>
      </c>
      <c r="K312" s="47">
        <v>7006759527</v>
      </c>
      <c r="L312" s="47" t="s">
        <v>8240</v>
      </c>
      <c r="M312" s="49"/>
      <c r="N312" s="48"/>
      <c r="O312" s="47"/>
      <c r="P312" s="50"/>
      <c r="Q312" s="47"/>
      <c r="R312" s="47" t="s">
        <v>7941</v>
      </c>
    </row>
    <row r="313" spans="1:18" x14ac:dyDescent="0.25">
      <c r="A313" s="47">
        <f t="shared" si="8"/>
        <v>312</v>
      </c>
      <c r="B313" s="47" t="s">
        <v>7874</v>
      </c>
      <c r="C313" s="47" t="s">
        <v>7875</v>
      </c>
      <c r="D313" s="47" t="s">
        <v>7876</v>
      </c>
      <c r="E313" s="47" t="s">
        <v>7877</v>
      </c>
      <c r="F313" s="47" t="s">
        <v>12</v>
      </c>
      <c r="G313" s="47" t="s">
        <v>181</v>
      </c>
      <c r="H313" s="47" t="str">
        <f t="shared" si="9"/>
        <v>SRINAGAR</v>
      </c>
      <c r="I313" s="47" t="s">
        <v>7891</v>
      </c>
      <c r="J313" s="48">
        <v>46023</v>
      </c>
      <c r="K313" s="47">
        <v>7889588496</v>
      </c>
      <c r="L313" s="47" t="s">
        <v>8241</v>
      </c>
      <c r="M313" s="49" t="s">
        <v>7773</v>
      </c>
      <c r="N313" s="48">
        <v>46027</v>
      </c>
      <c r="O313" s="47" t="s">
        <v>23</v>
      </c>
      <c r="P313" s="50">
        <v>46024</v>
      </c>
      <c r="Q313" s="47" t="s">
        <v>6460</v>
      </c>
      <c r="R313" s="47"/>
    </row>
    <row r="314" spans="1:18" x14ac:dyDescent="0.25">
      <c r="A314" s="47">
        <f t="shared" si="8"/>
        <v>313</v>
      </c>
      <c r="B314" s="47" t="s">
        <v>7826</v>
      </c>
      <c r="C314" s="47" t="s">
        <v>7827</v>
      </c>
      <c r="D314" s="47" t="s">
        <v>7828</v>
      </c>
      <c r="E314" s="47" t="s">
        <v>7829</v>
      </c>
      <c r="F314" s="47" t="s">
        <v>100</v>
      </c>
      <c r="G314" s="47" t="s">
        <v>200</v>
      </c>
      <c r="H314" s="47" t="str">
        <f t="shared" si="9"/>
        <v>SRINAGAR</v>
      </c>
      <c r="I314" s="55" t="s">
        <v>7849</v>
      </c>
      <c r="J314" s="48">
        <v>46023</v>
      </c>
      <c r="K314" s="47">
        <v>7006582052</v>
      </c>
      <c r="L314" s="47" t="s">
        <v>307</v>
      </c>
      <c r="M314" s="49" t="s">
        <v>7775</v>
      </c>
      <c r="N314" s="48">
        <v>46025</v>
      </c>
      <c r="O314" s="47" t="s">
        <v>23</v>
      </c>
      <c r="P314" s="50">
        <v>46027</v>
      </c>
      <c r="Q314" s="47" t="s">
        <v>6460</v>
      </c>
      <c r="R314" s="47"/>
    </row>
    <row r="315" spans="1:18" x14ac:dyDescent="0.25">
      <c r="A315" s="47">
        <f t="shared" si="8"/>
        <v>314</v>
      </c>
      <c r="B315" s="47" t="s">
        <v>7820</v>
      </c>
      <c r="C315" s="47" t="s">
        <v>7817</v>
      </c>
      <c r="D315" s="47" t="s">
        <v>7818</v>
      </c>
      <c r="E315" s="47" t="s">
        <v>7819</v>
      </c>
      <c r="F315" s="47" t="s">
        <v>119</v>
      </c>
      <c r="G315" s="47" t="s">
        <v>200</v>
      </c>
      <c r="H315" s="47" t="str">
        <f t="shared" si="9"/>
        <v>BUDGAM</v>
      </c>
      <c r="I315" s="55" t="s">
        <v>7846</v>
      </c>
      <c r="J315" s="48">
        <v>46023</v>
      </c>
      <c r="K315" s="47">
        <v>7006000499</v>
      </c>
      <c r="L315" s="47" t="s">
        <v>106</v>
      </c>
      <c r="M315" s="49" t="s">
        <v>7601</v>
      </c>
      <c r="N315" s="48">
        <v>46027</v>
      </c>
      <c r="O315" s="47" t="s">
        <v>23</v>
      </c>
      <c r="P315" s="50">
        <v>46027</v>
      </c>
      <c r="Q315" s="47" t="s">
        <v>6460</v>
      </c>
      <c r="R315" s="47"/>
    </row>
    <row r="316" spans="1:18" x14ac:dyDescent="0.25">
      <c r="A316" s="47">
        <f t="shared" si="8"/>
        <v>315</v>
      </c>
      <c r="B316" s="47" t="s">
        <v>7873</v>
      </c>
      <c r="C316" s="47" t="s">
        <v>7883</v>
      </c>
      <c r="D316" s="47" t="s">
        <v>7884</v>
      </c>
      <c r="E316" s="47" t="s">
        <v>7885</v>
      </c>
      <c r="F316" s="47" t="s">
        <v>31</v>
      </c>
      <c r="G316" s="47" t="s">
        <v>199</v>
      </c>
      <c r="H316" s="47" t="str">
        <f t="shared" si="9"/>
        <v>BUDGAM</v>
      </c>
      <c r="I316" s="47" t="s">
        <v>7878</v>
      </c>
      <c r="J316" s="48">
        <v>46023</v>
      </c>
      <c r="K316" s="47">
        <v>8082623899</v>
      </c>
      <c r="L316" s="47" t="s">
        <v>48</v>
      </c>
      <c r="M316" s="49" t="s">
        <v>7773</v>
      </c>
      <c r="N316" s="48">
        <v>46027</v>
      </c>
      <c r="O316" s="47" t="s">
        <v>23</v>
      </c>
      <c r="P316" s="50">
        <v>46027</v>
      </c>
      <c r="Q316" s="47" t="s">
        <v>6460</v>
      </c>
      <c r="R316" s="47"/>
    </row>
    <row r="317" spans="1:18" x14ac:dyDescent="0.25">
      <c r="A317" s="47">
        <f t="shared" si="8"/>
        <v>316</v>
      </c>
      <c r="B317" s="47" t="s">
        <v>7834</v>
      </c>
      <c r="C317" s="47" t="s">
        <v>7835</v>
      </c>
      <c r="D317" s="47" t="s">
        <v>7836</v>
      </c>
      <c r="E317" s="47" t="s">
        <v>7837</v>
      </c>
      <c r="F317" s="47" t="s">
        <v>12</v>
      </c>
      <c r="G317" s="47" t="s">
        <v>200</v>
      </c>
      <c r="H317" s="47" t="str">
        <f t="shared" si="9"/>
        <v>BUDGAM</v>
      </c>
      <c r="I317" s="55" t="s">
        <v>7845</v>
      </c>
      <c r="J317" s="48">
        <v>46023</v>
      </c>
      <c r="K317" s="47">
        <v>7006016383</v>
      </c>
      <c r="L317" s="47" t="s">
        <v>307</v>
      </c>
      <c r="M317" s="49" t="s">
        <v>8093</v>
      </c>
      <c r="N317" s="48">
        <v>46028</v>
      </c>
      <c r="O317" s="47" t="s">
        <v>23</v>
      </c>
      <c r="P317" s="50">
        <v>46023</v>
      </c>
      <c r="Q317" s="47" t="s">
        <v>6460</v>
      </c>
      <c r="R317" s="47"/>
    </row>
    <row r="318" spans="1:18" x14ac:dyDescent="0.25">
      <c r="A318" s="47">
        <f t="shared" si="8"/>
        <v>317</v>
      </c>
      <c r="B318" s="47" t="s">
        <v>7868</v>
      </c>
      <c r="C318" s="47" t="s">
        <v>7869</v>
      </c>
      <c r="D318" s="47" t="s">
        <v>7870</v>
      </c>
      <c r="E318" s="47" t="s">
        <v>7871</v>
      </c>
      <c r="F318" s="47" t="s">
        <v>119</v>
      </c>
      <c r="G318" s="47" t="s">
        <v>174</v>
      </c>
      <c r="H318" s="47" t="str">
        <f t="shared" si="9"/>
        <v>BUDGAM</v>
      </c>
      <c r="I318" s="55" t="s">
        <v>7879</v>
      </c>
      <c r="J318" s="48">
        <v>46023</v>
      </c>
      <c r="K318" s="47">
        <v>9596167274</v>
      </c>
      <c r="L318" s="47" t="s">
        <v>7872</v>
      </c>
      <c r="M318" s="49"/>
      <c r="N318" s="48"/>
      <c r="O318" s="47"/>
      <c r="P318" s="50"/>
      <c r="Q318" s="47"/>
      <c r="R318" s="47"/>
    </row>
    <row r="319" spans="1:18" x14ac:dyDescent="0.25">
      <c r="A319" s="47">
        <f t="shared" si="8"/>
        <v>318</v>
      </c>
      <c r="B319" s="47" t="s">
        <v>7862</v>
      </c>
      <c r="C319" s="47" t="s">
        <v>7863</v>
      </c>
      <c r="D319" s="47" t="s">
        <v>7864</v>
      </c>
      <c r="E319" s="47" t="s">
        <v>7865</v>
      </c>
      <c r="F319" s="47" t="s">
        <v>12</v>
      </c>
      <c r="G319" s="47" t="s">
        <v>200</v>
      </c>
      <c r="H319" s="47" t="str">
        <f t="shared" si="9"/>
        <v>BARAMULLA</v>
      </c>
      <c r="I319" s="55" t="s">
        <v>7867</v>
      </c>
      <c r="J319" s="48">
        <v>46023</v>
      </c>
      <c r="K319" s="47">
        <v>9906759399</v>
      </c>
      <c r="L319" s="47" t="s">
        <v>6683</v>
      </c>
      <c r="M319" s="49" t="s">
        <v>8017</v>
      </c>
      <c r="N319" s="48">
        <v>46044</v>
      </c>
      <c r="O319" s="47" t="s">
        <v>23</v>
      </c>
      <c r="P319" s="50">
        <v>46029</v>
      </c>
      <c r="Q319" s="47" t="s">
        <v>6460</v>
      </c>
      <c r="R319" s="47"/>
    </row>
    <row r="320" spans="1:18" x14ac:dyDescent="0.25">
      <c r="A320" s="47">
        <f t="shared" si="8"/>
        <v>319</v>
      </c>
      <c r="B320" s="47" t="s">
        <v>7856</v>
      </c>
      <c r="C320" s="47" t="s">
        <v>7857</v>
      </c>
      <c r="D320" s="47" t="s">
        <v>7858</v>
      </c>
      <c r="E320" s="47" t="s">
        <v>2841</v>
      </c>
      <c r="F320" s="47" t="s">
        <v>119</v>
      </c>
      <c r="G320" s="47" t="s">
        <v>200</v>
      </c>
      <c r="H320" s="47" t="str">
        <f t="shared" si="9"/>
        <v>BARAMULLA</v>
      </c>
      <c r="I320" s="55" t="s">
        <v>7866</v>
      </c>
      <c r="J320" s="48">
        <v>46023</v>
      </c>
      <c r="K320" s="47">
        <v>7006960324</v>
      </c>
      <c r="L320" s="47" t="s">
        <v>6683</v>
      </c>
      <c r="M320" s="49" t="s">
        <v>8017</v>
      </c>
      <c r="N320" s="48">
        <v>46044</v>
      </c>
      <c r="O320" s="47" t="s">
        <v>23</v>
      </c>
      <c r="P320" s="50">
        <v>46029</v>
      </c>
      <c r="Q320" s="51" t="s">
        <v>6460</v>
      </c>
      <c r="R320" s="47"/>
    </row>
    <row r="321" spans="1:18" x14ac:dyDescent="0.25">
      <c r="A321" s="47">
        <f t="shared" si="8"/>
        <v>320</v>
      </c>
      <c r="B321" s="47" t="s">
        <v>7838</v>
      </c>
      <c r="C321" s="47" t="s">
        <v>7839</v>
      </c>
      <c r="D321" s="47" t="s">
        <v>7840</v>
      </c>
      <c r="E321" s="47" t="s">
        <v>7841</v>
      </c>
      <c r="F321" s="47" t="s">
        <v>31</v>
      </c>
      <c r="G321" s="47" t="s">
        <v>200</v>
      </c>
      <c r="H321" s="47" t="str">
        <f t="shared" si="9"/>
        <v>KULGAM</v>
      </c>
      <c r="I321" s="55" t="s">
        <v>7859</v>
      </c>
      <c r="J321" s="48">
        <v>46023</v>
      </c>
      <c r="K321" s="47">
        <v>7006176206</v>
      </c>
      <c r="L321" s="47" t="s">
        <v>6570</v>
      </c>
      <c r="M321" s="49" t="s">
        <v>7294</v>
      </c>
      <c r="N321" s="48">
        <v>46035</v>
      </c>
      <c r="O321" s="47" t="s">
        <v>23</v>
      </c>
      <c r="P321" s="50">
        <v>46058</v>
      </c>
      <c r="Q321" s="47" t="s">
        <v>6460</v>
      </c>
      <c r="R321" s="47"/>
    </row>
    <row r="322" spans="1:18" x14ac:dyDescent="0.25">
      <c r="A322" s="47">
        <f t="shared" ref="A322:A385" si="10">ROW()-1</f>
        <v>321</v>
      </c>
      <c r="B322" s="47" t="s">
        <v>7946</v>
      </c>
      <c r="C322" s="47" t="s">
        <v>7947</v>
      </c>
      <c r="D322" s="47" t="s">
        <v>7948</v>
      </c>
      <c r="E322" s="47" t="s">
        <v>7949</v>
      </c>
      <c r="F322" s="47" t="s">
        <v>31</v>
      </c>
      <c r="G322" s="47" t="s">
        <v>200</v>
      </c>
      <c r="H322" s="47" t="str">
        <f t="shared" ref="H322:H385" si="11">IF(LEFT(I322,4)="JK13","PULWAMA",IF(LEFT(I322,4)="JK01","SRINAGAR",IF(LEFT(I322,4)="JK04","BUDGAM",IF(LEFT(I322,4)="JK03","ANANTNAG",IF(LEFT(I322,4)="JK05","BARAMULLA",IF(LEFT(I322,4)="26BH","BHARAT",IF(LEFT(I322,4)="25BH","BHARAT",IF(LEFT(I322,4)="JK12","POONCH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</f>
        <v>SRINAGAR</v>
      </c>
      <c r="I322" s="47" t="s">
        <v>8015</v>
      </c>
      <c r="J322" s="48">
        <v>46024</v>
      </c>
      <c r="K322" s="47">
        <v>9419004025</v>
      </c>
      <c r="L322" s="47" t="s">
        <v>6832</v>
      </c>
      <c r="M322" s="49" t="s">
        <v>8236</v>
      </c>
      <c r="N322" s="48">
        <v>46034</v>
      </c>
      <c r="O322" s="47" t="s">
        <v>23</v>
      </c>
      <c r="P322" s="50">
        <v>46026</v>
      </c>
      <c r="Q322" s="47" t="s">
        <v>6460</v>
      </c>
      <c r="R322" s="47"/>
    </row>
    <row r="323" spans="1:18" x14ac:dyDescent="0.25">
      <c r="A323" s="47">
        <f t="shared" si="10"/>
        <v>322</v>
      </c>
      <c r="B323" s="47" t="s">
        <v>7907</v>
      </c>
      <c r="C323" s="47" t="s">
        <v>7908</v>
      </c>
      <c r="D323" s="47" t="s">
        <v>7909</v>
      </c>
      <c r="E323" s="47" t="s">
        <v>7910</v>
      </c>
      <c r="F323" s="47" t="s">
        <v>119</v>
      </c>
      <c r="G323" s="47" t="s">
        <v>200</v>
      </c>
      <c r="H323" s="47" t="str">
        <f t="shared" si="11"/>
        <v>SRINAGAR</v>
      </c>
      <c r="I323" s="47" t="s">
        <v>7924</v>
      </c>
      <c r="J323" s="48">
        <v>46024</v>
      </c>
      <c r="K323" s="47">
        <v>9906786675</v>
      </c>
      <c r="L323" s="47" t="s">
        <v>70</v>
      </c>
      <c r="M323" s="49" t="s">
        <v>7617</v>
      </c>
      <c r="N323" s="48">
        <v>46029</v>
      </c>
      <c r="O323" s="47"/>
      <c r="P323" s="50"/>
      <c r="Q323" s="47"/>
      <c r="R323" s="47"/>
    </row>
    <row r="324" spans="1:18" x14ac:dyDescent="0.25">
      <c r="A324" s="47">
        <f t="shared" si="10"/>
        <v>323</v>
      </c>
      <c r="B324" s="47" t="s">
        <v>7935</v>
      </c>
      <c r="C324" s="47" t="s">
        <v>7927</v>
      </c>
      <c r="D324" s="47" t="s">
        <v>7928</v>
      </c>
      <c r="E324" s="47" t="s">
        <v>7929</v>
      </c>
      <c r="F324" s="47" t="s">
        <v>31</v>
      </c>
      <c r="G324" s="47" t="s">
        <v>199</v>
      </c>
      <c r="H324" s="47" t="str">
        <f t="shared" si="11"/>
        <v>SRINAGAR</v>
      </c>
      <c r="I324" s="47" t="s">
        <v>7936</v>
      </c>
      <c r="J324" s="48">
        <v>46024</v>
      </c>
      <c r="K324" s="47">
        <v>9149695812</v>
      </c>
      <c r="L324" s="47" t="s">
        <v>6521</v>
      </c>
      <c r="M324" s="49" t="s">
        <v>7715</v>
      </c>
      <c r="N324" s="48">
        <v>46050</v>
      </c>
      <c r="O324" s="47"/>
      <c r="P324" s="50"/>
      <c r="Q324" s="47"/>
      <c r="R324" s="47"/>
    </row>
    <row r="325" spans="1:18" x14ac:dyDescent="0.25">
      <c r="A325" s="47">
        <f t="shared" si="10"/>
        <v>324</v>
      </c>
      <c r="B325" s="47" t="s">
        <v>7903</v>
      </c>
      <c r="C325" s="47" t="s">
        <v>7904</v>
      </c>
      <c r="D325" s="47" t="s">
        <v>7905</v>
      </c>
      <c r="E325" s="47" t="s">
        <v>7906</v>
      </c>
      <c r="F325" s="47" t="s">
        <v>100</v>
      </c>
      <c r="G325" s="47" t="s">
        <v>200</v>
      </c>
      <c r="H325" s="47" t="str">
        <f t="shared" si="11"/>
        <v>SRINAGAR</v>
      </c>
      <c r="I325" s="47" t="s">
        <v>7925</v>
      </c>
      <c r="J325" s="48">
        <v>46024</v>
      </c>
      <c r="K325" s="47">
        <v>9906473272</v>
      </c>
      <c r="L325" s="47" t="s">
        <v>70</v>
      </c>
      <c r="M325" s="49" t="s">
        <v>8223</v>
      </c>
      <c r="N325" s="48">
        <v>46025</v>
      </c>
      <c r="O325" s="47"/>
      <c r="P325" s="50"/>
      <c r="Q325" s="47"/>
      <c r="R325" s="47"/>
    </row>
    <row r="326" spans="1:18" x14ac:dyDescent="0.25">
      <c r="A326" s="47">
        <f t="shared" si="10"/>
        <v>325</v>
      </c>
      <c r="B326" s="47" t="s">
        <v>7901</v>
      </c>
      <c r="C326" s="47" t="s">
        <v>7898</v>
      </c>
      <c r="D326" s="47" t="s">
        <v>7899</v>
      </c>
      <c r="E326" s="47" t="s">
        <v>7900</v>
      </c>
      <c r="F326" s="47" t="s">
        <v>119</v>
      </c>
      <c r="G326" s="47" t="s">
        <v>200</v>
      </c>
      <c r="H326" s="47" t="str">
        <f t="shared" si="11"/>
        <v>SRINAGAR</v>
      </c>
      <c r="I326" s="47" t="s">
        <v>7923</v>
      </c>
      <c r="J326" s="48">
        <v>46024</v>
      </c>
      <c r="K326" s="47">
        <v>9149638830</v>
      </c>
      <c r="L326" s="47" t="s">
        <v>2248</v>
      </c>
      <c r="M326" s="49" t="s">
        <v>8164</v>
      </c>
      <c r="N326" s="48">
        <v>46029</v>
      </c>
      <c r="O326" s="47" t="s">
        <v>23</v>
      </c>
      <c r="P326" s="50">
        <v>46029</v>
      </c>
      <c r="Q326" s="47" t="s">
        <v>8167</v>
      </c>
      <c r="R326" s="47"/>
    </row>
    <row r="327" spans="1:18" x14ac:dyDescent="0.25">
      <c r="A327" s="47">
        <f t="shared" si="10"/>
        <v>326</v>
      </c>
      <c r="B327" s="47" t="s">
        <v>7934</v>
      </c>
      <c r="C327" s="47" t="s">
        <v>7930</v>
      </c>
      <c r="D327" s="47" t="s">
        <v>7931</v>
      </c>
      <c r="E327" s="47" t="s">
        <v>7932</v>
      </c>
      <c r="F327" s="47" t="s">
        <v>5</v>
      </c>
      <c r="G327" s="47" t="s">
        <v>200</v>
      </c>
      <c r="H327" s="47" t="str">
        <f t="shared" si="11"/>
        <v>SRINAGAR</v>
      </c>
      <c r="I327" s="47" t="s">
        <v>7933</v>
      </c>
      <c r="J327" s="48">
        <v>46024</v>
      </c>
      <c r="K327" s="47">
        <v>7006197341</v>
      </c>
      <c r="L327" s="47" t="s">
        <v>1126</v>
      </c>
      <c r="M327" s="49" t="s">
        <v>7775</v>
      </c>
      <c r="N327" s="48">
        <v>46028</v>
      </c>
      <c r="O327" s="47" t="s">
        <v>23</v>
      </c>
      <c r="P327" s="50">
        <v>46027</v>
      </c>
      <c r="Q327" s="47" t="s">
        <v>6460</v>
      </c>
      <c r="R327" s="47"/>
    </row>
    <row r="328" spans="1:18" x14ac:dyDescent="0.25">
      <c r="A328" s="47">
        <f t="shared" si="10"/>
        <v>327</v>
      </c>
      <c r="B328" s="47" t="s">
        <v>7942</v>
      </c>
      <c r="C328" s="47" t="s">
        <v>7943</v>
      </c>
      <c r="D328" s="47" t="s">
        <v>7944</v>
      </c>
      <c r="E328" s="47" t="s">
        <v>7945</v>
      </c>
      <c r="F328" s="47" t="s">
        <v>12</v>
      </c>
      <c r="G328" s="47" t="s">
        <v>181</v>
      </c>
      <c r="H328" s="47" t="str">
        <f t="shared" si="11"/>
        <v>SRINAGAR</v>
      </c>
      <c r="I328" s="47" t="s">
        <v>7998</v>
      </c>
      <c r="J328" s="48">
        <v>46024</v>
      </c>
      <c r="K328" s="47">
        <v>9906730950</v>
      </c>
      <c r="L328" s="47" t="s">
        <v>194</v>
      </c>
      <c r="M328" s="49" t="s">
        <v>7595</v>
      </c>
      <c r="N328" s="48">
        <v>46028</v>
      </c>
      <c r="O328" s="47"/>
      <c r="P328" s="50"/>
      <c r="Q328" s="47"/>
      <c r="R328" s="47"/>
    </row>
    <row r="329" spans="1:18" x14ac:dyDescent="0.25">
      <c r="A329" s="47">
        <f t="shared" si="10"/>
        <v>328</v>
      </c>
      <c r="B329" s="47" t="s">
        <v>7915</v>
      </c>
      <c r="C329" s="47" t="s">
        <v>7916</v>
      </c>
      <c r="D329" s="47" t="s">
        <v>7917</v>
      </c>
      <c r="E329" s="47" t="s">
        <v>7918</v>
      </c>
      <c r="F329" s="47" t="s">
        <v>119</v>
      </c>
      <c r="G329" s="47" t="s">
        <v>200</v>
      </c>
      <c r="H329" s="47" t="str">
        <f t="shared" si="11"/>
        <v>ANANTNAG</v>
      </c>
      <c r="I329" s="47" t="s">
        <v>8014</v>
      </c>
      <c r="J329" s="48">
        <v>46024</v>
      </c>
      <c r="K329" s="47">
        <v>9419813697</v>
      </c>
      <c r="L329" s="47" t="s">
        <v>138</v>
      </c>
      <c r="M329" s="49" t="s">
        <v>8323</v>
      </c>
      <c r="N329" s="48">
        <v>46042</v>
      </c>
      <c r="O329" s="47"/>
      <c r="P329" s="50"/>
      <c r="Q329" s="47"/>
      <c r="R329" s="47"/>
    </row>
    <row r="330" spans="1:18" x14ac:dyDescent="0.25">
      <c r="A330" s="47">
        <f t="shared" si="10"/>
        <v>329</v>
      </c>
      <c r="B330" s="47" t="s">
        <v>7897</v>
      </c>
      <c r="C330" s="47" t="s">
        <v>7895</v>
      </c>
      <c r="D330" s="47" t="s">
        <v>7896</v>
      </c>
      <c r="E330" s="47" t="s">
        <v>658</v>
      </c>
      <c r="F330" s="47" t="s">
        <v>119</v>
      </c>
      <c r="G330" s="47" t="s">
        <v>174</v>
      </c>
      <c r="H330" s="47" t="str">
        <f t="shared" si="11"/>
        <v>BARAMULLA</v>
      </c>
      <c r="I330" s="47" t="s">
        <v>7926</v>
      </c>
      <c r="J330" s="48">
        <v>46024</v>
      </c>
      <c r="K330" s="47">
        <v>7006898324</v>
      </c>
      <c r="L330" s="47" t="s">
        <v>2172</v>
      </c>
      <c r="M330" s="49" t="s">
        <v>7716</v>
      </c>
      <c r="N330" s="48">
        <v>46032</v>
      </c>
      <c r="O330" s="47" t="s">
        <v>23</v>
      </c>
      <c r="P330" s="50">
        <v>46029</v>
      </c>
      <c r="Q330" s="47" t="s">
        <v>6460</v>
      </c>
      <c r="R330" s="47"/>
    </row>
    <row r="331" spans="1:18" x14ac:dyDescent="0.25">
      <c r="A331" s="47">
        <f t="shared" si="10"/>
        <v>330</v>
      </c>
      <c r="B331" s="47" t="s">
        <v>7902</v>
      </c>
      <c r="C331" s="47" t="s">
        <v>7919</v>
      </c>
      <c r="D331" s="47" t="s">
        <v>7920</v>
      </c>
      <c r="E331" s="47" t="s">
        <v>7921</v>
      </c>
      <c r="F331" s="47" t="s">
        <v>5</v>
      </c>
      <c r="G331" s="47" t="s">
        <v>199</v>
      </c>
      <c r="H331" s="47" t="str">
        <f t="shared" si="11"/>
        <v>BANDIPORA</v>
      </c>
      <c r="I331" s="47" t="s">
        <v>7922</v>
      </c>
      <c r="J331" s="48">
        <v>46024</v>
      </c>
      <c r="K331" s="47">
        <v>9906605048</v>
      </c>
      <c r="L331" s="47" t="s">
        <v>307</v>
      </c>
      <c r="M331" s="49" t="s">
        <v>8093</v>
      </c>
      <c r="N331" s="48">
        <v>46028</v>
      </c>
      <c r="O331" s="47"/>
      <c r="P331" s="50"/>
      <c r="Q331" s="47"/>
      <c r="R331" s="47"/>
    </row>
    <row r="332" spans="1:18" x14ac:dyDescent="0.25">
      <c r="A332" s="47">
        <f t="shared" si="10"/>
        <v>331</v>
      </c>
      <c r="B332" s="47" t="s">
        <v>7911</v>
      </c>
      <c r="C332" s="47" t="s">
        <v>7912</v>
      </c>
      <c r="D332" s="47" t="s">
        <v>7913</v>
      </c>
      <c r="E332" s="47" t="s">
        <v>7914</v>
      </c>
      <c r="F332" s="47" t="s">
        <v>486</v>
      </c>
      <c r="G332" s="47" t="s">
        <v>199</v>
      </c>
      <c r="H332" s="47" t="str">
        <f t="shared" si="11"/>
        <v>SHOPIAN</v>
      </c>
      <c r="I332" s="47" t="s">
        <v>7955</v>
      </c>
      <c r="J332" s="48">
        <v>46024</v>
      </c>
      <c r="K332" s="47">
        <v>7780943149</v>
      </c>
      <c r="L332" s="47" t="s">
        <v>6570</v>
      </c>
      <c r="M332" s="49" t="s">
        <v>7294</v>
      </c>
      <c r="N332" s="48">
        <v>46035</v>
      </c>
      <c r="O332" s="47"/>
      <c r="P332" s="50"/>
      <c r="Q332" s="47"/>
      <c r="R332" s="47"/>
    </row>
    <row r="333" spans="1:18" x14ac:dyDescent="0.25">
      <c r="A333" s="47">
        <f t="shared" si="10"/>
        <v>332</v>
      </c>
      <c r="B333" s="47" t="s">
        <v>7997</v>
      </c>
      <c r="C333" s="47" t="s">
        <v>7999</v>
      </c>
      <c r="D333" s="47" t="s">
        <v>8000</v>
      </c>
      <c r="E333" s="47" t="s">
        <v>8001</v>
      </c>
      <c r="F333" s="47" t="s">
        <v>125</v>
      </c>
      <c r="G333" s="47" t="s">
        <v>174</v>
      </c>
      <c r="H333" s="47" t="str">
        <f t="shared" si="11"/>
        <v>SRINAGAR</v>
      </c>
      <c r="I333" s="47" t="s">
        <v>8002</v>
      </c>
      <c r="J333" s="48">
        <v>46025</v>
      </c>
      <c r="K333" s="47">
        <v>9419004044</v>
      </c>
      <c r="L333" s="47" t="s">
        <v>48</v>
      </c>
      <c r="M333" s="49" t="s">
        <v>7775</v>
      </c>
      <c r="N333" s="48">
        <v>46032</v>
      </c>
      <c r="O333" s="47"/>
      <c r="P333" s="50"/>
      <c r="Q333" s="47"/>
      <c r="R333" s="47"/>
    </row>
    <row r="334" spans="1:18" x14ac:dyDescent="0.25">
      <c r="A334" s="47">
        <f t="shared" si="10"/>
        <v>333</v>
      </c>
      <c r="B334" s="47" t="s">
        <v>7985</v>
      </c>
      <c r="C334" s="47" t="s">
        <v>7983</v>
      </c>
      <c r="D334" s="47" t="s">
        <v>7984</v>
      </c>
      <c r="E334" s="47" t="s">
        <v>4284</v>
      </c>
      <c r="F334" s="47" t="s">
        <v>193</v>
      </c>
      <c r="G334" s="47" t="s">
        <v>199</v>
      </c>
      <c r="H334" s="47" t="str">
        <f t="shared" si="11"/>
        <v>SRINAGAR</v>
      </c>
      <c r="I334" s="47" t="s">
        <v>7986</v>
      </c>
      <c r="J334" s="48">
        <v>46025</v>
      </c>
      <c r="K334" s="47">
        <v>8899926488</v>
      </c>
      <c r="L334" s="47" t="s">
        <v>106</v>
      </c>
      <c r="M334" s="49" t="s">
        <v>7601</v>
      </c>
      <c r="N334" s="48">
        <v>46027</v>
      </c>
      <c r="O334" s="47" t="s">
        <v>23</v>
      </c>
      <c r="P334" s="50">
        <v>46029</v>
      </c>
      <c r="Q334" s="47" t="s">
        <v>6460</v>
      </c>
      <c r="R334" s="47"/>
    </row>
    <row r="335" spans="1:18" x14ac:dyDescent="0.25">
      <c r="A335" s="47">
        <f t="shared" si="10"/>
        <v>334</v>
      </c>
      <c r="B335" s="47" t="s">
        <v>8003</v>
      </c>
      <c r="C335" s="47" t="s">
        <v>8004</v>
      </c>
      <c r="D335" s="47" t="s">
        <v>8005</v>
      </c>
      <c r="E335" s="47" t="s">
        <v>8006</v>
      </c>
      <c r="F335" s="47" t="s">
        <v>31</v>
      </c>
      <c r="G335" s="47" t="s">
        <v>199</v>
      </c>
      <c r="H335" s="47" t="str">
        <f t="shared" si="11"/>
        <v>SRINAGAR</v>
      </c>
      <c r="I335" s="47" t="s">
        <v>8007</v>
      </c>
      <c r="J335" s="48">
        <v>46025</v>
      </c>
      <c r="K335" s="47">
        <v>7889441591</v>
      </c>
      <c r="L335" s="47" t="s">
        <v>110</v>
      </c>
      <c r="M335" s="49" t="s">
        <v>8811</v>
      </c>
      <c r="N335" s="48">
        <v>46031</v>
      </c>
      <c r="O335" s="47" t="s">
        <v>23</v>
      </c>
      <c r="P335" s="50">
        <v>46029</v>
      </c>
      <c r="Q335" s="47" t="s">
        <v>6460</v>
      </c>
      <c r="R335" s="47"/>
    </row>
    <row r="336" spans="1:18" x14ac:dyDescent="0.25">
      <c r="A336" s="47">
        <f t="shared" si="10"/>
        <v>335</v>
      </c>
      <c r="B336" s="47" t="s">
        <v>7977</v>
      </c>
      <c r="C336" s="47" t="s">
        <v>7971</v>
      </c>
      <c r="D336" s="47" t="s">
        <v>7972</v>
      </c>
      <c r="E336" s="47" t="s">
        <v>7973</v>
      </c>
      <c r="F336" s="47" t="s">
        <v>7974</v>
      </c>
      <c r="G336" s="47" t="s">
        <v>200</v>
      </c>
      <c r="H336" s="47" t="str">
        <f t="shared" si="11"/>
        <v>SRINAGAR</v>
      </c>
      <c r="I336" s="47" t="s">
        <v>7975</v>
      </c>
      <c r="J336" s="48">
        <v>46025</v>
      </c>
      <c r="K336" s="47">
        <v>9149592772</v>
      </c>
      <c r="L336" s="47" t="s">
        <v>194</v>
      </c>
      <c r="M336" s="49" t="s">
        <v>7595</v>
      </c>
      <c r="N336" s="48">
        <v>46028</v>
      </c>
      <c r="O336" s="47" t="s">
        <v>23</v>
      </c>
      <c r="P336" s="50">
        <v>46029</v>
      </c>
      <c r="Q336" s="47" t="s">
        <v>6460</v>
      </c>
      <c r="R336" s="47"/>
    </row>
    <row r="337" spans="1:18" x14ac:dyDescent="0.25">
      <c r="A337" s="47">
        <f t="shared" si="10"/>
        <v>336</v>
      </c>
      <c r="B337" s="47" t="s">
        <v>7996</v>
      </c>
      <c r="C337" s="47" t="s">
        <v>7992</v>
      </c>
      <c r="D337" s="47" t="s">
        <v>7993</v>
      </c>
      <c r="E337" s="47" t="s">
        <v>7994</v>
      </c>
      <c r="F337" s="47" t="s">
        <v>31</v>
      </c>
      <c r="G337" s="47" t="s">
        <v>175</v>
      </c>
      <c r="H337" s="47" t="str">
        <f t="shared" si="11"/>
        <v>SRINAGAR</v>
      </c>
      <c r="I337" s="47" t="s">
        <v>7995</v>
      </c>
      <c r="J337" s="48">
        <v>46025</v>
      </c>
      <c r="K337" s="47">
        <v>9906863125</v>
      </c>
      <c r="L337" s="47" t="s">
        <v>2172</v>
      </c>
      <c r="M337" s="49" t="s">
        <v>7714</v>
      </c>
      <c r="N337" s="48">
        <v>46028</v>
      </c>
      <c r="O337" s="47"/>
      <c r="P337" s="50"/>
      <c r="Q337" s="47"/>
      <c r="R337" s="47"/>
    </row>
    <row r="338" spans="1:18" x14ac:dyDescent="0.25">
      <c r="A338" s="47">
        <f t="shared" si="10"/>
        <v>337</v>
      </c>
      <c r="B338" s="47" t="s">
        <v>7990</v>
      </c>
      <c r="C338" s="47" t="s">
        <v>7987</v>
      </c>
      <c r="D338" s="47" t="s">
        <v>7988</v>
      </c>
      <c r="E338" s="47" t="s">
        <v>7989</v>
      </c>
      <c r="F338" s="47" t="s">
        <v>31</v>
      </c>
      <c r="G338" s="47" t="s">
        <v>175</v>
      </c>
      <c r="H338" s="47" t="str">
        <f t="shared" si="11"/>
        <v>SRINAGAR</v>
      </c>
      <c r="I338" s="47" t="s">
        <v>7991</v>
      </c>
      <c r="J338" s="48">
        <v>46025</v>
      </c>
      <c r="K338" s="47">
        <v>9596382727</v>
      </c>
      <c r="L338" s="47" t="s">
        <v>106</v>
      </c>
      <c r="M338" s="49" t="s">
        <v>7601</v>
      </c>
      <c r="N338" s="48">
        <v>46027</v>
      </c>
      <c r="O338" s="47" t="s">
        <v>23</v>
      </c>
      <c r="P338" s="50">
        <v>46029</v>
      </c>
      <c r="Q338" s="47" t="s">
        <v>6460</v>
      </c>
      <c r="R338" s="47"/>
    </row>
    <row r="339" spans="1:18" x14ac:dyDescent="0.25">
      <c r="A339" s="47">
        <f t="shared" si="10"/>
        <v>338</v>
      </c>
      <c r="B339" s="47" t="s">
        <v>7981</v>
      </c>
      <c r="C339" s="47" t="s">
        <v>7978</v>
      </c>
      <c r="D339" s="47" t="s">
        <v>7979</v>
      </c>
      <c r="E339" s="47" t="s">
        <v>7980</v>
      </c>
      <c r="F339" s="47" t="s">
        <v>290</v>
      </c>
      <c r="G339" s="47" t="s">
        <v>200</v>
      </c>
      <c r="H339" s="47" t="str">
        <f t="shared" si="11"/>
        <v>SRINAGAR</v>
      </c>
      <c r="I339" s="47" t="s">
        <v>7982</v>
      </c>
      <c r="J339" s="48">
        <v>46025</v>
      </c>
      <c r="K339" s="47">
        <v>9149592772</v>
      </c>
      <c r="L339" s="47" t="s">
        <v>48</v>
      </c>
      <c r="M339" s="49" t="s">
        <v>7773</v>
      </c>
      <c r="N339" s="48">
        <v>46027</v>
      </c>
      <c r="O339" s="47" t="s">
        <v>23</v>
      </c>
      <c r="P339" s="50">
        <v>46055</v>
      </c>
      <c r="Q339" s="47" t="s">
        <v>6460</v>
      </c>
      <c r="R339" s="47"/>
    </row>
    <row r="340" spans="1:18" x14ac:dyDescent="0.25">
      <c r="A340" s="47">
        <f t="shared" si="10"/>
        <v>339</v>
      </c>
      <c r="B340" s="47" t="s">
        <v>8008</v>
      </c>
      <c r="C340" s="47" t="s">
        <v>8009</v>
      </c>
      <c r="D340" s="47" t="s">
        <v>8011</v>
      </c>
      <c r="E340" s="47" t="s">
        <v>8010</v>
      </c>
      <c r="F340" s="47" t="s">
        <v>119</v>
      </c>
      <c r="G340" s="47" t="s">
        <v>174</v>
      </c>
      <c r="H340" s="47" t="str">
        <f t="shared" si="11"/>
        <v>SRINAGAR</v>
      </c>
      <c r="I340" s="47" t="s">
        <v>8012</v>
      </c>
      <c r="J340" s="48">
        <v>46025</v>
      </c>
      <c r="K340" s="47">
        <v>7006441266</v>
      </c>
      <c r="L340" s="47" t="s">
        <v>43</v>
      </c>
      <c r="M340" s="49" t="s">
        <v>7617</v>
      </c>
      <c r="N340" s="48">
        <v>46029</v>
      </c>
      <c r="O340" s="47" t="s">
        <v>23</v>
      </c>
      <c r="P340" s="50">
        <v>46029</v>
      </c>
      <c r="Q340" s="47" t="s">
        <v>6460</v>
      </c>
      <c r="R340" s="47"/>
    </row>
    <row r="341" spans="1:18" x14ac:dyDescent="0.25">
      <c r="A341" s="47">
        <f t="shared" si="10"/>
        <v>340</v>
      </c>
      <c r="B341" s="47" t="s">
        <v>8026</v>
      </c>
      <c r="C341" s="47" t="s">
        <v>8027</v>
      </c>
      <c r="D341" s="47" t="s">
        <v>8028</v>
      </c>
      <c r="E341" s="47" t="s">
        <v>8029</v>
      </c>
      <c r="F341" s="47" t="s">
        <v>1686</v>
      </c>
      <c r="G341" s="47" t="s">
        <v>199</v>
      </c>
      <c r="H341" s="47" t="str">
        <f t="shared" si="11"/>
        <v>SRINAGAR</v>
      </c>
      <c r="I341" s="47" t="s">
        <v>8031</v>
      </c>
      <c r="J341" s="48">
        <v>46025</v>
      </c>
      <c r="K341" s="47">
        <v>7051417712</v>
      </c>
      <c r="L341" s="47" t="s">
        <v>6451</v>
      </c>
      <c r="M341" s="49" t="s">
        <v>8239</v>
      </c>
      <c r="N341" s="48">
        <v>46032</v>
      </c>
      <c r="O341" s="47"/>
      <c r="P341" s="50"/>
      <c r="Q341" s="47"/>
      <c r="R341" s="47"/>
    </row>
    <row r="342" spans="1:18" x14ac:dyDescent="0.25">
      <c r="A342" s="47">
        <f t="shared" si="10"/>
        <v>341</v>
      </c>
      <c r="B342" s="47" t="s">
        <v>8018</v>
      </c>
      <c r="C342" s="47" t="s">
        <v>8019</v>
      </c>
      <c r="D342" s="47" t="s">
        <v>8020</v>
      </c>
      <c r="E342" s="47" t="s">
        <v>5417</v>
      </c>
      <c r="F342" s="47" t="s">
        <v>12</v>
      </c>
      <c r="G342" s="47" t="s">
        <v>181</v>
      </c>
      <c r="H342" s="47" t="str">
        <f t="shared" si="11"/>
        <v>ANANTNAG</v>
      </c>
      <c r="I342" s="47" t="s">
        <v>8030</v>
      </c>
      <c r="J342" s="48">
        <v>46025</v>
      </c>
      <c r="K342" s="47">
        <v>7889730611</v>
      </c>
      <c r="L342" s="47" t="s">
        <v>6540</v>
      </c>
      <c r="M342" s="49" t="s">
        <v>7616</v>
      </c>
      <c r="N342" s="48">
        <v>46034</v>
      </c>
      <c r="O342" s="47"/>
      <c r="P342" s="50"/>
      <c r="Q342" s="47"/>
      <c r="R342" s="47"/>
    </row>
    <row r="343" spans="1:18" x14ac:dyDescent="0.25">
      <c r="A343" s="47">
        <f t="shared" si="10"/>
        <v>342</v>
      </c>
      <c r="B343" s="47" t="s">
        <v>8024</v>
      </c>
      <c r="C343" s="47" t="s">
        <v>8021</v>
      </c>
      <c r="D343" s="47" t="s">
        <v>8022</v>
      </c>
      <c r="E343" s="47" t="s">
        <v>8023</v>
      </c>
      <c r="F343" s="47" t="s">
        <v>12</v>
      </c>
      <c r="G343" s="47" t="s">
        <v>200</v>
      </c>
      <c r="H343" s="47" t="str">
        <f t="shared" si="11"/>
        <v>KUPWARA</v>
      </c>
      <c r="I343" s="47" t="s">
        <v>8025</v>
      </c>
      <c r="J343" s="48">
        <v>46025</v>
      </c>
      <c r="K343" s="47">
        <v>6005210447</v>
      </c>
      <c r="L343" s="47" t="s">
        <v>2248</v>
      </c>
      <c r="M343" s="49" t="s">
        <v>7617</v>
      </c>
      <c r="N343" s="48">
        <v>46028</v>
      </c>
      <c r="O343" s="47"/>
      <c r="P343" s="50"/>
      <c r="Q343" s="47"/>
      <c r="R343" s="47"/>
    </row>
    <row r="344" spans="1:18" x14ac:dyDescent="0.25">
      <c r="A344" s="47">
        <f t="shared" si="10"/>
        <v>343</v>
      </c>
      <c r="B344" s="47" t="s">
        <v>7965</v>
      </c>
      <c r="C344" s="47" t="s">
        <v>7962</v>
      </c>
      <c r="D344" s="47" t="s">
        <v>7963</v>
      </c>
      <c r="E344" s="47" t="s">
        <v>7964</v>
      </c>
      <c r="F344" s="47" t="s">
        <v>119</v>
      </c>
      <c r="G344" s="47" t="s">
        <v>200</v>
      </c>
      <c r="H344" s="47" t="str">
        <f t="shared" si="11"/>
        <v>PULWAMA</v>
      </c>
      <c r="I344" s="47" t="s">
        <v>7966</v>
      </c>
      <c r="J344" s="48">
        <v>46025</v>
      </c>
      <c r="K344" s="47">
        <v>7006861153</v>
      </c>
      <c r="L344" s="47" t="s">
        <v>6521</v>
      </c>
      <c r="M344" s="49" t="s">
        <v>7672</v>
      </c>
      <c r="N344" s="48">
        <v>46030</v>
      </c>
      <c r="O344" s="47"/>
      <c r="P344" s="50"/>
      <c r="Q344" s="47"/>
      <c r="R344" s="47"/>
    </row>
    <row r="345" spans="1:18" x14ac:dyDescent="0.25">
      <c r="A345" s="47">
        <f t="shared" si="10"/>
        <v>344</v>
      </c>
      <c r="B345" s="47" t="s">
        <v>7961</v>
      </c>
      <c r="C345" s="47" t="s">
        <v>7956</v>
      </c>
      <c r="D345" s="47" t="s">
        <v>7957</v>
      </c>
      <c r="E345" s="47" t="s">
        <v>7958</v>
      </c>
      <c r="F345" s="47" t="s">
        <v>119</v>
      </c>
      <c r="G345" s="47" t="s">
        <v>200</v>
      </c>
      <c r="H345" s="47" t="str">
        <f t="shared" si="11"/>
        <v>PULWAMA</v>
      </c>
      <c r="I345" s="47" t="s">
        <v>7960</v>
      </c>
      <c r="J345" s="48">
        <v>46025</v>
      </c>
      <c r="K345" s="47">
        <v>9682505719</v>
      </c>
      <c r="L345" s="47" t="s">
        <v>7959</v>
      </c>
      <c r="M345" s="49" t="s">
        <v>7294</v>
      </c>
      <c r="N345" s="48">
        <v>46035</v>
      </c>
      <c r="O345" s="47"/>
      <c r="P345" s="50"/>
      <c r="Q345" s="47"/>
      <c r="R345" s="47"/>
    </row>
    <row r="346" spans="1:18" x14ac:dyDescent="0.25">
      <c r="A346" s="47">
        <f t="shared" si="10"/>
        <v>345</v>
      </c>
      <c r="B346" s="47" t="s">
        <v>7970</v>
      </c>
      <c r="C346" s="47" t="s">
        <v>7967</v>
      </c>
      <c r="D346" s="47" t="s">
        <v>7968</v>
      </c>
      <c r="E346" s="47" t="s">
        <v>7969</v>
      </c>
      <c r="F346" s="47" t="s">
        <v>5</v>
      </c>
      <c r="G346" s="47" t="s">
        <v>199</v>
      </c>
      <c r="H346" s="47" t="str">
        <f t="shared" si="11"/>
        <v>SHOPIAN</v>
      </c>
      <c r="I346" s="47" t="s">
        <v>7976</v>
      </c>
      <c r="J346" s="48">
        <v>46025</v>
      </c>
      <c r="K346" s="47">
        <v>9103275011</v>
      </c>
      <c r="L346" s="47" t="s">
        <v>6570</v>
      </c>
      <c r="M346" s="49" t="s">
        <v>7294</v>
      </c>
      <c r="N346" s="48">
        <v>46034</v>
      </c>
      <c r="O346" s="47"/>
      <c r="P346" s="50"/>
      <c r="Q346" s="47"/>
      <c r="R346" s="47"/>
    </row>
    <row r="347" spans="1:18" x14ac:dyDescent="0.25">
      <c r="A347" s="47">
        <f t="shared" si="10"/>
        <v>346</v>
      </c>
      <c r="B347" s="47" t="s">
        <v>7950</v>
      </c>
      <c r="C347" s="47" t="s">
        <v>7951</v>
      </c>
      <c r="D347" s="47" t="s">
        <v>7952</v>
      </c>
      <c r="E347" s="47" t="s">
        <v>7953</v>
      </c>
      <c r="F347" s="47" t="s">
        <v>5</v>
      </c>
      <c r="G347" s="47" t="s">
        <v>199</v>
      </c>
      <c r="H347" s="47" t="str">
        <f t="shared" si="11"/>
        <v>SHOPIAN</v>
      </c>
      <c r="I347" s="48" t="s">
        <v>8013</v>
      </c>
      <c r="J347" s="48">
        <v>46025</v>
      </c>
      <c r="K347" s="47">
        <v>7006820710</v>
      </c>
      <c r="L347" s="47" t="s">
        <v>6570</v>
      </c>
      <c r="M347" s="49" t="s">
        <v>7294</v>
      </c>
      <c r="N347" s="48">
        <v>46347</v>
      </c>
      <c r="O347" s="47"/>
      <c r="P347" s="50"/>
      <c r="Q347" s="47"/>
      <c r="R347" s="47"/>
    </row>
    <row r="348" spans="1:18" x14ac:dyDescent="0.25">
      <c r="A348" s="47">
        <f t="shared" si="10"/>
        <v>347</v>
      </c>
      <c r="B348" s="47" t="s">
        <v>8720</v>
      </c>
      <c r="C348" s="47" t="s">
        <v>8715</v>
      </c>
      <c r="D348" s="47" t="s">
        <v>8716</v>
      </c>
      <c r="E348" s="47" t="s">
        <v>8717</v>
      </c>
      <c r="F348" s="47" t="s">
        <v>238</v>
      </c>
      <c r="G348" s="47" t="s">
        <v>200</v>
      </c>
      <c r="H348" s="47" t="str">
        <f t="shared" si="11"/>
        <v>KARGIL</v>
      </c>
      <c r="I348" s="47" t="s">
        <v>8718</v>
      </c>
      <c r="J348" s="48">
        <v>46026</v>
      </c>
      <c r="K348" s="47">
        <v>9622719060</v>
      </c>
      <c r="L348" s="47" t="s">
        <v>8719</v>
      </c>
      <c r="M348" s="49"/>
      <c r="N348" s="48"/>
      <c r="O348" s="47"/>
      <c r="P348" s="50"/>
      <c r="Q348" s="47"/>
      <c r="R348" s="47"/>
    </row>
    <row r="349" spans="1:18" x14ac:dyDescent="0.25">
      <c r="A349" s="47">
        <f t="shared" si="10"/>
        <v>348</v>
      </c>
      <c r="B349" s="47" t="s">
        <v>8079</v>
      </c>
      <c r="C349" s="47" t="s">
        <v>8076</v>
      </c>
      <c r="D349" s="47" t="s">
        <v>8077</v>
      </c>
      <c r="E349" s="47" t="s">
        <v>8078</v>
      </c>
      <c r="F349" s="47" t="s">
        <v>37</v>
      </c>
      <c r="G349" s="47" t="s">
        <v>199</v>
      </c>
      <c r="H349" s="47" t="str">
        <f t="shared" si="11"/>
        <v>BHARAT</v>
      </c>
      <c r="I349" s="47" t="s">
        <v>8131</v>
      </c>
      <c r="J349" s="48">
        <v>46027</v>
      </c>
      <c r="K349" s="47">
        <v>9086008167</v>
      </c>
      <c r="L349" s="47" t="s">
        <v>26</v>
      </c>
      <c r="M349" s="49"/>
      <c r="N349" s="48"/>
      <c r="O349" s="47"/>
      <c r="P349" s="50"/>
      <c r="Q349" s="47"/>
      <c r="R349" s="47"/>
    </row>
    <row r="350" spans="1:18" x14ac:dyDescent="0.25">
      <c r="A350" s="47">
        <f t="shared" si="10"/>
        <v>349</v>
      </c>
      <c r="B350" s="47" t="s">
        <v>8050</v>
      </c>
      <c r="C350" s="47" t="s">
        <v>8051</v>
      </c>
      <c r="D350" s="47" t="s">
        <v>8052</v>
      </c>
      <c r="E350" s="47" t="s">
        <v>8053</v>
      </c>
      <c r="F350" s="47" t="s">
        <v>8054</v>
      </c>
      <c r="G350" s="47" t="s">
        <v>226</v>
      </c>
      <c r="H350" s="47" t="str">
        <f t="shared" si="11"/>
        <v>SRINAGAR</v>
      </c>
      <c r="I350" s="47" t="s">
        <v>8089</v>
      </c>
      <c r="J350" s="48">
        <v>46027</v>
      </c>
      <c r="K350" s="47">
        <v>9797897619</v>
      </c>
      <c r="L350" s="47" t="s">
        <v>26</v>
      </c>
      <c r="M350" s="49" t="s">
        <v>7455</v>
      </c>
      <c r="N350" s="48">
        <v>46028</v>
      </c>
      <c r="O350" s="47"/>
      <c r="P350" s="50"/>
      <c r="Q350" s="47"/>
      <c r="R350" s="47"/>
    </row>
    <row r="351" spans="1:18" x14ac:dyDescent="0.25">
      <c r="A351" s="47">
        <f t="shared" si="10"/>
        <v>350</v>
      </c>
      <c r="B351" s="47" t="s">
        <v>8059</v>
      </c>
      <c r="C351" s="47" t="s">
        <v>8060</v>
      </c>
      <c r="D351" s="47" t="s">
        <v>8061</v>
      </c>
      <c r="E351" s="47" t="s">
        <v>8062</v>
      </c>
      <c r="F351" s="47" t="s">
        <v>31</v>
      </c>
      <c r="G351" s="47" t="s">
        <v>221</v>
      </c>
      <c r="H351" s="47" t="str">
        <f t="shared" si="11"/>
        <v>SRINAGAR</v>
      </c>
      <c r="I351" s="47" t="s">
        <v>8086</v>
      </c>
      <c r="J351" s="48">
        <v>46027</v>
      </c>
      <c r="K351" s="47">
        <v>9070599346</v>
      </c>
      <c r="L351" s="47" t="s">
        <v>166</v>
      </c>
      <c r="M351" s="49" t="s">
        <v>7672</v>
      </c>
      <c r="N351" s="48">
        <v>46030</v>
      </c>
      <c r="O351" s="47" t="s">
        <v>23</v>
      </c>
      <c r="P351" s="50">
        <v>46027</v>
      </c>
      <c r="Q351" s="47" t="s">
        <v>6460</v>
      </c>
      <c r="R351" s="47"/>
    </row>
    <row r="352" spans="1:18" x14ac:dyDescent="0.25">
      <c r="A352" s="47">
        <f t="shared" si="10"/>
        <v>351</v>
      </c>
      <c r="B352" s="47" t="s">
        <v>8046</v>
      </c>
      <c r="C352" s="47" t="s">
        <v>8047</v>
      </c>
      <c r="D352" s="47" t="s">
        <v>8048</v>
      </c>
      <c r="E352" s="47" t="s">
        <v>8049</v>
      </c>
      <c r="F352" s="47" t="s">
        <v>119</v>
      </c>
      <c r="G352" s="47" t="s">
        <v>175</v>
      </c>
      <c r="H352" s="47" t="str">
        <f t="shared" si="11"/>
        <v>SRINAGAR</v>
      </c>
      <c r="I352" s="47" t="s">
        <v>8090</v>
      </c>
      <c r="J352" s="48">
        <v>46027</v>
      </c>
      <c r="K352" s="47">
        <v>9070111588</v>
      </c>
      <c r="L352" s="47" t="s">
        <v>194</v>
      </c>
      <c r="M352" s="49" t="s">
        <v>7595</v>
      </c>
      <c r="N352" s="48">
        <v>46029</v>
      </c>
      <c r="O352" s="47" t="s">
        <v>23</v>
      </c>
      <c r="P352" s="50">
        <v>46027</v>
      </c>
      <c r="Q352" s="47" t="s">
        <v>6460</v>
      </c>
      <c r="R352" s="47"/>
    </row>
    <row r="353" spans="1:18" x14ac:dyDescent="0.25">
      <c r="A353" s="47">
        <f t="shared" si="10"/>
        <v>352</v>
      </c>
      <c r="B353" s="47" t="s">
        <v>8045</v>
      </c>
      <c r="C353" s="47" t="s">
        <v>8042</v>
      </c>
      <c r="D353" s="47" t="s">
        <v>8043</v>
      </c>
      <c r="E353" s="47" t="s">
        <v>8044</v>
      </c>
      <c r="F353" s="47" t="s">
        <v>31</v>
      </c>
      <c r="G353" s="47" t="s">
        <v>199</v>
      </c>
      <c r="H353" s="47" t="str">
        <f t="shared" si="11"/>
        <v>JAMMU</v>
      </c>
      <c r="I353" s="47" t="s">
        <v>8085</v>
      </c>
      <c r="J353" s="48">
        <v>46027</v>
      </c>
      <c r="K353" s="47">
        <v>9906284454</v>
      </c>
      <c r="L353" s="47" t="s">
        <v>2172</v>
      </c>
      <c r="M353" s="49" t="s">
        <v>8164</v>
      </c>
      <c r="N353" s="48">
        <v>46029</v>
      </c>
      <c r="O353" s="47" t="s">
        <v>23</v>
      </c>
      <c r="P353" s="50">
        <v>46029</v>
      </c>
      <c r="Q353" s="47" t="s">
        <v>6460</v>
      </c>
      <c r="R353" s="47"/>
    </row>
    <row r="354" spans="1:18" x14ac:dyDescent="0.25">
      <c r="A354" s="47">
        <f t="shared" si="10"/>
        <v>353</v>
      </c>
      <c r="B354" s="47" t="s">
        <v>8034</v>
      </c>
      <c r="C354" s="47" t="s">
        <v>8032</v>
      </c>
      <c r="D354" s="47" t="s">
        <v>8033</v>
      </c>
      <c r="E354" s="47" t="s">
        <v>6433</v>
      </c>
      <c r="F354" s="47" t="s">
        <v>7401</v>
      </c>
      <c r="G354" s="47" t="s">
        <v>200</v>
      </c>
      <c r="H354" s="47" t="str">
        <f t="shared" si="11"/>
        <v>BARAMULLA</v>
      </c>
      <c r="I354" s="47" t="s">
        <v>8080</v>
      </c>
      <c r="J354" s="48">
        <v>46027</v>
      </c>
      <c r="K354" s="47">
        <v>7298545112</v>
      </c>
      <c r="L354" s="47" t="s">
        <v>26</v>
      </c>
      <c r="M354" s="49" t="s">
        <v>7616</v>
      </c>
      <c r="N354" s="48">
        <v>46036</v>
      </c>
      <c r="O354" s="47" t="s">
        <v>23</v>
      </c>
      <c r="P354" s="50">
        <v>46036</v>
      </c>
      <c r="Q354" s="47" t="s">
        <v>6460</v>
      </c>
      <c r="R354" s="47"/>
    </row>
    <row r="355" spans="1:18" x14ac:dyDescent="0.25">
      <c r="A355" s="47">
        <f t="shared" si="10"/>
        <v>354</v>
      </c>
      <c r="B355" s="47" t="s">
        <v>8041</v>
      </c>
      <c r="C355" s="47" t="s">
        <v>8039</v>
      </c>
      <c r="D355" s="47" t="s">
        <v>8040</v>
      </c>
      <c r="E355" s="47" t="s">
        <v>556</v>
      </c>
      <c r="F355" s="47" t="s">
        <v>119</v>
      </c>
      <c r="G355" s="47" t="s">
        <v>200</v>
      </c>
      <c r="H355" s="47" t="str">
        <f t="shared" si="11"/>
        <v>PULWAMA</v>
      </c>
      <c r="I355" s="47" t="s">
        <v>8082</v>
      </c>
      <c r="J355" s="48">
        <v>46027</v>
      </c>
      <c r="K355" s="47">
        <v>7780961447</v>
      </c>
      <c r="L355" s="47" t="s">
        <v>6521</v>
      </c>
      <c r="M355" s="49" t="s">
        <v>7715</v>
      </c>
      <c r="N355" s="48">
        <v>46041</v>
      </c>
      <c r="O355" s="47"/>
      <c r="P355" s="50"/>
      <c r="Q355" s="47"/>
      <c r="R355" s="47"/>
    </row>
    <row r="356" spans="1:18" x14ac:dyDescent="0.25">
      <c r="A356" s="47">
        <f t="shared" si="10"/>
        <v>355</v>
      </c>
      <c r="B356" s="47" t="s">
        <v>8067</v>
      </c>
      <c r="C356" s="47" t="s">
        <v>8068</v>
      </c>
      <c r="D356" s="47" t="s">
        <v>8069</v>
      </c>
      <c r="E356" s="47" t="s">
        <v>8070</v>
      </c>
      <c r="F356" s="47" t="s">
        <v>5</v>
      </c>
      <c r="G356" s="47" t="s">
        <v>200</v>
      </c>
      <c r="H356" s="47" t="str">
        <f t="shared" si="11"/>
        <v>PULWAMA</v>
      </c>
      <c r="I356" s="47" t="s">
        <v>8084</v>
      </c>
      <c r="J356" s="48">
        <v>46027</v>
      </c>
      <c r="K356" s="47">
        <v>9419278824</v>
      </c>
      <c r="L356" s="47" t="s">
        <v>6521</v>
      </c>
      <c r="M356" s="49" t="s">
        <v>8617</v>
      </c>
      <c r="N356" s="48">
        <v>46057</v>
      </c>
      <c r="O356" s="47"/>
      <c r="P356" s="50"/>
      <c r="Q356" s="47"/>
      <c r="R356" s="47" t="s">
        <v>8092</v>
      </c>
    </row>
    <row r="357" spans="1:18" x14ac:dyDescent="0.25">
      <c r="A357" s="47">
        <f t="shared" si="10"/>
        <v>356</v>
      </c>
      <c r="B357" s="47" t="s">
        <v>8058</v>
      </c>
      <c r="C357" s="47" t="s">
        <v>8055</v>
      </c>
      <c r="D357" s="47" t="s">
        <v>8056</v>
      </c>
      <c r="E357" s="47" t="s">
        <v>8057</v>
      </c>
      <c r="F357" s="47" t="s">
        <v>12</v>
      </c>
      <c r="G357" s="47" t="s">
        <v>200</v>
      </c>
      <c r="H357" s="47" t="str">
        <f t="shared" si="11"/>
        <v>PULWAMA</v>
      </c>
      <c r="I357" s="47" t="s">
        <v>8083</v>
      </c>
      <c r="J357" s="48">
        <v>46027</v>
      </c>
      <c r="K357" s="47">
        <v>7298487838</v>
      </c>
      <c r="L357" s="47" t="s">
        <v>6521</v>
      </c>
      <c r="M357" s="49" t="s">
        <v>7715</v>
      </c>
      <c r="N357" s="48">
        <v>46050</v>
      </c>
      <c r="O357" s="47"/>
      <c r="P357" s="50"/>
      <c r="Q357" s="47"/>
      <c r="R357" s="47"/>
    </row>
    <row r="358" spans="1:18" x14ac:dyDescent="0.25">
      <c r="A358" s="47">
        <f t="shared" si="10"/>
        <v>357</v>
      </c>
      <c r="B358" s="47" t="s">
        <v>8071</v>
      </c>
      <c r="C358" s="47" t="s">
        <v>8072</v>
      </c>
      <c r="D358" s="47" t="s">
        <v>8073</v>
      </c>
      <c r="E358" s="47" t="s">
        <v>8074</v>
      </c>
      <c r="F358" s="47" t="s">
        <v>31</v>
      </c>
      <c r="G358" s="47" t="s">
        <v>199</v>
      </c>
      <c r="H358" s="47" t="str">
        <f t="shared" si="11"/>
        <v>KISHTWAR</v>
      </c>
      <c r="I358" s="47" t="s">
        <v>8087</v>
      </c>
      <c r="J358" s="48">
        <v>46027</v>
      </c>
      <c r="K358" s="47">
        <v>6005254071</v>
      </c>
      <c r="L358" s="47" t="s">
        <v>194</v>
      </c>
      <c r="M358" s="49" t="s">
        <v>7595</v>
      </c>
      <c r="N358" s="48">
        <v>46029</v>
      </c>
      <c r="O358" s="47" t="s">
        <v>23</v>
      </c>
      <c r="P358" s="50">
        <v>46029</v>
      </c>
      <c r="Q358" s="47" t="s">
        <v>6460</v>
      </c>
      <c r="R358" s="47"/>
    </row>
    <row r="359" spans="1:18" x14ac:dyDescent="0.25">
      <c r="A359" s="47">
        <f t="shared" si="10"/>
        <v>358</v>
      </c>
      <c r="B359" s="47" t="s">
        <v>8063</v>
      </c>
      <c r="C359" s="47" t="s">
        <v>8064</v>
      </c>
      <c r="D359" s="47" t="s">
        <v>8065</v>
      </c>
      <c r="E359" s="47" t="s">
        <v>8066</v>
      </c>
      <c r="F359" s="47" t="s">
        <v>119</v>
      </c>
      <c r="G359" s="47" t="s">
        <v>200</v>
      </c>
      <c r="H359" s="47" t="str">
        <f t="shared" si="11"/>
        <v>SHOPIAN</v>
      </c>
      <c r="I359" s="47" t="s">
        <v>8088</v>
      </c>
      <c r="J359" s="48">
        <v>46027</v>
      </c>
      <c r="K359" s="47">
        <v>9797071432</v>
      </c>
      <c r="L359" s="47" t="s">
        <v>6540</v>
      </c>
      <c r="M359" s="49" t="s">
        <v>7616</v>
      </c>
      <c r="N359" s="48">
        <v>46034</v>
      </c>
      <c r="O359" s="47" t="s">
        <v>23</v>
      </c>
      <c r="P359" s="50">
        <v>46028</v>
      </c>
      <c r="Q359" s="47" t="s">
        <v>6460</v>
      </c>
      <c r="R359" s="47" t="s">
        <v>8123</v>
      </c>
    </row>
    <row r="360" spans="1:18" x14ac:dyDescent="0.25">
      <c r="A360" s="47">
        <f t="shared" si="10"/>
        <v>359</v>
      </c>
      <c r="B360" s="47" t="s">
        <v>8038</v>
      </c>
      <c r="C360" s="47" t="s">
        <v>8035</v>
      </c>
      <c r="D360" s="47" t="s">
        <v>8036</v>
      </c>
      <c r="E360" s="47" t="s">
        <v>8037</v>
      </c>
      <c r="F360" s="47" t="s">
        <v>102</v>
      </c>
      <c r="G360" s="47" t="s">
        <v>181</v>
      </c>
      <c r="H360" s="47" t="str">
        <f t="shared" si="11"/>
        <v>TEMP</v>
      </c>
      <c r="I360" s="47" t="s">
        <v>8081</v>
      </c>
      <c r="J360" s="48">
        <v>46027</v>
      </c>
      <c r="K360" s="47">
        <v>9999315031</v>
      </c>
      <c r="L360" s="47" t="s">
        <v>61</v>
      </c>
      <c r="M360" s="49"/>
      <c r="N360" s="48"/>
      <c r="O360" s="47"/>
      <c r="P360" s="50"/>
      <c r="Q360" s="47"/>
      <c r="R360" s="47"/>
    </row>
    <row r="361" spans="1:18" x14ac:dyDescent="0.25">
      <c r="A361" s="47">
        <f t="shared" si="10"/>
        <v>360</v>
      </c>
      <c r="B361" s="47" t="s">
        <v>8104</v>
      </c>
      <c r="C361" s="47" t="s">
        <v>8105</v>
      </c>
      <c r="D361" s="47" t="s">
        <v>8106</v>
      </c>
      <c r="E361" s="47" t="s">
        <v>8107</v>
      </c>
      <c r="F361" s="47" t="s">
        <v>238</v>
      </c>
      <c r="G361" s="47" t="s">
        <v>200</v>
      </c>
      <c r="H361" s="47" t="str">
        <f t="shared" si="11"/>
        <v>SRINAGAR</v>
      </c>
      <c r="I361" s="47" t="s">
        <v>8119</v>
      </c>
      <c r="J361" s="48">
        <v>46028</v>
      </c>
      <c r="K361" s="47">
        <v>8899110779</v>
      </c>
      <c r="L361" s="47" t="s">
        <v>48</v>
      </c>
      <c r="M361" s="49" t="s">
        <v>7775</v>
      </c>
      <c r="N361" s="48">
        <v>46030</v>
      </c>
      <c r="O361" s="47" t="s">
        <v>23</v>
      </c>
      <c r="P361" s="50">
        <v>46030</v>
      </c>
      <c r="Q361" s="47" t="s">
        <v>6460</v>
      </c>
      <c r="R361" s="47"/>
    </row>
    <row r="362" spans="1:18" x14ac:dyDescent="0.25">
      <c r="A362" s="47">
        <f t="shared" si="10"/>
        <v>361</v>
      </c>
      <c r="B362" s="47" t="s">
        <v>8038</v>
      </c>
      <c r="C362" s="47" t="s">
        <v>8125</v>
      </c>
      <c r="D362" s="47" t="s">
        <v>8126</v>
      </c>
      <c r="E362" s="47" t="s">
        <v>3192</v>
      </c>
      <c r="F362" s="47" t="s">
        <v>119</v>
      </c>
      <c r="G362" s="47" t="s">
        <v>221</v>
      </c>
      <c r="H362" s="47" t="str">
        <f t="shared" si="11"/>
        <v>SRINAGAR</v>
      </c>
      <c r="I362" s="47" t="s">
        <v>8165</v>
      </c>
      <c r="J362" s="48">
        <v>46028</v>
      </c>
      <c r="K362" s="47">
        <v>9906796717</v>
      </c>
      <c r="L362" s="47" t="s">
        <v>75</v>
      </c>
      <c r="M362" s="49" t="s">
        <v>7894</v>
      </c>
      <c r="N362" s="48">
        <v>46032</v>
      </c>
      <c r="O362" s="47"/>
      <c r="P362" s="50"/>
      <c r="Q362" s="47"/>
      <c r="R362" s="47"/>
    </row>
    <row r="363" spans="1:18" x14ac:dyDescent="0.25">
      <c r="A363" s="47">
        <f t="shared" si="10"/>
        <v>362</v>
      </c>
      <c r="B363" s="47" t="s">
        <v>8098</v>
      </c>
      <c r="C363" s="47" t="s">
        <v>8095</v>
      </c>
      <c r="D363" s="47" t="s">
        <v>8096</v>
      </c>
      <c r="E363" s="47" t="s">
        <v>8097</v>
      </c>
      <c r="F363" s="47" t="s">
        <v>31</v>
      </c>
      <c r="G363" s="47" t="s">
        <v>200</v>
      </c>
      <c r="H363" s="47" t="str">
        <f t="shared" si="11"/>
        <v>BUDGAM</v>
      </c>
      <c r="I363" s="47" t="s">
        <v>8118</v>
      </c>
      <c r="J363" s="48">
        <v>46028</v>
      </c>
      <c r="K363" s="47">
        <v>7780804850</v>
      </c>
      <c r="L363" s="47" t="s">
        <v>2172</v>
      </c>
      <c r="M363" s="49" t="s">
        <v>7716</v>
      </c>
      <c r="N363" s="48">
        <v>46030</v>
      </c>
      <c r="O363" s="47" t="s">
        <v>23</v>
      </c>
      <c r="P363" s="50">
        <v>46029</v>
      </c>
      <c r="Q363" s="47" t="s">
        <v>6460</v>
      </c>
      <c r="R363" s="47"/>
    </row>
    <row r="364" spans="1:18" x14ac:dyDescent="0.25">
      <c r="A364" s="47">
        <f t="shared" si="10"/>
        <v>363</v>
      </c>
      <c r="B364" s="47" t="s">
        <v>8099</v>
      </c>
      <c r="C364" s="47" t="s">
        <v>8100</v>
      </c>
      <c r="D364" s="47" t="s">
        <v>8101</v>
      </c>
      <c r="E364" s="47" t="s">
        <v>8102</v>
      </c>
      <c r="F364" s="47" t="s">
        <v>31</v>
      </c>
      <c r="G364" s="47" t="s">
        <v>200</v>
      </c>
      <c r="H364" s="47" t="str">
        <f t="shared" si="11"/>
        <v>BUDGAM</v>
      </c>
      <c r="I364" s="47" t="s">
        <v>8117</v>
      </c>
      <c r="J364" s="48">
        <v>46028</v>
      </c>
      <c r="K364" s="47">
        <v>9622595048</v>
      </c>
      <c r="L364" s="47" t="s">
        <v>8103</v>
      </c>
      <c r="M364" s="49" t="s">
        <v>8228</v>
      </c>
      <c r="N364" s="48">
        <v>46031</v>
      </c>
      <c r="O364" s="47" t="s">
        <v>23</v>
      </c>
      <c r="P364" s="50">
        <v>46031</v>
      </c>
      <c r="Q364" s="47" t="s">
        <v>6460</v>
      </c>
      <c r="R364" s="47"/>
    </row>
    <row r="365" spans="1:18" x14ac:dyDescent="0.25">
      <c r="A365" s="47">
        <f t="shared" si="10"/>
        <v>364</v>
      </c>
      <c r="B365" s="47" t="s">
        <v>8108</v>
      </c>
      <c r="C365" s="47" t="s">
        <v>8109</v>
      </c>
      <c r="D365" s="47" t="s">
        <v>8110</v>
      </c>
      <c r="E365" s="47" t="s">
        <v>2303</v>
      </c>
      <c r="F365" s="47" t="s">
        <v>31</v>
      </c>
      <c r="G365" s="47" t="s">
        <v>175</v>
      </c>
      <c r="H365" s="47" t="str">
        <f t="shared" si="11"/>
        <v>POONCH</v>
      </c>
      <c r="I365" s="47" t="s">
        <v>8116</v>
      </c>
      <c r="J365" s="48">
        <v>46028</v>
      </c>
      <c r="K365" s="47">
        <v>9797443009</v>
      </c>
      <c r="L365" s="47" t="s">
        <v>195</v>
      </c>
      <c r="M365" s="49"/>
      <c r="N365" s="48"/>
      <c r="O365" s="47"/>
      <c r="P365" s="50"/>
      <c r="Q365" s="47"/>
      <c r="R365" s="47"/>
    </row>
    <row r="366" spans="1:18" x14ac:dyDescent="0.25">
      <c r="A366" s="47">
        <f t="shared" si="10"/>
        <v>365</v>
      </c>
      <c r="B366" s="47" t="s">
        <v>8127</v>
      </c>
      <c r="C366" s="47" t="s">
        <v>8128</v>
      </c>
      <c r="D366" s="47" t="s">
        <v>8129</v>
      </c>
      <c r="E366" s="47" t="s">
        <v>8130</v>
      </c>
      <c r="F366" s="47" t="s">
        <v>119</v>
      </c>
      <c r="G366" s="47" t="s">
        <v>175</v>
      </c>
      <c r="H366" s="47" t="str">
        <f t="shared" si="11"/>
        <v>PULWAMA</v>
      </c>
      <c r="I366" s="47" t="s">
        <v>8166</v>
      </c>
      <c r="J366" s="48">
        <v>46028</v>
      </c>
      <c r="K366" s="47">
        <v>9018734100</v>
      </c>
      <c r="L366" s="47" t="s">
        <v>166</v>
      </c>
      <c r="M366" s="49" t="s">
        <v>7775</v>
      </c>
      <c r="N366" s="48">
        <v>46029</v>
      </c>
      <c r="O366" s="47" t="s">
        <v>23</v>
      </c>
      <c r="P366" s="50">
        <v>46029</v>
      </c>
      <c r="Q366" s="47" t="s">
        <v>6460</v>
      </c>
      <c r="R366" s="47"/>
    </row>
    <row r="367" spans="1:18" x14ac:dyDescent="0.25">
      <c r="A367" s="47">
        <f t="shared" si="10"/>
        <v>366</v>
      </c>
      <c r="B367" s="47" t="s">
        <v>8111</v>
      </c>
      <c r="C367" s="47" t="s">
        <v>8112</v>
      </c>
      <c r="D367" s="47" t="s">
        <v>8113</v>
      </c>
      <c r="E367" s="47" t="s">
        <v>8114</v>
      </c>
      <c r="F367" s="47" t="s">
        <v>102</v>
      </c>
      <c r="G367" s="47" t="s">
        <v>199</v>
      </c>
      <c r="H367" s="47" t="str">
        <f t="shared" si="11"/>
        <v>PULWAMA</v>
      </c>
      <c r="I367" s="47" t="s">
        <v>8115</v>
      </c>
      <c r="J367" s="48">
        <v>46028</v>
      </c>
      <c r="K367" s="47">
        <v>7889385453</v>
      </c>
      <c r="L367" s="47" t="s">
        <v>6451</v>
      </c>
      <c r="M367" s="49" t="s">
        <v>8239</v>
      </c>
      <c r="N367" s="48">
        <v>46032</v>
      </c>
      <c r="O367" s="47"/>
      <c r="P367" s="50"/>
      <c r="Q367" s="47"/>
      <c r="R367" s="47"/>
    </row>
    <row r="368" spans="1:18" x14ac:dyDescent="0.25">
      <c r="A368" s="47">
        <f t="shared" si="10"/>
        <v>367</v>
      </c>
      <c r="B368" s="47" t="s">
        <v>8182</v>
      </c>
      <c r="C368" s="47" t="s">
        <v>8178</v>
      </c>
      <c r="D368" s="47" t="s">
        <v>8179</v>
      </c>
      <c r="E368" s="47" t="s">
        <v>8181</v>
      </c>
      <c r="F368" s="47" t="s">
        <v>8180</v>
      </c>
      <c r="G368" s="47" t="s">
        <v>200</v>
      </c>
      <c r="H368" s="47" t="str">
        <f t="shared" si="11"/>
        <v>SRINAGAR</v>
      </c>
      <c r="I368" s="47" t="s">
        <v>8193</v>
      </c>
      <c r="J368" s="48">
        <v>46029</v>
      </c>
      <c r="K368" s="47">
        <v>9906409906</v>
      </c>
      <c r="L368" s="47" t="s">
        <v>61</v>
      </c>
      <c r="M368" s="49"/>
      <c r="N368" s="48"/>
      <c r="O368" s="47" t="s">
        <v>23</v>
      </c>
      <c r="P368" s="50">
        <v>46030</v>
      </c>
      <c r="Q368" s="47" t="s">
        <v>6460</v>
      </c>
      <c r="R368" s="47"/>
    </row>
    <row r="369" spans="1:18" x14ac:dyDescent="0.25">
      <c r="A369" s="47">
        <f t="shared" si="10"/>
        <v>368</v>
      </c>
      <c r="B369" s="47" t="s">
        <v>8171</v>
      </c>
      <c r="C369" s="47" t="s">
        <v>8168</v>
      </c>
      <c r="D369" s="47" t="s">
        <v>8169</v>
      </c>
      <c r="E369" s="47" t="s">
        <v>8170</v>
      </c>
      <c r="F369" s="47" t="s">
        <v>3130</v>
      </c>
      <c r="G369" s="47" t="s">
        <v>6475</v>
      </c>
      <c r="H369" s="47" t="str">
        <f t="shared" si="11"/>
        <v>BANDIPORA</v>
      </c>
      <c r="I369" s="47" t="s">
        <v>8172</v>
      </c>
      <c r="J369" s="48">
        <v>46029</v>
      </c>
      <c r="K369" s="47">
        <v>9596443329</v>
      </c>
      <c r="L369" s="47" t="s">
        <v>6832</v>
      </c>
      <c r="M369" s="49" t="s">
        <v>8236</v>
      </c>
      <c r="N369" s="48">
        <v>46032</v>
      </c>
      <c r="O369" s="47" t="s">
        <v>23</v>
      </c>
      <c r="P369" s="50">
        <v>46030</v>
      </c>
      <c r="Q369" s="47" t="s">
        <v>6460</v>
      </c>
      <c r="R369" s="47"/>
    </row>
    <row r="370" spans="1:18" x14ac:dyDescent="0.25">
      <c r="A370" s="47">
        <f t="shared" si="10"/>
        <v>369</v>
      </c>
      <c r="B370" s="47" t="s">
        <v>8183</v>
      </c>
      <c r="C370" s="47" t="s">
        <v>8185</v>
      </c>
      <c r="D370" s="47" t="s">
        <v>8192</v>
      </c>
      <c r="E370" s="47" t="s">
        <v>8184</v>
      </c>
      <c r="F370" s="47" t="s">
        <v>5</v>
      </c>
      <c r="G370" s="47" t="s">
        <v>200</v>
      </c>
      <c r="H370" s="47" t="str">
        <f t="shared" si="11"/>
        <v>SRINAGAR</v>
      </c>
      <c r="I370" s="47" t="s">
        <v>8186</v>
      </c>
      <c r="J370" s="48">
        <v>46030</v>
      </c>
      <c r="K370" s="47">
        <v>7889664350</v>
      </c>
      <c r="L370" s="47" t="s">
        <v>18</v>
      </c>
      <c r="M370" s="49" t="s">
        <v>7775</v>
      </c>
      <c r="N370" s="48">
        <v>46034</v>
      </c>
      <c r="O370" s="47" t="s">
        <v>23</v>
      </c>
      <c r="P370" s="50">
        <v>46030</v>
      </c>
      <c r="Q370" s="47" t="s">
        <v>6460</v>
      </c>
      <c r="R370" s="47"/>
    </row>
    <row r="371" spans="1:18" x14ac:dyDescent="0.25">
      <c r="A371" s="47">
        <f t="shared" si="10"/>
        <v>370</v>
      </c>
      <c r="B371" s="47" t="s">
        <v>8205</v>
      </c>
      <c r="C371" s="47" t="s">
        <v>8202</v>
      </c>
      <c r="D371" s="47" t="s">
        <v>8203</v>
      </c>
      <c r="E371" s="47" t="s">
        <v>8204</v>
      </c>
      <c r="F371" s="47" t="s">
        <v>67</v>
      </c>
      <c r="G371" s="47" t="s">
        <v>181</v>
      </c>
      <c r="H371" s="47" t="str">
        <f t="shared" si="11"/>
        <v>SRINAGAR</v>
      </c>
      <c r="I371" s="47" t="s">
        <v>8207</v>
      </c>
      <c r="J371" s="48">
        <v>46030</v>
      </c>
      <c r="K371" s="47">
        <v>7780867070</v>
      </c>
      <c r="L371" s="47" t="s">
        <v>1228</v>
      </c>
      <c r="M371" s="49"/>
      <c r="N371" s="48"/>
      <c r="O371" s="47" t="s">
        <v>23</v>
      </c>
      <c r="P371" s="50">
        <v>46031</v>
      </c>
      <c r="Q371" s="47" t="s">
        <v>6460</v>
      </c>
      <c r="R371" s="47"/>
    </row>
    <row r="372" spans="1:18" x14ac:dyDescent="0.25">
      <c r="A372" s="47">
        <f t="shared" si="10"/>
        <v>371</v>
      </c>
      <c r="B372" s="47" t="s">
        <v>8198</v>
      </c>
      <c r="C372" s="47" t="s">
        <v>8199</v>
      </c>
      <c r="D372" s="47" t="s">
        <v>8200</v>
      </c>
      <c r="E372" s="47" t="s">
        <v>8201</v>
      </c>
      <c r="F372" s="47" t="s">
        <v>2701</v>
      </c>
      <c r="G372" s="47" t="s">
        <v>200</v>
      </c>
      <c r="H372" s="47" t="str">
        <f t="shared" si="11"/>
        <v>SRINAGAR</v>
      </c>
      <c r="I372" s="47" t="s">
        <v>8208</v>
      </c>
      <c r="J372" s="48">
        <v>46030</v>
      </c>
      <c r="K372" s="47">
        <v>8491882203</v>
      </c>
      <c r="L372" s="47" t="s">
        <v>2248</v>
      </c>
      <c r="M372" s="49" t="s">
        <v>8164</v>
      </c>
      <c r="N372" s="48">
        <v>46031</v>
      </c>
      <c r="O372" s="47" t="s">
        <v>23</v>
      </c>
      <c r="P372" s="50">
        <v>46031</v>
      </c>
      <c r="Q372" s="47" t="s">
        <v>6460</v>
      </c>
      <c r="R372" s="47"/>
    </row>
    <row r="373" spans="1:18" x14ac:dyDescent="0.25">
      <c r="A373" s="47">
        <f t="shared" si="10"/>
        <v>372</v>
      </c>
      <c r="B373" s="47" t="s">
        <v>8213</v>
      </c>
      <c r="C373" s="47" t="s">
        <v>8214</v>
      </c>
      <c r="D373" s="47" t="s">
        <v>8215</v>
      </c>
      <c r="E373" s="47" t="s">
        <v>8216</v>
      </c>
      <c r="F373" s="47" t="s">
        <v>67</v>
      </c>
      <c r="G373" s="47" t="s">
        <v>181</v>
      </c>
      <c r="H373" s="47" t="str">
        <f t="shared" si="11"/>
        <v>SRINAGAR</v>
      </c>
      <c r="I373" s="47" t="s">
        <v>8221</v>
      </c>
      <c r="J373" s="48">
        <v>46030</v>
      </c>
      <c r="K373" s="47">
        <v>6005379500</v>
      </c>
      <c r="L373" s="47" t="s">
        <v>8217</v>
      </c>
      <c r="M373" s="49" t="s">
        <v>8326</v>
      </c>
      <c r="N373" s="48">
        <v>46043</v>
      </c>
      <c r="O373" s="47"/>
      <c r="P373" s="50"/>
      <c r="Q373" s="47"/>
      <c r="R373" s="47"/>
    </row>
    <row r="374" spans="1:18" x14ac:dyDescent="0.25">
      <c r="A374" s="47">
        <f t="shared" si="10"/>
        <v>373</v>
      </c>
      <c r="B374" s="47" t="s">
        <v>8190</v>
      </c>
      <c r="C374" s="47" t="s">
        <v>8187</v>
      </c>
      <c r="D374" s="47" t="s">
        <v>8188</v>
      </c>
      <c r="E374" s="47" t="s">
        <v>8189</v>
      </c>
      <c r="F374" s="47" t="s">
        <v>6546</v>
      </c>
      <c r="G374" s="47" t="s">
        <v>200</v>
      </c>
      <c r="H374" s="47" t="str">
        <f t="shared" si="11"/>
        <v>KULGAM</v>
      </c>
      <c r="I374" s="47" t="s">
        <v>8197</v>
      </c>
      <c r="J374" s="48">
        <v>46030</v>
      </c>
      <c r="K374" s="47">
        <v>9541822070</v>
      </c>
      <c r="L374" s="47" t="s">
        <v>6570</v>
      </c>
      <c r="M374" s="49" t="s">
        <v>8227</v>
      </c>
      <c r="N374" s="48">
        <v>46034</v>
      </c>
      <c r="O374" s="47"/>
      <c r="P374" s="50"/>
      <c r="Q374" s="47"/>
      <c r="R374" s="47" t="s">
        <v>8211</v>
      </c>
    </row>
    <row r="375" spans="1:18" x14ac:dyDescent="0.25">
      <c r="A375" s="47">
        <f t="shared" si="10"/>
        <v>374</v>
      </c>
      <c r="B375" s="47" t="s">
        <v>8191</v>
      </c>
      <c r="C375" s="47" t="s">
        <v>8194</v>
      </c>
      <c r="D375" s="47" t="s">
        <v>8195</v>
      </c>
      <c r="E375" s="47" t="s">
        <v>8196</v>
      </c>
      <c r="F375" s="47" t="s">
        <v>5</v>
      </c>
      <c r="G375" s="47" t="s">
        <v>181</v>
      </c>
      <c r="H375" s="47" t="str">
        <f t="shared" si="11"/>
        <v>SHOPIAN</v>
      </c>
      <c r="I375" s="47" t="s">
        <v>8206</v>
      </c>
      <c r="J375" s="48">
        <v>46030</v>
      </c>
      <c r="K375" s="47">
        <v>9906656754</v>
      </c>
      <c r="L375" s="47" t="s">
        <v>6451</v>
      </c>
      <c r="M375" s="49" t="s">
        <v>8239</v>
      </c>
      <c r="N375" s="48">
        <v>46032</v>
      </c>
      <c r="O375" s="47"/>
      <c r="P375" s="50"/>
      <c r="Q375" s="47"/>
      <c r="R375" s="47" t="s">
        <v>7176</v>
      </c>
    </row>
    <row r="376" spans="1:18" x14ac:dyDescent="0.25">
      <c r="A376" s="47">
        <f t="shared" si="10"/>
        <v>375</v>
      </c>
      <c r="B376" s="47" t="s">
        <v>8234</v>
      </c>
      <c r="C376" s="47" t="s">
        <v>8232</v>
      </c>
      <c r="D376" s="47" t="s">
        <v>8233</v>
      </c>
      <c r="E376" s="47" t="s">
        <v>3775</v>
      </c>
      <c r="F376" s="47" t="s">
        <v>31</v>
      </c>
      <c r="G376" s="47" t="s">
        <v>200</v>
      </c>
      <c r="H376" s="47" t="str">
        <f t="shared" si="11"/>
        <v>PULWAMA</v>
      </c>
      <c r="I376" s="47" t="s">
        <v>8235</v>
      </c>
      <c r="J376" s="48">
        <v>46032</v>
      </c>
      <c r="K376" s="47">
        <v>7006077313</v>
      </c>
      <c r="L376" s="47" t="s">
        <v>6521</v>
      </c>
      <c r="M376" s="49"/>
      <c r="N376" s="48"/>
      <c r="O376" s="47"/>
      <c r="P376" s="50"/>
      <c r="Q376" s="47"/>
      <c r="R376" s="47" t="s">
        <v>8238</v>
      </c>
    </row>
    <row r="377" spans="1:18" x14ac:dyDescent="0.25">
      <c r="A377" s="47">
        <f t="shared" si="10"/>
        <v>376</v>
      </c>
      <c r="B377" s="47" t="s">
        <v>8274</v>
      </c>
      <c r="C377" s="47" t="s">
        <v>8276</v>
      </c>
      <c r="D377" s="47" t="s">
        <v>8277</v>
      </c>
      <c r="E377" s="47" t="s">
        <v>8275</v>
      </c>
      <c r="F377" s="47" t="s">
        <v>67</v>
      </c>
      <c r="G377" s="47" t="s">
        <v>200</v>
      </c>
      <c r="H377" s="47" t="str">
        <f t="shared" si="11"/>
        <v>SRINAGAR</v>
      </c>
      <c r="I377" s="47" t="s">
        <v>8278</v>
      </c>
      <c r="J377" s="48">
        <v>46038</v>
      </c>
      <c r="K377" s="47">
        <v>9622544857</v>
      </c>
      <c r="L377" s="47" t="s">
        <v>551</v>
      </c>
      <c r="M377" s="49" t="s">
        <v>8788</v>
      </c>
      <c r="N377" s="48">
        <v>46065</v>
      </c>
      <c r="O377" s="47" t="s">
        <v>23</v>
      </c>
      <c r="P377" s="50">
        <v>46038</v>
      </c>
      <c r="Q377" s="47" t="s">
        <v>6460</v>
      </c>
      <c r="R377" s="47"/>
    </row>
    <row r="378" spans="1:18" x14ac:dyDescent="0.25">
      <c r="A378" s="47">
        <f t="shared" si="10"/>
        <v>377</v>
      </c>
      <c r="B378" s="47" t="s">
        <v>8268</v>
      </c>
      <c r="C378" s="47" t="s">
        <v>8269</v>
      </c>
      <c r="D378" s="47" t="s">
        <v>8271</v>
      </c>
      <c r="E378" s="47" t="s">
        <v>8270</v>
      </c>
      <c r="F378" s="47" t="s">
        <v>8272</v>
      </c>
      <c r="G378" s="47" t="s">
        <v>200</v>
      </c>
      <c r="H378" s="47" t="str">
        <f t="shared" si="11"/>
        <v>SHOPIAN</v>
      </c>
      <c r="I378" s="47" t="s">
        <v>8273</v>
      </c>
      <c r="J378" s="48">
        <v>46038</v>
      </c>
      <c r="K378" s="47">
        <v>7006595403</v>
      </c>
      <c r="L378" s="47" t="s">
        <v>6570</v>
      </c>
      <c r="M378" s="49" t="s">
        <v>8315</v>
      </c>
      <c r="N378" s="48">
        <v>46042</v>
      </c>
      <c r="O378" s="47"/>
      <c r="P378" s="50"/>
      <c r="Q378" s="47"/>
      <c r="R378" s="47"/>
    </row>
    <row r="379" spans="1:18" x14ac:dyDescent="0.25">
      <c r="A379" s="47">
        <f t="shared" si="10"/>
        <v>378</v>
      </c>
      <c r="B379" s="47" t="s">
        <v>8287</v>
      </c>
      <c r="C379" s="47" t="s">
        <v>8284</v>
      </c>
      <c r="D379" s="47" t="s">
        <v>8285</v>
      </c>
      <c r="E379" s="47" t="s">
        <v>8286</v>
      </c>
      <c r="F379" s="47" t="s">
        <v>31</v>
      </c>
      <c r="G379" s="47" t="s">
        <v>200</v>
      </c>
      <c r="H379" s="47" t="str">
        <f t="shared" si="11"/>
        <v>BUDGAM</v>
      </c>
      <c r="I379" s="47" t="s">
        <v>8294</v>
      </c>
      <c r="J379" s="48">
        <v>46039</v>
      </c>
      <c r="K379" s="47">
        <v>9797811436</v>
      </c>
      <c r="L379" s="47" t="s">
        <v>2172</v>
      </c>
      <c r="M379" s="49"/>
      <c r="N379" s="48"/>
      <c r="O379" s="47" t="s">
        <v>23</v>
      </c>
      <c r="P379" s="50">
        <v>46041</v>
      </c>
      <c r="Q379" s="47" t="s">
        <v>6460</v>
      </c>
      <c r="R379" s="47"/>
    </row>
    <row r="380" spans="1:18" x14ac:dyDescent="0.25">
      <c r="A380" s="47">
        <f t="shared" si="10"/>
        <v>379</v>
      </c>
      <c r="B380" s="47" t="s">
        <v>8299</v>
      </c>
      <c r="C380" s="47" t="s">
        <v>8300</v>
      </c>
      <c r="D380" s="47" t="s">
        <v>8301</v>
      </c>
      <c r="E380" s="47" t="s">
        <v>8302</v>
      </c>
      <c r="F380" s="47" t="s">
        <v>31</v>
      </c>
      <c r="G380" s="47" t="s">
        <v>200</v>
      </c>
      <c r="H380" s="47" t="str">
        <f t="shared" si="11"/>
        <v>SRINAGAR</v>
      </c>
      <c r="I380" s="47" t="s">
        <v>8304</v>
      </c>
      <c r="J380" s="48">
        <v>46041</v>
      </c>
      <c r="K380" s="47">
        <v>9797865646</v>
      </c>
      <c r="L380" s="47" t="s">
        <v>26</v>
      </c>
      <c r="M380" s="49" t="s">
        <v>8094</v>
      </c>
      <c r="N380" s="48">
        <v>46043</v>
      </c>
      <c r="O380" s="47" t="s">
        <v>23</v>
      </c>
      <c r="P380" s="50">
        <v>46042</v>
      </c>
      <c r="Q380" s="47" t="s">
        <v>6460</v>
      </c>
      <c r="R380" s="47"/>
    </row>
    <row r="381" spans="1:18" x14ac:dyDescent="0.25">
      <c r="A381" s="47">
        <f t="shared" si="10"/>
        <v>380</v>
      </c>
      <c r="B381" s="47" t="s">
        <v>8295</v>
      </c>
      <c r="C381" s="47" t="s">
        <v>8296</v>
      </c>
      <c r="D381" s="47" t="s">
        <v>8297</v>
      </c>
      <c r="E381" s="47" t="s">
        <v>8298</v>
      </c>
      <c r="F381" s="47" t="s">
        <v>3130</v>
      </c>
      <c r="G381" s="47" t="s">
        <v>6475</v>
      </c>
      <c r="H381" s="47" t="str">
        <f t="shared" si="11"/>
        <v>SRINAGAR</v>
      </c>
      <c r="I381" s="47" t="s">
        <v>8303</v>
      </c>
      <c r="J381" s="48">
        <v>46041</v>
      </c>
      <c r="K381" s="47">
        <v>9906774785</v>
      </c>
      <c r="L381" s="47" t="s">
        <v>484</v>
      </c>
      <c r="M381" s="49"/>
      <c r="N381" s="48"/>
      <c r="O381" s="47" t="s">
        <v>23</v>
      </c>
      <c r="P381" s="50">
        <v>46043</v>
      </c>
      <c r="Q381" s="47" t="s">
        <v>6460</v>
      </c>
      <c r="R381" s="47" t="s">
        <v>8354</v>
      </c>
    </row>
    <row r="382" spans="1:18" x14ac:dyDescent="0.25">
      <c r="A382" s="47">
        <f t="shared" si="10"/>
        <v>381</v>
      </c>
      <c r="B382" s="47" t="s">
        <v>8291</v>
      </c>
      <c r="C382" s="47" t="s">
        <v>8289</v>
      </c>
      <c r="D382" s="47" t="s">
        <v>8290</v>
      </c>
      <c r="E382" s="47" t="s">
        <v>3244</v>
      </c>
      <c r="F382" s="47" t="s">
        <v>31</v>
      </c>
      <c r="G382" s="47" t="s">
        <v>200</v>
      </c>
      <c r="H382" s="47" t="str">
        <f t="shared" si="11"/>
        <v>SRINAGAR</v>
      </c>
      <c r="I382" s="47" t="s">
        <v>8292</v>
      </c>
      <c r="J382" s="48">
        <v>46041</v>
      </c>
      <c r="K382" s="47">
        <v>6006475366</v>
      </c>
      <c r="L382" s="47" t="s">
        <v>194</v>
      </c>
      <c r="M382" s="49"/>
      <c r="N382" s="48"/>
      <c r="O382" s="47" t="s">
        <v>23</v>
      </c>
      <c r="P382" s="50">
        <v>46041</v>
      </c>
      <c r="Q382" s="47" t="s">
        <v>6460</v>
      </c>
      <c r="R382" s="47"/>
    </row>
    <row r="383" spans="1:18" x14ac:dyDescent="0.25">
      <c r="A383" s="47">
        <f t="shared" si="10"/>
        <v>382</v>
      </c>
      <c r="B383" s="47" t="s">
        <v>8281</v>
      </c>
      <c r="C383" s="47" t="s">
        <v>8279</v>
      </c>
      <c r="D383" s="47" t="s">
        <v>8288</v>
      </c>
      <c r="E383" s="47" t="s">
        <v>8280</v>
      </c>
      <c r="F383" s="47" t="s">
        <v>31</v>
      </c>
      <c r="G383" s="47" t="s">
        <v>175</v>
      </c>
      <c r="H383" s="47" t="str">
        <f t="shared" si="11"/>
        <v>SRINAGAR</v>
      </c>
      <c r="I383" s="47" t="s">
        <v>8307</v>
      </c>
      <c r="J383" s="48">
        <v>46042</v>
      </c>
      <c r="K383" s="47">
        <v>7022282286</v>
      </c>
      <c r="L383" s="47" t="s">
        <v>2172</v>
      </c>
      <c r="M383" s="49" t="s">
        <v>7714</v>
      </c>
      <c r="N383" s="48">
        <v>46044</v>
      </c>
      <c r="O383" s="47" t="s">
        <v>23</v>
      </c>
      <c r="P383" s="50">
        <v>46042</v>
      </c>
      <c r="Q383" s="47" t="s">
        <v>8167</v>
      </c>
      <c r="R383" s="47"/>
    </row>
    <row r="384" spans="1:18" x14ac:dyDescent="0.25">
      <c r="A384" s="47">
        <f t="shared" si="10"/>
        <v>383</v>
      </c>
      <c r="B384" s="47" t="s">
        <v>8314</v>
      </c>
      <c r="C384" s="47" t="s">
        <v>8311</v>
      </c>
      <c r="D384" s="47" t="s">
        <v>8312</v>
      </c>
      <c r="E384" s="47" t="s">
        <v>8313</v>
      </c>
      <c r="F384" s="47" t="s">
        <v>67</v>
      </c>
      <c r="G384" s="47" t="s">
        <v>199</v>
      </c>
      <c r="H384" s="47" t="str">
        <f t="shared" si="11"/>
        <v>ANANTNAG</v>
      </c>
      <c r="I384" s="47" t="s">
        <v>8321</v>
      </c>
      <c r="J384" s="48">
        <v>46042</v>
      </c>
      <c r="K384" s="47">
        <v>8899068335</v>
      </c>
      <c r="L384" s="47" t="s">
        <v>6521</v>
      </c>
      <c r="M384" s="49" t="s">
        <v>8617</v>
      </c>
      <c r="N384" s="48">
        <v>46056</v>
      </c>
      <c r="O384" s="47"/>
      <c r="P384" s="50"/>
      <c r="Q384" s="47"/>
      <c r="R384" s="47"/>
    </row>
    <row r="385" spans="1:18" x14ac:dyDescent="0.25">
      <c r="A385" s="47">
        <f t="shared" si="10"/>
        <v>384</v>
      </c>
      <c r="B385" s="47" t="s">
        <v>8310</v>
      </c>
      <c r="C385" s="47" t="s">
        <v>8308</v>
      </c>
      <c r="D385" s="47" t="s">
        <v>8309</v>
      </c>
      <c r="E385" s="47" t="s">
        <v>3155</v>
      </c>
      <c r="F385" s="47" t="s">
        <v>12</v>
      </c>
      <c r="G385" s="47" t="s">
        <v>181</v>
      </c>
      <c r="H385" s="47" t="str">
        <f t="shared" si="11"/>
        <v>BUDGAM</v>
      </c>
      <c r="I385" s="47" t="s">
        <v>8320</v>
      </c>
      <c r="J385" s="48">
        <v>46042</v>
      </c>
      <c r="K385" s="47">
        <v>9906655656</v>
      </c>
      <c r="L385" s="47" t="s">
        <v>484</v>
      </c>
      <c r="M385" s="49" t="s">
        <v>7455</v>
      </c>
      <c r="N385" s="48">
        <v>46046</v>
      </c>
      <c r="O385" s="47"/>
      <c r="P385" s="50"/>
      <c r="Q385" s="47"/>
      <c r="R385" s="47"/>
    </row>
    <row r="386" spans="1:18" x14ac:dyDescent="0.25">
      <c r="A386" s="47">
        <f t="shared" ref="A386:A452" si="12">ROW()-1</f>
        <v>385</v>
      </c>
      <c r="B386" s="47" t="s">
        <v>8319</v>
      </c>
      <c r="C386" s="47" t="s">
        <v>8316</v>
      </c>
      <c r="D386" s="47" t="s">
        <v>8317</v>
      </c>
      <c r="E386" s="47" t="s">
        <v>8318</v>
      </c>
      <c r="F386" s="47" t="s">
        <v>119</v>
      </c>
      <c r="G386" s="47" t="s">
        <v>175</v>
      </c>
      <c r="H386" s="47" t="str">
        <f t="shared" ref="H386:H449" si="13">IF(LEFT(I386,4)="JK13","PULWAMA",IF(LEFT(I386,4)="JK01","SRINAGAR",IF(LEFT(I386,4)="JK04","BUDGAM",IF(LEFT(I386,4)="JK03","ANANTNAG",IF(LEFT(I386,4)="JK05","BARAMULLA",IF(LEFT(I386,4)="26BH","BHARAT",IF(LEFT(I386,4)="25BH","BHARAT",IF(LEFT(I386,4)="JK12","POONCH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</f>
        <v>SHOPIAN</v>
      </c>
      <c r="I386" s="47" t="s">
        <v>8322</v>
      </c>
      <c r="J386" s="48">
        <v>46042</v>
      </c>
      <c r="K386" s="47">
        <v>7006739253</v>
      </c>
      <c r="L386" s="47" t="s">
        <v>6570</v>
      </c>
      <c r="M386" s="49" t="s">
        <v>8315</v>
      </c>
      <c r="N386" s="48">
        <v>46059</v>
      </c>
      <c r="O386" s="47" t="s">
        <v>23</v>
      </c>
      <c r="P386" s="50">
        <v>46043</v>
      </c>
      <c r="Q386" s="47" t="s">
        <v>8167</v>
      </c>
      <c r="R386" s="47" t="s">
        <v>8353</v>
      </c>
    </row>
    <row r="387" spans="1:18" x14ac:dyDescent="0.25">
      <c r="A387" s="47">
        <f t="shared" si="12"/>
        <v>386</v>
      </c>
      <c r="B387" s="47" t="s">
        <v>8330</v>
      </c>
      <c r="C387" s="47" t="s">
        <v>8327</v>
      </c>
      <c r="D387" s="47" t="s">
        <v>8328</v>
      </c>
      <c r="E387" s="47" t="s">
        <v>8329</v>
      </c>
      <c r="F387" s="47" t="s">
        <v>12</v>
      </c>
      <c r="G387" s="47" t="s">
        <v>181</v>
      </c>
      <c r="H387" s="47" t="str">
        <f t="shared" si="13"/>
        <v>SRINAGAR</v>
      </c>
      <c r="I387" s="47" t="s">
        <v>8349</v>
      </c>
      <c r="J387" s="48">
        <v>46043</v>
      </c>
      <c r="K387" s="47">
        <v>7006287562</v>
      </c>
      <c r="L387" s="47" t="s">
        <v>70</v>
      </c>
      <c r="M387" s="49"/>
      <c r="N387" s="48"/>
      <c r="O387" s="47"/>
      <c r="P387" s="50"/>
      <c r="Q387" s="47"/>
      <c r="R387" s="47"/>
    </row>
    <row r="388" spans="1:18" x14ac:dyDescent="0.25">
      <c r="A388" s="47">
        <f t="shared" si="12"/>
        <v>387</v>
      </c>
      <c r="B388" s="47" t="s">
        <v>8365</v>
      </c>
      <c r="C388" s="47" t="s">
        <v>8366</v>
      </c>
      <c r="D388" s="47" t="s">
        <v>8367</v>
      </c>
      <c r="E388" s="47" t="s">
        <v>8368</v>
      </c>
      <c r="F388" s="47" t="s">
        <v>12</v>
      </c>
      <c r="G388" s="47" t="s">
        <v>181</v>
      </c>
      <c r="H388" s="47" t="str">
        <f t="shared" si="13"/>
        <v>SRINAGAR</v>
      </c>
      <c r="I388" s="47" t="s">
        <v>8369</v>
      </c>
      <c r="J388" s="48">
        <v>46043</v>
      </c>
      <c r="K388" s="47">
        <v>7889670084</v>
      </c>
      <c r="L388" s="47" t="s">
        <v>307</v>
      </c>
      <c r="M388" s="49" t="s">
        <v>8093</v>
      </c>
      <c r="N388" s="48">
        <v>46046</v>
      </c>
      <c r="O388" s="47" t="s">
        <v>23</v>
      </c>
      <c r="P388" s="50">
        <v>46044</v>
      </c>
      <c r="Q388" s="47" t="s">
        <v>6460</v>
      </c>
      <c r="R388" s="47"/>
    </row>
    <row r="389" spans="1:18" x14ac:dyDescent="0.25">
      <c r="A389" s="47">
        <f t="shared" si="12"/>
        <v>388</v>
      </c>
      <c r="B389" s="47" t="s">
        <v>8347</v>
      </c>
      <c r="C389" s="47" t="s">
        <v>8344</v>
      </c>
      <c r="D389" s="47" t="s">
        <v>8345</v>
      </c>
      <c r="E389" s="47" t="s">
        <v>8346</v>
      </c>
      <c r="F389" s="47" t="s">
        <v>8343</v>
      </c>
      <c r="G389" s="47" t="s">
        <v>200</v>
      </c>
      <c r="H389" s="47" t="str">
        <f t="shared" si="13"/>
        <v>SRINAGAR</v>
      </c>
      <c r="I389" s="47" t="s">
        <v>8348</v>
      </c>
      <c r="J389" s="48">
        <v>46043</v>
      </c>
      <c r="K389" s="47">
        <v>8899953394</v>
      </c>
      <c r="L389" s="47" t="s">
        <v>75</v>
      </c>
      <c r="M389" s="49" t="s">
        <v>7455</v>
      </c>
      <c r="N389" s="48">
        <v>46043</v>
      </c>
      <c r="O389" s="47" t="s">
        <v>23</v>
      </c>
      <c r="P389" s="50">
        <v>46043</v>
      </c>
      <c r="Q389" s="47" t="s">
        <v>6460</v>
      </c>
      <c r="R389" s="47"/>
    </row>
    <row r="390" spans="1:18" x14ac:dyDescent="0.25">
      <c r="A390" s="47">
        <f t="shared" si="12"/>
        <v>389</v>
      </c>
      <c r="B390" s="47" t="s">
        <v>8267</v>
      </c>
      <c r="C390" s="47" t="s">
        <v>8264</v>
      </c>
      <c r="D390" s="47" t="s">
        <v>8265</v>
      </c>
      <c r="E390" s="47" t="s">
        <v>6338</v>
      </c>
      <c r="F390" s="47" t="s">
        <v>8266</v>
      </c>
      <c r="G390" s="47" t="s">
        <v>174</v>
      </c>
      <c r="H390" s="47" t="str">
        <f t="shared" si="13"/>
        <v>SRINAGAR</v>
      </c>
      <c r="I390" s="47" t="s">
        <v>8370</v>
      </c>
      <c r="J390" s="48">
        <v>46043</v>
      </c>
      <c r="K390" s="47">
        <v>9797454728</v>
      </c>
      <c r="L390" s="47" t="s">
        <v>1592</v>
      </c>
      <c r="M390" s="49"/>
      <c r="N390" s="48"/>
      <c r="O390" s="47" t="s">
        <v>23</v>
      </c>
      <c r="P390" s="50">
        <v>46058</v>
      </c>
      <c r="Q390" s="47" t="s">
        <v>6460</v>
      </c>
      <c r="R390" s="47"/>
    </row>
    <row r="391" spans="1:18" x14ac:dyDescent="0.25">
      <c r="A391" s="47">
        <f t="shared" si="12"/>
        <v>390</v>
      </c>
      <c r="B391" s="47" t="s">
        <v>8334</v>
      </c>
      <c r="C391" s="47" t="s">
        <v>8331</v>
      </c>
      <c r="D391" s="47" t="s">
        <v>8332</v>
      </c>
      <c r="E391" s="47" t="s">
        <v>8333</v>
      </c>
      <c r="F391" s="47" t="s">
        <v>31</v>
      </c>
      <c r="G391" s="47" t="s">
        <v>200</v>
      </c>
      <c r="H391" s="47" t="str">
        <f t="shared" si="13"/>
        <v>POONCH</v>
      </c>
      <c r="I391" s="47" t="s">
        <v>8351</v>
      </c>
      <c r="J391" s="48">
        <v>46043</v>
      </c>
      <c r="K391" s="47">
        <v>8899313265</v>
      </c>
      <c r="L391" s="47" t="s">
        <v>195</v>
      </c>
      <c r="M391" s="49"/>
      <c r="N391" s="48"/>
      <c r="O391" s="47"/>
      <c r="P391" s="50"/>
      <c r="Q391" s="47"/>
      <c r="R391" s="47"/>
    </row>
    <row r="392" spans="1:18" x14ac:dyDescent="0.25">
      <c r="A392" s="47">
        <f t="shared" si="12"/>
        <v>391</v>
      </c>
      <c r="B392" s="47" t="s">
        <v>8338</v>
      </c>
      <c r="C392" s="47" t="s">
        <v>8336</v>
      </c>
      <c r="D392" s="47" t="s">
        <v>8337</v>
      </c>
      <c r="E392" s="47" t="s">
        <v>8335</v>
      </c>
      <c r="F392" s="47" t="s">
        <v>31</v>
      </c>
      <c r="G392" s="47" t="s">
        <v>200</v>
      </c>
      <c r="H392" s="47" t="str">
        <f t="shared" si="13"/>
        <v>POONCH</v>
      </c>
      <c r="I392" s="47" t="s">
        <v>8352</v>
      </c>
      <c r="J392" s="48">
        <v>46043</v>
      </c>
      <c r="K392" s="47">
        <v>8082861684</v>
      </c>
      <c r="L392" s="47" t="s">
        <v>195</v>
      </c>
      <c r="M392" s="49"/>
      <c r="N392" s="48"/>
      <c r="O392" s="47"/>
      <c r="P392" s="50"/>
      <c r="Q392" s="47"/>
      <c r="R392" s="47"/>
    </row>
    <row r="393" spans="1:18" x14ac:dyDescent="0.25">
      <c r="A393" s="47">
        <f t="shared" si="12"/>
        <v>392</v>
      </c>
      <c r="B393" s="47" t="s">
        <v>8339</v>
      </c>
      <c r="C393" s="47" t="s">
        <v>8340</v>
      </c>
      <c r="D393" s="47" t="s">
        <v>8341</v>
      </c>
      <c r="E393" s="47" t="s">
        <v>8342</v>
      </c>
      <c r="F393" s="47" t="s">
        <v>8343</v>
      </c>
      <c r="G393" s="47" t="s">
        <v>200</v>
      </c>
      <c r="H393" s="47" t="str">
        <f t="shared" si="13"/>
        <v>SHOPIAN</v>
      </c>
      <c r="I393" s="47" t="s">
        <v>8350</v>
      </c>
      <c r="J393" s="48">
        <v>46043</v>
      </c>
      <c r="K393" s="47">
        <v>9906439950</v>
      </c>
      <c r="L393" s="47" t="s">
        <v>7959</v>
      </c>
      <c r="M393" s="49" t="s">
        <v>8315</v>
      </c>
      <c r="N393" s="48">
        <v>46059</v>
      </c>
      <c r="O393" s="47" t="s">
        <v>23</v>
      </c>
      <c r="P393" s="50">
        <v>46043</v>
      </c>
      <c r="Q393" s="47" t="s">
        <v>8167</v>
      </c>
      <c r="R393" s="47" t="s">
        <v>8353</v>
      </c>
    </row>
    <row r="394" spans="1:18" x14ac:dyDescent="0.25">
      <c r="A394" s="47">
        <f t="shared" si="12"/>
        <v>393</v>
      </c>
      <c r="B394" s="47" t="s">
        <v>8375</v>
      </c>
      <c r="C394" s="47" t="s">
        <v>8372</v>
      </c>
      <c r="D394" s="47" t="s">
        <v>8373</v>
      </c>
      <c r="E394" s="47" t="s">
        <v>8374</v>
      </c>
      <c r="F394" s="47" t="s">
        <v>125</v>
      </c>
      <c r="G394" s="47" t="s">
        <v>174</v>
      </c>
      <c r="H394" s="47" t="str">
        <f t="shared" si="13"/>
        <v>PULWAMA</v>
      </c>
      <c r="I394" s="47" t="s">
        <v>8376</v>
      </c>
      <c r="J394" s="48">
        <v>46044</v>
      </c>
      <c r="K394" s="47">
        <v>9622626268</v>
      </c>
      <c r="L394" s="47" t="s">
        <v>6521</v>
      </c>
      <c r="M394" s="49" t="s">
        <v>8617</v>
      </c>
      <c r="N394" s="48">
        <v>46056</v>
      </c>
      <c r="O394" s="47"/>
      <c r="P394" s="50"/>
      <c r="Q394" s="47"/>
      <c r="R394" s="47" t="s">
        <v>8353</v>
      </c>
    </row>
    <row r="395" spans="1:18" x14ac:dyDescent="0.25">
      <c r="A395" s="47">
        <f t="shared" si="12"/>
        <v>394</v>
      </c>
      <c r="B395" s="47" t="s">
        <v>8382</v>
      </c>
      <c r="C395" s="47" t="s">
        <v>8378</v>
      </c>
      <c r="D395" s="47" t="s">
        <v>8379</v>
      </c>
      <c r="E395" s="47" t="s">
        <v>8380</v>
      </c>
      <c r="F395" s="47" t="s">
        <v>849</v>
      </c>
      <c r="G395" s="47" t="s">
        <v>200</v>
      </c>
      <c r="H395" s="47" t="str">
        <f t="shared" si="13"/>
        <v>SRINAGAR</v>
      </c>
      <c r="I395" s="47" t="s">
        <v>8381</v>
      </c>
      <c r="J395" s="48">
        <v>46049</v>
      </c>
      <c r="K395" s="47">
        <v>7889538703</v>
      </c>
      <c r="L395" s="47" t="s">
        <v>26</v>
      </c>
      <c r="M395" s="49" t="s">
        <v>7775</v>
      </c>
      <c r="N395" s="48">
        <v>46049</v>
      </c>
      <c r="O395" s="47" t="s">
        <v>23</v>
      </c>
      <c r="P395" s="50">
        <v>46049</v>
      </c>
      <c r="Q395" s="47" t="s">
        <v>6460</v>
      </c>
      <c r="R395" s="47"/>
    </row>
    <row r="396" spans="1:18" x14ac:dyDescent="0.25">
      <c r="A396" s="47">
        <f t="shared" si="12"/>
        <v>395</v>
      </c>
      <c r="B396" s="47" t="s">
        <v>8391</v>
      </c>
      <c r="C396" s="47" t="s">
        <v>8388</v>
      </c>
      <c r="D396" s="47" t="s">
        <v>8389</v>
      </c>
      <c r="E396" s="47" t="s">
        <v>8390</v>
      </c>
      <c r="F396" s="47" t="s">
        <v>5</v>
      </c>
      <c r="G396" s="47" t="s">
        <v>174</v>
      </c>
      <c r="H396" s="47" t="str">
        <f t="shared" si="13"/>
        <v>ANANTNAG</v>
      </c>
      <c r="I396" s="47" t="s">
        <v>8396</v>
      </c>
      <c r="J396" s="48">
        <v>46050</v>
      </c>
      <c r="K396" s="47">
        <v>7889844675</v>
      </c>
      <c r="L396" s="47" t="s">
        <v>26</v>
      </c>
      <c r="M396" s="49" t="s">
        <v>7616</v>
      </c>
      <c r="N396" s="48">
        <v>46062</v>
      </c>
      <c r="O396" s="47" t="s">
        <v>23</v>
      </c>
      <c r="P396" s="50">
        <v>46050</v>
      </c>
      <c r="Q396" s="47" t="s">
        <v>6460</v>
      </c>
      <c r="R396" s="47"/>
    </row>
    <row r="397" spans="1:18" x14ac:dyDescent="0.25">
      <c r="A397" s="47">
        <f t="shared" si="12"/>
        <v>396</v>
      </c>
      <c r="B397" s="47" t="s">
        <v>8387</v>
      </c>
      <c r="C397" s="47" t="s">
        <v>8384</v>
      </c>
      <c r="D397" s="47" t="s">
        <v>8385</v>
      </c>
      <c r="E397" s="47" t="s">
        <v>8386</v>
      </c>
      <c r="F397" s="47" t="s">
        <v>31</v>
      </c>
      <c r="G397" s="47" t="s">
        <v>175</v>
      </c>
      <c r="H397" s="47" t="str">
        <f t="shared" si="13"/>
        <v>BUDGAM</v>
      </c>
      <c r="I397" s="47" t="s">
        <v>8395</v>
      </c>
      <c r="J397" s="48">
        <v>46050</v>
      </c>
      <c r="K397" s="47">
        <v>6006516082</v>
      </c>
      <c r="L397" s="47" t="s">
        <v>61</v>
      </c>
      <c r="M397" s="49" t="s">
        <v>8594</v>
      </c>
      <c r="N397" s="48">
        <v>46056</v>
      </c>
      <c r="O397" s="47" t="s">
        <v>23</v>
      </c>
      <c r="P397" s="50">
        <v>46055</v>
      </c>
      <c r="Q397" s="47" t="s">
        <v>6460</v>
      </c>
      <c r="R397" s="47"/>
    </row>
    <row r="398" spans="1:18" x14ac:dyDescent="0.25">
      <c r="A398" s="47">
        <f t="shared" si="12"/>
        <v>397</v>
      </c>
      <c r="B398" s="47" t="s">
        <v>8398</v>
      </c>
      <c r="C398" s="47" t="s">
        <v>8399</v>
      </c>
      <c r="D398" s="47" t="s">
        <v>8400</v>
      </c>
      <c r="E398" s="47" t="s">
        <v>8401</v>
      </c>
      <c r="F398" s="47" t="s">
        <v>5</v>
      </c>
      <c r="G398" s="47" t="s">
        <v>199</v>
      </c>
      <c r="H398" s="47" t="str">
        <f t="shared" si="13"/>
        <v>PULWAMA</v>
      </c>
      <c r="I398" s="47" t="s">
        <v>8407</v>
      </c>
      <c r="J398" s="48">
        <v>46050</v>
      </c>
      <c r="K398" s="47">
        <v>7889353093</v>
      </c>
      <c r="L398" s="47" t="s">
        <v>6807</v>
      </c>
      <c r="M398" s="49" t="s">
        <v>8617</v>
      </c>
      <c r="N398" s="48">
        <v>46056</v>
      </c>
      <c r="O398" s="47"/>
      <c r="P398" s="50"/>
      <c r="Q398" s="47"/>
      <c r="R398" s="47" t="s">
        <v>8457</v>
      </c>
    </row>
    <row r="399" spans="1:18" x14ac:dyDescent="0.25">
      <c r="A399" s="47">
        <f t="shared" si="12"/>
        <v>398</v>
      </c>
      <c r="B399" s="47" t="s">
        <v>8394</v>
      </c>
      <c r="C399" s="47" t="s">
        <v>8392</v>
      </c>
      <c r="D399" s="47" t="s">
        <v>8393</v>
      </c>
      <c r="E399" s="47" t="s">
        <v>8176</v>
      </c>
      <c r="F399" s="47" t="s">
        <v>37</v>
      </c>
      <c r="G399" s="47" t="s">
        <v>181</v>
      </c>
      <c r="H399" s="47" t="str">
        <f t="shared" si="13"/>
        <v>PULWAMA</v>
      </c>
      <c r="I399" s="47" t="s">
        <v>8397</v>
      </c>
      <c r="J399" s="48">
        <v>46050</v>
      </c>
      <c r="K399" s="47">
        <v>7006154741</v>
      </c>
      <c r="L399" s="47" t="s">
        <v>26</v>
      </c>
      <c r="M399" s="49" t="s">
        <v>8530</v>
      </c>
      <c r="N399" s="48">
        <v>46053</v>
      </c>
      <c r="O399" s="47" t="s">
        <v>23</v>
      </c>
      <c r="P399" s="50">
        <v>46050</v>
      </c>
      <c r="Q399" s="47" t="s">
        <v>6460</v>
      </c>
      <c r="R399" s="47"/>
    </row>
    <row r="400" spans="1:18" x14ac:dyDescent="0.25">
      <c r="A400" s="47">
        <f t="shared" si="12"/>
        <v>399</v>
      </c>
      <c r="B400" s="47" t="s">
        <v>8405</v>
      </c>
      <c r="C400" s="47" t="s">
        <v>8402</v>
      </c>
      <c r="D400" s="47" t="s">
        <v>8403</v>
      </c>
      <c r="E400" s="47" t="s">
        <v>8404</v>
      </c>
      <c r="F400" s="47" t="s">
        <v>290</v>
      </c>
      <c r="G400" s="47" t="s">
        <v>200</v>
      </c>
      <c r="H400" s="47" t="str">
        <f t="shared" si="13"/>
        <v>SHOPIAN</v>
      </c>
      <c r="I400" s="47" t="s">
        <v>8406</v>
      </c>
      <c r="J400" s="48">
        <v>46050</v>
      </c>
      <c r="K400" s="47">
        <v>6005048054</v>
      </c>
      <c r="L400" s="47" t="s">
        <v>7959</v>
      </c>
      <c r="M400" s="49" t="s">
        <v>8695</v>
      </c>
      <c r="N400" s="48">
        <v>46052</v>
      </c>
      <c r="O400" s="47"/>
      <c r="P400" s="50"/>
      <c r="Q400" s="47"/>
      <c r="R400" s="47"/>
    </row>
    <row r="401" spans="1:18" x14ac:dyDescent="0.25">
      <c r="A401" s="47">
        <f t="shared" si="12"/>
        <v>400</v>
      </c>
      <c r="B401" s="47" t="s">
        <v>8449</v>
      </c>
      <c r="C401" s="47" t="s">
        <v>8450</v>
      </c>
      <c r="D401" s="47" t="s">
        <v>8451</v>
      </c>
      <c r="E401" s="47" t="s">
        <v>8452</v>
      </c>
      <c r="F401" s="47" t="s">
        <v>67</v>
      </c>
      <c r="G401" s="47" t="s">
        <v>200</v>
      </c>
      <c r="H401" s="47" t="str">
        <f t="shared" si="13"/>
        <v>SRINAGAR</v>
      </c>
      <c r="I401" s="47" t="s">
        <v>8461</v>
      </c>
      <c r="J401" s="48">
        <v>46051</v>
      </c>
      <c r="K401" s="47">
        <v>9622217999</v>
      </c>
      <c r="L401" s="47" t="s">
        <v>43</v>
      </c>
      <c r="M401" s="49"/>
      <c r="N401" s="48"/>
      <c r="O401" s="47" t="s">
        <v>23</v>
      </c>
      <c r="P401" s="50">
        <v>46052</v>
      </c>
      <c r="Q401" s="47" t="s">
        <v>6460</v>
      </c>
      <c r="R401" s="47"/>
    </row>
    <row r="402" spans="1:18" x14ac:dyDescent="0.25">
      <c r="A402" s="47">
        <f t="shared" si="12"/>
        <v>401</v>
      </c>
      <c r="B402" s="47" t="s">
        <v>8439</v>
      </c>
      <c r="C402" s="47" t="s">
        <v>8440</v>
      </c>
      <c r="D402" s="47" t="s">
        <v>8441</v>
      </c>
      <c r="E402" s="47" t="s">
        <v>4781</v>
      </c>
      <c r="F402" s="47" t="s">
        <v>125</v>
      </c>
      <c r="G402" s="47" t="s">
        <v>175</v>
      </c>
      <c r="H402" s="47" t="str">
        <f t="shared" si="13"/>
        <v>SRINAGAR</v>
      </c>
      <c r="I402" s="47" t="s">
        <v>8447</v>
      </c>
      <c r="J402" s="48">
        <v>46051</v>
      </c>
      <c r="K402" s="47">
        <v>7006788825</v>
      </c>
      <c r="L402" s="47" t="s">
        <v>307</v>
      </c>
      <c r="M402" s="49" t="s">
        <v>8093</v>
      </c>
      <c r="N402" s="48">
        <v>46052</v>
      </c>
      <c r="O402" s="47" t="s">
        <v>23</v>
      </c>
      <c r="P402" s="50">
        <v>46052</v>
      </c>
      <c r="Q402" s="47" t="s">
        <v>6460</v>
      </c>
      <c r="R402" s="47"/>
    </row>
    <row r="403" spans="1:18" x14ac:dyDescent="0.25">
      <c r="A403" s="47">
        <f t="shared" si="12"/>
        <v>402</v>
      </c>
      <c r="B403" s="47" t="s">
        <v>8453</v>
      </c>
      <c r="C403" s="47" t="s">
        <v>8454</v>
      </c>
      <c r="D403" s="47" t="s">
        <v>8455</v>
      </c>
      <c r="E403" s="47" t="s">
        <v>8456</v>
      </c>
      <c r="F403" s="47" t="s">
        <v>31</v>
      </c>
      <c r="G403" s="47" t="s">
        <v>175</v>
      </c>
      <c r="H403" s="47" t="str">
        <f t="shared" si="13"/>
        <v>SRINAGAR</v>
      </c>
      <c r="I403" s="47" t="s">
        <v>8462</v>
      </c>
      <c r="J403" s="48">
        <v>46051</v>
      </c>
      <c r="K403" s="47">
        <v>7006896658</v>
      </c>
      <c r="L403" s="47" t="s">
        <v>75</v>
      </c>
      <c r="M403" s="49" t="s">
        <v>7775</v>
      </c>
      <c r="N403" s="48">
        <v>46053</v>
      </c>
      <c r="O403" s="47" t="s">
        <v>23</v>
      </c>
      <c r="P403" s="50">
        <v>46053</v>
      </c>
      <c r="Q403" s="47" t="s">
        <v>6460</v>
      </c>
      <c r="R403" s="47"/>
    </row>
    <row r="404" spans="1:18" x14ac:dyDescent="0.25">
      <c r="A404" s="47">
        <f t="shared" si="12"/>
        <v>403</v>
      </c>
      <c r="B404" s="47" t="s">
        <v>8410</v>
      </c>
      <c r="C404" s="47" t="s">
        <v>8411</v>
      </c>
      <c r="D404" s="47" t="s">
        <v>8412</v>
      </c>
      <c r="E404" s="47" t="s">
        <v>8413</v>
      </c>
      <c r="F404" s="47" t="s">
        <v>8414</v>
      </c>
      <c r="G404" s="47" t="s">
        <v>199</v>
      </c>
      <c r="H404" s="47" t="str">
        <f t="shared" si="13"/>
        <v>SRINAGAR</v>
      </c>
      <c r="I404" s="47" t="s">
        <v>8433</v>
      </c>
      <c r="J404" s="48">
        <v>46051</v>
      </c>
      <c r="K404" s="47">
        <v>9596194280</v>
      </c>
      <c r="L404" s="47" t="s">
        <v>26</v>
      </c>
      <c r="M404" s="49" t="s">
        <v>7616</v>
      </c>
      <c r="N404" s="48">
        <v>46052</v>
      </c>
      <c r="O404" s="47" t="s">
        <v>23</v>
      </c>
      <c r="P404" s="50">
        <v>46051</v>
      </c>
      <c r="Q404" s="47" t="s">
        <v>6460</v>
      </c>
      <c r="R404" s="47"/>
    </row>
    <row r="405" spans="1:18" x14ac:dyDescent="0.25">
      <c r="A405" s="47">
        <f t="shared" si="12"/>
        <v>404</v>
      </c>
      <c r="B405" s="47" t="s">
        <v>8418</v>
      </c>
      <c r="C405" s="47" t="s">
        <v>8417</v>
      </c>
      <c r="D405" s="47" t="s">
        <v>8416</v>
      </c>
      <c r="E405" s="47" t="s">
        <v>3561</v>
      </c>
      <c r="F405" s="47" t="s">
        <v>8414</v>
      </c>
      <c r="G405" s="47" t="s">
        <v>199</v>
      </c>
      <c r="H405" s="47" t="str">
        <f t="shared" si="13"/>
        <v>SRINAGAR</v>
      </c>
      <c r="I405" s="47" t="s">
        <v>8415</v>
      </c>
      <c r="J405" s="48">
        <v>46051</v>
      </c>
      <c r="K405" s="47">
        <v>9419590443</v>
      </c>
      <c r="L405" s="47" t="s">
        <v>307</v>
      </c>
      <c r="M405" s="49"/>
      <c r="N405" s="48"/>
      <c r="O405" s="47" t="s">
        <v>23</v>
      </c>
      <c r="P405" s="50">
        <v>46051</v>
      </c>
      <c r="Q405" s="47" t="s">
        <v>6460</v>
      </c>
      <c r="R405" s="47"/>
    </row>
    <row r="406" spans="1:18" x14ac:dyDescent="0.25">
      <c r="A406" s="47">
        <f t="shared" si="12"/>
        <v>405</v>
      </c>
      <c r="B406" s="47" t="s">
        <v>8424</v>
      </c>
      <c r="C406" s="47" t="s">
        <v>8425</v>
      </c>
      <c r="D406" s="47" t="s">
        <v>8426</v>
      </c>
      <c r="E406" s="47" t="s">
        <v>8427</v>
      </c>
      <c r="F406" s="47" t="s">
        <v>8423</v>
      </c>
      <c r="G406" s="47" t="s">
        <v>181</v>
      </c>
      <c r="H406" s="47" t="str">
        <f t="shared" si="13"/>
        <v>BUDGAM</v>
      </c>
      <c r="I406" s="47" t="s">
        <v>8432</v>
      </c>
      <c r="J406" s="48">
        <v>46051</v>
      </c>
      <c r="K406" s="47">
        <v>7006260958</v>
      </c>
      <c r="L406" s="47" t="s">
        <v>75</v>
      </c>
      <c r="M406" s="49" t="s">
        <v>7894</v>
      </c>
      <c r="N406" s="48">
        <v>46060</v>
      </c>
      <c r="O406" s="47" t="s">
        <v>23</v>
      </c>
      <c r="P406" s="48">
        <v>46060</v>
      </c>
      <c r="Q406" s="47" t="s">
        <v>6460</v>
      </c>
      <c r="R406" s="47"/>
    </row>
    <row r="407" spans="1:18" x14ac:dyDescent="0.25">
      <c r="A407" s="47">
        <f t="shared" si="12"/>
        <v>406</v>
      </c>
      <c r="B407" s="47" t="s">
        <v>8442</v>
      </c>
      <c r="C407" s="47" t="s">
        <v>8443</v>
      </c>
      <c r="D407" s="47" t="s">
        <v>8444</v>
      </c>
      <c r="E407" s="47" t="s">
        <v>8445</v>
      </c>
      <c r="F407" s="47" t="s">
        <v>5</v>
      </c>
      <c r="G407" s="47" t="s">
        <v>199</v>
      </c>
      <c r="H407" s="47" t="str">
        <f t="shared" si="13"/>
        <v>BUDGAM</v>
      </c>
      <c r="I407" s="47" t="s">
        <v>8448</v>
      </c>
      <c r="J407" s="48">
        <v>46051</v>
      </c>
      <c r="K407" s="47">
        <v>9055007706</v>
      </c>
      <c r="L407" s="47" t="s">
        <v>194</v>
      </c>
      <c r="M407" s="49" t="s">
        <v>7595</v>
      </c>
      <c r="N407" s="48">
        <v>46057</v>
      </c>
      <c r="O407" s="47" t="s">
        <v>23</v>
      </c>
      <c r="P407" s="50">
        <v>46051</v>
      </c>
      <c r="Q407" s="47" t="s">
        <v>6460</v>
      </c>
      <c r="R407" s="47"/>
    </row>
    <row r="408" spans="1:18" x14ac:dyDescent="0.25">
      <c r="A408" s="47">
        <f t="shared" si="12"/>
        <v>407</v>
      </c>
      <c r="B408" s="47" t="s">
        <v>8419</v>
      </c>
      <c r="C408" s="47" t="s">
        <v>8420</v>
      </c>
      <c r="D408" s="47" t="s">
        <v>8421</v>
      </c>
      <c r="E408" s="47" t="s">
        <v>8422</v>
      </c>
      <c r="F408" s="47" t="s">
        <v>8423</v>
      </c>
      <c r="G408" s="47" t="s">
        <v>226</v>
      </c>
      <c r="H408" s="47" t="str">
        <f t="shared" si="13"/>
        <v>BUDGAM</v>
      </c>
      <c r="I408" s="47" t="s">
        <v>8431</v>
      </c>
      <c r="J408" s="48">
        <v>46051</v>
      </c>
      <c r="K408" s="47">
        <v>8491887577</v>
      </c>
      <c r="L408" s="47" t="s">
        <v>75</v>
      </c>
      <c r="M408" s="49" t="s">
        <v>7894</v>
      </c>
      <c r="N408" s="48">
        <v>46060</v>
      </c>
      <c r="O408" s="47" t="s">
        <v>23</v>
      </c>
      <c r="P408" s="48">
        <v>46060</v>
      </c>
      <c r="Q408" s="47" t="s">
        <v>6460</v>
      </c>
      <c r="R408" s="47"/>
    </row>
    <row r="409" spans="1:18" x14ac:dyDescent="0.25">
      <c r="A409" s="47">
        <f t="shared" si="12"/>
        <v>408</v>
      </c>
      <c r="B409" s="47" t="s">
        <v>8438</v>
      </c>
      <c r="C409" s="47" t="s">
        <v>8435</v>
      </c>
      <c r="D409" s="47" t="s">
        <v>8436</v>
      </c>
      <c r="E409" s="47" t="s">
        <v>8437</v>
      </c>
      <c r="F409" s="47" t="s">
        <v>67</v>
      </c>
      <c r="G409" s="47" t="s">
        <v>199</v>
      </c>
      <c r="H409" s="47" t="str">
        <f t="shared" si="13"/>
        <v>BARAMULLA</v>
      </c>
      <c r="I409" s="47" t="s">
        <v>8446</v>
      </c>
      <c r="J409" s="48">
        <v>46051</v>
      </c>
      <c r="K409" s="47">
        <v>9149943016</v>
      </c>
      <c r="L409" s="47" t="s">
        <v>75</v>
      </c>
      <c r="M409" s="49" t="s">
        <v>7894</v>
      </c>
      <c r="N409" s="48">
        <v>46052</v>
      </c>
      <c r="O409" s="47" t="s">
        <v>23</v>
      </c>
      <c r="P409" s="50">
        <v>46052</v>
      </c>
      <c r="Q409" s="47" t="s">
        <v>6460</v>
      </c>
      <c r="R409" s="47"/>
    </row>
    <row r="410" spans="1:18" x14ac:dyDescent="0.25">
      <c r="A410" s="47">
        <f t="shared" si="12"/>
        <v>409</v>
      </c>
      <c r="B410" s="47" t="s">
        <v>8428</v>
      </c>
      <c r="C410" s="47" t="s">
        <v>8429</v>
      </c>
      <c r="D410" s="47" t="s">
        <v>8430</v>
      </c>
      <c r="E410" s="47" t="s">
        <v>5451</v>
      </c>
      <c r="F410" s="47" t="s">
        <v>31</v>
      </c>
      <c r="G410" s="47" t="s">
        <v>199</v>
      </c>
      <c r="H410" s="47" t="str">
        <f t="shared" si="13"/>
        <v>PULWAMA</v>
      </c>
      <c r="I410" s="47" t="s">
        <v>8434</v>
      </c>
      <c r="J410" s="48">
        <v>46051</v>
      </c>
      <c r="K410" s="47">
        <v>9622820824</v>
      </c>
      <c r="L410" s="47" t="s">
        <v>6521</v>
      </c>
      <c r="M410" s="49" t="s">
        <v>8617</v>
      </c>
      <c r="N410" s="48">
        <v>46056</v>
      </c>
      <c r="O410" s="47"/>
      <c r="P410" s="50"/>
      <c r="Q410" s="47"/>
      <c r="R410" s="47" t="s">
        <v>8457</v>
      </c>
    </row>
    <row r="411" spans="1:18" x14ac:dyDescent="0.25">
      <c r="A411" s="47">
        <f t="shared" si="12"/>
        <v>410</v>
      </c>
      <c r="B411" s="47" t="s">
        <v>8468</v>
      </c>
      <c r="C411" s="47" t="s">
        <v>8469</v>
      </c>
      <c r="D411" s="47" t="s">
        <v>8470</v>
      </c>
      <c r="E411" s="47" t="s">
        <v>8471</v>
      </c>
      <c r="F411" s="47" t="s">
        <v>67</v>
      </c>
      <c r="G411" s="47" t="s">
        <v>181</v>
      </c>
      <c r="H411" s="47" t="str">
        <f t="shared" si="13"/>
        <v>SRINAGAR</v>
      </c>
      <c r="I411" s="47" t="s">
        <v>8472</v>
      </c>
      <c r="J411" s="48">
        <v>46052</v>
      </c>
      <c r="K411" s="47">
        <v>9906504452</v>
      </c>
      <c r="L411" s="47" t="s">
        <v>26</v>
      </c>
      <c r="M411" s="49" t="s">
        <v>8530</v>
      </c>
      <c r="N411" s="48">
        <v>46053</v>
      </c>
      <c r="O411" s="47" t="s">
        <v>23</v>
      </c>
      <c r="P411" s="50">
        <v>46052</v>
      </c>
      <c r="Q411" s="47" t="s">
        <v>6460</v>
      </c>
      <c r="R411" s="47"/>
    </row>
    <row r="412" spans="1:18" x14ac:dyDescent="0.25">
      <c r="A412" s="47">
        <f t="shared" si="12"/>
        <v>411</v>
      </c>
      <c r="B412" s="47" t="s">
        <v>8502</v>
      </c>
      <c r="C412" s="47" t="s">
        <v>8503</v>
      </c>
      <c r="D412" s="47" t="s">
        <v>8504</v>
      </c>
      <c r="E412" s="47" t="s">
        <v>8505</v>
      </c>
      <c r="F412" s="47" t="s">
        <v>100</v>
      </c>
      <c r="G412" s="47" t="s">
        <v>174</v>
      </c>
      <c r="H412" s="47" t="str">
        <f t="shared" si="13"/>
        <v>SRINAGAR</v>
      </c>
      <c r="I412" s="47" t="s">
        <v>8510</v>
      </c>
      <c r="J412" s="48">
        <v>46052</v>
      </c>
      <c r="K412" s="47">
        <v>6005635173</v>
      </c>
      <c r="L412" s="47" t="s">
        <v>26</v>
      </c>
      <c r="M412" s="49"/>
      <c r="N412" s="48"/>
      <c r="O412" s="47" t="s">
        <v>23</v>
      </c>
      <c r="P412" s="50">
        <v>46055</v>
      </c>
      <c r="Q412" s="47" t="s">
        <v>6460</v>
      </c>
      <c r="R412" s="47"/>
    </row>
    <row r="413" spans="1:18" x14ac:dyDescent="0.25">
      <c r="A413" s="47">
        <f t="shared" si="12"/>
        <v>412</v>
      </c>
      <c r="B413" s="47" t="s">
        <v>8476</v>
      </c>
      <c r="C413" s="47" t="s">
        <v>8477</v>
      </c>
      <c r="D413" s="47" t="s">
        <v>8478</v>
      </c>
      <c r="E413" s="47" t="s">
        <v>3610</v>
      </c>
      <c r="F413" s="47" t="s">
        <v>31</v>
      </c>
      <c r="G413" s="47" t="s">
        <v>199</v>
      </c>
      <c r="H413" s="47" t="str">
        <f t="shared" si="13"/>
        <v>ANANTNAG</v>
      </c>
      <c r="I413" s="47" t="s">
        <v>8487</v>
      </c>
      <c r="J413" s="48">
        <v>46052</v>
      </c>
      <c r="K413" s="47">
        <v>9596498016</v>
      </c>
      <c r="L413" s="47" t="s">
        <v>6832</v>
      </c>
      <c r="M413" s="49"/>
      <c r="N413" s="48"/>
      <c r="O413" s="47" t="s">
        <v>23</v>
      </c>
      <c r="P413" s="50">
        <v>46053</v>
      </c>
      <c r="Q413" s="47" t="s">
        <v>6460</v>
      </c>
      <c r="R413" s="47"/>
    </row>
    <row r="414" spans="1:18" x14ac:dyDescent="0.25">
      <c r="A414" s="47">
        <f t="shared" si="12"/>
        <v>413</v>
      </c>
      <c r="B414" s="47" t="s">
        <v>8499</v>
      </c>
      <c r="C414" s="47" t="s">
        <v>8500</v>
      </c>
      <c r="D414" s="47" t="s">
        <v>8501</v>
      </c>
      <c r="E414" s="47" t="s">
        <v>1959</v>
      </c>
      <c r="F414" s="47" t="s">
        <v>100</v>
      </c>
      <c r="G414" s="47" t="s">
        <v>200</v>
      </c>
      <c r="H414" s="47" t="str">
        <f t="shared" si="13"/>
        <v>BUDGAM</v>
      </c>
      <c r="I414" s="47" t="s">
        <v>8511</v>
      </c>
      <c r="J414" s="48">
        <v>46052</v>
      </c>
      <c r="K414" s="47">
        <v>9906410003</v>
      </c>
      <c r="L414" s="47" t="s">
        <v>176</v>
      </c>
      <c r="M414" s="49" t="s">
        <v>8228</v>
      </c>
      <c r="N414" s="48">
        <v>46055</v>
      </c>
      <c r="O414" s="47" t="s">
        <v>23</v>
      </c>
      <c r="P414" s="50">
        <v>46055</v>
      </c>
      <c r="Q414" s="47" t="s">
        <v>6460</v>
      </c>
      <c r="R414" s="47"/>
    </row>
    <row r="415" spans="1:18" x14ac:dyDescent="0.25">
      <c r="A415" s="47">
        <f t="shared" si="12"/>
        <v>414</v>
      </c>
      <c r="B415" s="47" t="s">
        <v>8493</v>
      </c>
      <c r="C415" s="47" t="s">
        <v>8489</v>
      </c>
      <c r="D415" s="47" t="s">
        <v>8490</v>
      </c>
      <c r="E415" s="47" t="s">
        <v>8491</v>
      </c>
      <c r="F415" s="47" t="s">
        <v>125</v>
      </c>
      <c r="G415" s="47" t="s">
        <v>199</v>
      </c>
      <c r="H415" s="47" t="str">
        <f t="shared" si="13"/>
        <v>BUDGAM</v>
      </c>
      <c r="I415" s="47" t="s">
        <v>8513</v>
      </c>
      <c r="J415" s="48">
        <v>46052</v>
      </c>
      <c r="K415" s="47">
        <v>9541509928</v>
      </c>
      <c r="L415" s="47" t="s">
        <v>176</v>
      </c>
      <c r="M415" s="49" t="s">
        <v>8228</v>
      </c>
      <c r="N415" s="48">
        <v>46058</v>
      </c>
      <c r="O415" s="47" t="s">
        <v>23</v>
      </c>
      <c r="P415" s="50">
        <v>46058</v>
      </c>
      <c r="Q415" s="47" t="s">
        <v>6460</v>
      </c>
      <c r="R415" s="47"/>
    </row>
    <row r="416" spans="1:18" x14ac:dyDescent="0.25">
      <c r="A416" s="47">
        <f t="shared" si="12"/>
        <v>415</v>
      </c>
      <c r="B416" s="47" t="s">
        <v>8483</v>
      </c>
      <c r="C416" s="47" t="s">
        <v>8484</v>
      </c>
      <c r="D416" s="47" t="s">
        <v>8485</v>
      </c>
      <c r="E416" s="47" t="s">
        <v>8486</v>
      </c>
      <c r="F416" s="47" t="s">
        <v>486</v>
      </c>
      <c r="G416" s="47" t="s">
        <v>199</v>
      </c>
      <c r="H416" s="47" t="str">
        <f t="shared" si="13"/>
        <v>BARAMULLA</v>
      </c>
      <c r="I416" s="47" t="s">
        <v>8488</v>
      </c>
      <c r="J416" s="48">
        <v>46052</v>
      </c>
      <c r="K416" s="47">
        <v>7006407965</v>
      </c>
      <c r="L416" s="47" t="s">
        <v>6683</v>
      </c>
      <c r="M416" s="49" t="s">
        <v>8094</v>
      </c>
      <c r="N416" s="48">
        <v>46055</v>
      </c>
      <c r="O416" s="47" t="s">
        <v>23</v>
      </c>
      <c r="P416" s="50">
        <v>46055</v>
      </c>
      <c r="Q416" s="47" t="s">
        <v>6460</v>
      </c>
      <c r="R416" s="47"/>
    </row>
    <row r="417" spans="1:18" x14ac:dyDescent="0.25">
      <c r="A417" s="47">
        <f t="shared" si="12"/>
        <v>416</v>
      </c>
      <c r="B417" s="47" t="s">
        <v>8467</v>
      </c>
      <c r="C417" s="47" t="s">
        <v>8464</v>
      </c>
      <c r="D417" s="47" t="s">
        <v>8465</v>
      </c>
      <c r="E417" s="47" t="s">
        <v>8466</v>
      </c>
      <c r="F417" s="47" t="s">
        <v>119</v>
      </c>
      <c r="G417" s="47" t="s">
        <v>174</v>
      </c>
      <c r="H417" s="47" t="str">
        <f t="shared" si="13"/>
        <v>SHOPIAN</v>
      </c>
      <c r="I417" s="47" t="s">
        <v>8473</v>
      </c>
      <c r="J417" s="48">
        <v>46052</v>
      </c>
      <c r="K417" s="47">
        <v>8899524496</v>
      </c>
      <c r="L417" s="47" t="s">
        <v>7699</v>
      </c>
      <c r="M417" s="49"/>
      <c r="N417" s="48"/>
      <c r="O417" s="47" t="s">
        <v>23</v>
      </c>
      <c r="P417" s="50">
        <v>46055</v>
      </c>
      <c r="Q417" s="47" t="s">
        <v>6460</v>
      </c>
      <c r="R417" s="47"/>
    </row>
    <row r="418" spans="1:18" x14ac:dyDescent="0.25">
      <c r="A418" s="47">
        <f t="shared" si="12"/>
        <v>417</v>
      </c>
      <c r="B418" s="47" t="s">
        <v>8492</v>
      </c>
      <c r="C418" s="47" t="s">
        <v>8494</v>
      </c>
      <c r="D418" s="47" t="s">
        <v>8495</v>
      </c>
      <c r="E418" s="47" t="s">
        <v>8496</v>
      </c>
      <c r="F418" s="47" t="s">
        <v>67</v>
      </c>
      <c r="G418" s="47" t="s">
        <v>200</v>
      </c>
      <c r="H418" s="47" t="str">
        <f t="shared" si="13"/>
        <v>SHOPIAN</v>
      </c>
      <c r="I418" s="47" t="s">
        <v>8512</v>
      </c>
      <c r="J418" s="48">
        <v>46052</v>
      </c>
      <c r="K418" s="47">
        <v>6006352271</v>
      </c>
      <c r="L418" s="47" t="s">
        <v>6451</v>
      </c>
      <c r="M418" s="49"/>
      <c r="N418" s="48"/>
      <c r="O418" s="47"/>
      <c r="P418" s="50"/>
      <c r="Q418" s="47"/>
      <c r="R418" s="47"/>
    </row>
    <row r="419" spans="1:18" x14ac:dyDescent="0.25">
      <c r="A419" s="47">
        <f t="shared" si="12"/>
        <v>418</v>
      </c>
      <c r="B419" s="47" t="s">
        <v>8479</v>
      </c>
      <c r="C419" s="47" t="s">
        <v>8480</v>
      </c>
      <c r="D419" s="47" t="s">
        <v>8481</v>
      </c>
      <c r="E419" s="47" t="s">
        <v>8482</v>
      </c>
      <c r="F419" s="47" t="s">
        <v>6919</v>
      </c>
      <c r="G419" s="47" t="s">
        <v>200</v>
      </c>
      <c r="H419" s="47" t="str">
        <f t="shared" si="13"/>
        <v>TEMP</v>
      </c>
      <c r="I419" s="47" t="s">
        <v>8700</v>
      </c>
      <c r="J419" s="48">
        <v>46052</v>
      </c>
      <c r="K419" s="47">
        <v>9417233208</v>
      </c>
      <c r="L419" s="47" t="s">
        <v>106</v>
      </c>
      <c r="M419" s="49"/>
      <c r="N419" s="48"/>
      <c r="O419" s="47"/>
      <c r="P419" s="50"/>
      <c r="Q419" s="47"/>
      <c r="R419" s="47"/>
    </row>
    <row r="420" spans="1:18" x14ac:dyDescent="0.25">
      <c r="A420" s="47">
        <f t="shared" si="12"/>
        <v>419</v>
      </c>
      <c r="B420" s="47" t="s">
        <v>8509</v>
      </c>
      <c r="C420" s="47" t="s">
        <v>8506</v>
      </c>
      <c r="D420" s="47" t="s">
        <v>8507</v>
      </c>
      <c r="E420" s="47" t="s">
        <v>8508</v>
      </c>
      <c r="F420" s="47" t="s">
        <v>31</v>
      </c>
      <c r="G420" s="47" t="s">
        <v>175</v>
      </c>
      <c r="H420" s="47" t="str">
        <f t="shared" si="13"/>
        <v>SRINAGAR</v>
      </c>
      <c r="I420" s="47" t="s">
        <v>8517</v>
      </c>
      <c r="J420" s="48">
        <v>46053</v>
      </c>
      <c r="K420" s="47">
        <v>9541399468</v>
      </c>
      <c r="L420" s="47" t="s">
        <v>43</v>
      </c>
      <c r="M420" s="49" t="s">
        <v>8544</v>
      </c>
      <c r="N420" s="48">
        <v>46053</v>
      </c>
      <c r="O420" s="47" t="s">
        <v>23</v>
      </c>
      <c r="P420" s="50">
        <v>46053</v>
      </c>
      <c r="Q420" s="47" t="s">
        <v>6460</v>
      </c>
      <c r="R420" s="47"/>
    </row>
    <row r="421" spans="1:18" x14ac:dyDescent="0.25">
      <c r="A421" s="47">
        <f t="shared" si="12"/>
        <v>420</v>
      </c>
      <c r="B421" s="47" t="s">
        <v>8552</v>
      </c>
      <c r="C421" s="47" t="s">
        <v>8549</v>
      </c>
      <c r="D421" s="47" t="s">
        <v>8550</v>
      </c>
      <c r="E421" s="47" t="s">
        <v>8551</v>
      </c>
      <c r="F421" s="47" t="s">
        <v>67</v>
      </c>
      <c r="G421" s="47" t="s">
        <v>226</v>
      </c>
      <c r="H421" s="47" t="str">
        <f t="shared" si="13"/>
        <v>SRINAGAR</v>
      </c>
      <c r="I421" s="47" t="s">
        <v>8554</v>
      </c>
      <c r="J421" s="48">
        <v>46053</v>
      </c>
      <c r="K421" s="47">
        <v>7006454352</v>
      </c>
      <c r="L421" s="47" t="s">
        <v>307</v>
      </c>
      <c r="M421" s="49" t="s">
        <v>8093</v>
      </c>
      <c r="N421" s="48">
        <v>46059</v>
      </c>
      <c r="O421" s="47" t="s">
        <v>23</v>
      </c>
      <c r="P421" s="50">
        <v>46056</v>
      </c>
      <c r="Q421" s="47" t="s">
        <v>6460</v>
      </c>
      <c r="R421" s="47"/>
    </row>
    <row r="422" spans="1:18" x14ac:dyDescent="0.25">
      <c r="A422" s="47">
        <f t="shared" si="12"/>
        <v>421</v>
      </c>
      <c r="B422" s="47" t="s">
        <v>8514</v>
      </c>
      <c r="C422" s="47" t="s">
        <v>8515</v>
      </c>
      <c r="D422" s="47" t="s">
        <v>8516</v>
      </c>
      <c r="E422" s="47" t="s">
        <v>4947</v>
      </c>
      <c r="F422" s="47" t="s">
        <v>100</v>
      </c>
      <c r="G422" s="47" t="s">
        <v>174</v>
      </c>
      <c r="H422" s="47" t="str">
        <f t="shared" si="13"/>
        <v>BUDGAM</v>
      </c>
      <c r="I422" s="47" t="s">
        <v>8518</v>
      </c>
      <c r="J422" s="48">
        <v>46053</v>
      </c>
      <c r="K422" s="47">
        <v>6006480663</v>
      </c>
      <c r="L422" s="47" t="s">
        <v>70</v>
      </c>
      <c r="M422" s="49" t="s">
        <v>7954</v>
      </c>
      <c r="N422" s="48">
        <v>46055</v>
      </c>
      <c r="O422" s="47" t="s">
        <v>23</v>
      </c>
      <c r="P422" s="50">
        <v>46053</v>
      </c>
      <c r="Q422" s="47" t="s">
        <v>6460</v>
      </c>
      <c r="R422" s="47"/>
    </row>
    <row r="423" spans="1:18" x14ac:dyDescent="0.25">
      <c r="A423" s="47">
        <f t="shared" si="12"/>
        <v>422</v>
      </c>
      <c r="B423" s="47" t="s">
        <v>8539</v>
      </c>
      <c r="C423" s="47" t="s">
        <v>8540</v>
      </c>
      <c r="D423" s="47" t="s">
        <v>8541</v>
      </c>
      <c r="E423" s="47" t="s">
        <v>8542</v>
      </c>
      <c r="F423" s="47" t="s">
        <v>12</v>
      </c>
      <c r="G423" s="47" t="s">
        <v>200</v>
      </c>
      <c r="H423" s="47" t="str">
        <f t="shared" si="13"/>
        <v>KUPWARA</v>
      </c>
      <c r="I423" s="47" t="s">
        <v>8543</v>
      </c>
      <c r="J423" s="48">
        <v>46053</v>
      </c>
      <c r="K423" s="47">
        <v>7006565735</v>
      </c>
      <c r="L423" s="47" t="s">
        <v>26</v>
      </c>
      <c r="M423" s="49" t="s">
        <v>8666</v>
      </c>
      <c r="N423" s="48">
        <v>46057</v>
      </c>
      <c r="O423" s="47" t="s">
        <v>23</v>
      </c>
      <c r="P423" s="50">
        <v>46055</v>
      </c>
      <c r="Q423" s="47" t="s">
        <v>6460</v>
      </c>
      <c r="R423" s="47"/>
    </row>
    <row r="424" spans="1:18" x14ac:dyDescent="0.25">
      <c r="A424" s="47">
        <f t="shared" si="12"/>
        <v>423</v>
      </c>
      <c r="B424" s="47" t="s">
        <v>8527</v>
      </c>
      <c r="C424" s="47" t="s">
        <v>8524</v>
      </c>
      <c r="D424" s="47" t="s">
        <v>8525</v>
      </c>
      <c r="E424" s="47" t="s">
        <v>8526</v>
      </c>
      <c r="F424" s="47" t="s">
        <v>67</v>
      </c>
      <c r="G424" s="47" t="s">
        <v>199</v>
      </c>
      <c r="H424" s="47" t="str">
        <f t="shared" si="13"/>
        <v>PULWAMA</v>
      </c>
      <c r="I424" s="47" t="s">
        <v>8528</v>
      </c>
      <c r="J424" s="48">
        <v>46053</v>
      </c>
      <c r="K424" s="47">
        <v>7006019277</v>
      </c>
      <c r="L424" s="47" t="s">
        <v>6451</v>
      </c>
      <c r="M424" s="49"/>
      <c r="N424" s="48"/>
      <c r="O424" s="47"/>
      <c r="P424" s="50"/>
      <c r="Q424" s="47"/>
      <c r="R424" s="47"/>
    </row>
    <row r="425" spans="1:18" x14ac:dyDescent="0.25">
      <c r="A425" s="47">
        <f t="shared" si="12"/>
        <v>424</v>
      </c>
      <c r="B425" s="47" t="s">
        <v>8534</v>
      </c>
      <c r="C425" s="47" t="s">
        <v>8535</v>
      </c>
      <c r="D425" s="47" t="s">
        <v>8536</v>
      </c>
      <c r="E425" s="47" t="s">
        <v>8537</v>
      </c>
      <c r="F425" s="47" t="s">
        <v>31</v>
      </c>
      <c r="G425" s="47" t="s">
        <v>175</v>
      </c>
      <c r="H425" s="47" t="str">
        <f t="shared" si="13"/>
        <v>BANDIPORA</v>
      </c>
      <c r="I425" s="47" t="s">
        <v>8538</v>
      </c>
      <c r="J425" s="48">
        <v>46053</v>
      </c>
      <c r="K425" s="47">
        <v>8082560332</v>
      </c>
      <c r="L425" s="47" t="s">
        <v>307</v>
      </c>
      <c r="M425" s="49" t="s">
        <v>8093</v>
      </c>
      <c r="N425" s="48">
        <v>46057</v>
      </c>
      <c r="O425" s="47"/>
      <c r="P425" s="50"/>
      <c r="Q425" s="47"/>
      <c r="R425" s="47"/>
    </row>
    <row r="426" spans="1:18" x14ac:dyDescent="0.25">
      <c r="A426" s="47">
        <f t="shared" si="12"/>
        <v>425</v>
      </c>
      <c r="B426" s="47" t="s">
        <v>8545</v>
      </c>
      <c r="C426" s="47" t="s">
        <v>8546</v>
      </c>
      <c r="D426" s="47" t="s">
        <v>8547</v>
      </c>
      <c r="E426" s="47" t="s">
        <v>8548</v>
      </c>
      <c r="F426" s="47" t="s">
        <v>100</v>
      </c>
      <c r="G426" s="47" t="s">
        <v>200</v>
      </c>
      <c r="H426" s="47" t="str">
        <f t="shared" si="13"/>
        <v>BANDIPORA</v>
      </c>
      <c r="I426" s="47" t="s">
        <v>8553</v>
      </c>
      <c r="J426" s="48">
        <v>46053</v>
      </c>
      <c r="K426" s="47">
        <v>8491846904</v>
      </c>
      <c r="L426" s="47" t="s">
        <v>1228</v>
      </c>
      <c r="M426" s="49" t="s">
        <v>8638</v>
      </c>
      <c r="N426" s="48">
        <v>46056</v>
      </c>
      <c r="O426" s="47" t="s">
        <v>23</v>
      </c>
      <c r="P426" s="50">
        <v>46055</v>
      </c>
      <c r="Q426" s="47" t="s">
        <v>6460</v>
      </c>
      <c r="R426" s="47"/>
    </row>
    <row r="427" spans="1:18" x14ac:dyDescent="0.25">
      <c r="A427" s="47">
        <f t="shared" si="12"/>
        <v>426</v>
      </c>
      <c r="B427" s="47" t="s">
        <v>8520</v>
      </c>
      <c r="C427" s="47" t="s">
        <v>8521</v>
      </c>
      <c r="D427" s="47" t="s">
        <v>8522</v>
      </c>
      <c r="E427" s="47" t="s">
        <v>8523</v>
      </c>
      <c r="F427" s="47" t="s">
        <v>12</v>
      </c>
      <c r="G427" s="47" t="s">
        <v>200</v>
      </c>
      <c r="H427" s="47" t="str">
        <f t="shared" si="13"/>
        <v>SHOPIAN</v>
      </c>
      <c r="I427" s="47" t="s">
        <v>8529</v>
      </c>
      <c r="J427" s="48">
        <v>46053</v>
      </c>
      <c r="K427" s="47">
        <v>7006268218</v>
      </c>
      <c r="L427" s="47" t="s">
        <v>6521</v>
      </c>
      <c r="M427" s="49" t="s">
        <v>8617</v>
      </c>
      <c r="N427" s="48">
        <v>46057</v>
      </c>
      <c r="O427" s="47"/>
      <c r="P427" s="50"/>
      <c r="Q427" s="47"/>
      <c r="R427" s="47" t="s">
        <v>8622</v>
      </c>
    </row>
    <row r="428" spans="1:18" x14ac:dyDescent="0.25">
      <c r="A428" s="47">
        <f t="shared" si="12"/>
        <v>427</v>
      </c>
      <c r="B428" s="47" t="s">
        <v>8576</v>
      </c>
      <c r="C428" s="47" t="s">
        <v>8577</v>
      </c>
      <c r="D428" s="47" t="s">
        <v>8578</v>
      </c>
      <c r="E428" s="47" t="s">
        <v>8579</v>
      </c>
      <c r="F428" s="47" t="s">
        <v>12</v>
      </c>
      <c r="G428" s="47" t="s">
        <v>181</v>
      </c>
      <c r="H428" s="47" t="str">
        <f t="shared" si="13"/>
        <v>SRINAGAR</v>
      </c>
      <c r="I428" s="47" t="s">
        <v>8590</v>
      </c>
      <c r="J428" s="48">
        <v>46055</v>
      </c>
      <c r="K428" s="47">
        <v>9596163347</v>
      </c>
      <c r="L428" s="47" t="s">
        <v>484</v>
      </c>
      <c r="M428" s="49" t="s">
        <v>7773</v>
      </c>
      <c r="N428" s="48">
        <v>46058</v>
      </c>
      <c r="O428" s="47" t="s">
        <v>23</v>
      </c>
      <c r="P428" s="50">
        <v>46056</v>
      </c>
      <c r="Q428" s="47" t="s">
        <v>6460</v>
      </c>
      <c r="R428" s="47"/>
    </row>
    <row r="429" spans="1:18" x14ac:dyDescent="0.25">
      <c r="A429" s="47">
        <f t="shared" si="12"/>
        <v>428</v>
      </c>
      <c r="B429" s="47" t="s">
        <v>8583</v>
      </c>
      <c r="C429" s="47" t="s">
        <v>8580</v>
      </c>
      <c r="D429" s="47" t="s">
        <v>8582</v>
      </c>
      <c r="E429" s="47" t="s">
        <v>8581</v>
      </c>
      <c r="F429" s="47" t="s">
        <v>12</v>
      </c>
      <c r="G429" s="47" t="s">
        <v>200</v>
      </c>
      <c r="H429" s="47" t="str">
        <f t="shared" si="13"/>
        <v>BUDGAM</v>
      </c>
      <c r="I429" s="47" t="s">
        <v>8589</v>
      </c>
      <c r="J429" s="48">
        <v>46055</v>
      </c>
      <c r="K429" s="47">
        <v>9149805099</v>
      </c>
      <c r="L429" s="47" t="s">
        <v>70</v>
      </c>
      <c r="M429" s="49" t="s">
        <v>7954</v>
      </c>
      <c r="N429" s="48">
        <v>46058</v>
      </c>
      <c r="O429" s="47" t="s">
        <v>23</v>
      </c>
      <c r="P429" s="50">
        <v>46056</v>
      </c>
      <c r="Q429" s="47" t="s">
        <v>6460</v>
      </c>
      <c r="R429" s="47"/>
    </row>
    <row r="430" spans="1:18" x14ac:dyDescent="0.25">
      <c r="A430" s="47">
        <f t="shared" si="12"/>
        <v>429</v>
      </c>
      <c r="B430" s="47" t="s">
        <v>8566</v>
      </c>
      <c r="C430" s="47" t="s">
        <v>8567</v>
      </c>
      <c r="D430" s="47" t="s">
        <v>8568</v>
      </c>
      <c r="E430" s="47" t="s">
        <v>8569</v>
      </c>
      <c r="F430" s="47" t="s">
        <v>193</v>
      </c>
      <c r="G430" s="47" t="s">
        <v>200</v>
      </c>
      <c r="H430" s="47" t="str">
        <f t="shared" si="13"/>
        <v>BARAMULLA</v>
      </c>
      <c r="I430" s="47" t="s">
        <v>8570</v>
      </c>
      <c r="J430" s="48">
        <v>46055</v>
      </c>
      <c r="K430" s="47">
        <v>7006303640</v>
      </c>
      <c r="L430" s="47" t="s">
        <v>2172</v>
      </c>
      <c r="M430" s="49"/>
      <c r="N430" s="48"/>
      <c r="O430" s="47" t="s">
        <v>23</v>
      </c>
      <c r="P430" s="50">
        <v>46055</v>
      </c>
      <c r="Q430" s="47" t="s">
        <v>6460</v>
      </c>
      <c r="R430" s="47"/>
    </row>
    <row r="431" spans="1:18" x14ac:dyDescent="0.25">
      <c r="A431" s="47">
        <f t="shared" si="12"/>
        <v>430</v>
      </c>
      <c r="B431" s="47" t="s">
        <v>8561</v>
      </c>
      <c r="C431" s="47" t="s">
        <v>8562</v>
      </c>
      <c r="D431" s="47" t="s">
        <v>8563</v>
      </c>
      <c r="E431" s="47" t="s">
        <v>1535</v>
      </c>
      <c r="F431" s="47" t="s">
        <v>12</v>
      </c>
      <c r="G431" s="47" t="s">
        <v>200</v>
      </c>
      <c r="H431" s="47" t="str">
        <f t="shared" si="13"/>
        <v>BANDIPORA</v>
      </c>
      <c r="I431" s="47" t="s">
        <v>8571</v>
      </c>
      <c r="J431" s="48">
        <v>46055</v>
      </c>
      <c r="K431" s="47">
        <v>7006437389</v>
      </c>
      <c r="L431" s="47" t="s">
        <v>307</v>
      </c>
      <c r="M431" s="49" t="s">
        <v>8093</v>
      </c>
      <c r="N431" s="48">
        <v>46056</v>
      </c>
      <c r="O431" s="47" t="s">
        <v>23</v>
      </c>
      <c r="P431" s="50">
        <v>46055</v>
      </c>
      <c r="Q431" s="47" t="s">
        <v>6460</v>
      </c>
      <c r="R431" s="47"/>
    </row>
    <row r="432" spans="1:18" x14ac:dyDescent="0.25">
      <c r="A432" s="47">
        <f t="shared" si="12"/>
        <v>431</v>
      </c>
      <c r="B432" s="47" t="s">
        <v>8621</v>
      </c>
      <c r="C432" s="47" t="s">
        <v>8618</v>
      </c>
      <c r="D432" s="47" t="s">
        <v>8619</v>
      </c>
      <c r="E432" s="47" t="s">
        <v>8620</v>
      </c>
      <c r="F432" s="47" t="s">
        <v>12</v>
      </c>
      <c r="G432" s="47" t="s">
        <v>200</v>
      </c>
      <c r="H432" s="47" t="str">
        <f t="shared" si="13"/>
        <v>SRINAGAR</v>
      </c>
      <c r="I432" s="47" t="s">
        <v>8628</v>
      </c>
      <c r="J432" s="48">
        <v>46056</v>
      </c>
      <c r="K432" s="47">
        <v>9419066721</v>
      </c>
      <c r="L432" s="47" t="s">
        <v>7872</v>
      </c>
      <c r="M432" s="49" t="s">
        <v>8659</v>
      </c>
      <c r="N432" s="48">
        <v>46057</v>
      </c>
      <c r="O432" s="47" t="s">
        <v>23</v>
      </c>
      <c r="P432" s="50">
        <v>46056</v>
      </c>
      <c r="Q432" s="47" t="s">
        <v>8167</v>
      </c>
      <c r="R432" s="47"/>
    </row>
    <row r="433" spans="1:18" x14ac:dyDescent="0.25">
      <c r="A433" s="47">
        <f t="shared" si="12"/>
        <v>432</v>
      </c>
      <c r="B433" s="47" t="s">
        <v>8596</v>
      </c>
      <c r="C433" s="47" t="s">
        <v>8597</v>
      </c>
      <c r="D433" s="47" t="s">
        <v>8598</v>
      </c>
      <c r="E433" s="47" t="s">
        <v>8599</v>
      </c>
      <c r="F433" s="47" t="s">
        <v>67</v>
      </c>
      <c r="G433" s="47" t="s">
        <v>199</v>
      </c>
      <c r="H433" s="47" t="str">
        <f t="shared" si="13"/>
        <v>SRINAGAR</v>
      </c>
      <c r="I433" s="47" t="s">
        <v>8600</v>
      </c>
      <c r="J433" s="48">
        <v>46056</v>
      </c>
      <c r="K433" s="47">
        <v>9906560855</v>
      </c>
      <c r="L433" s="47" t="s">
        <v>551</v>
      </c>
      <c r="M433" s="49"/>
      <c r="N433" s="48"/>
      <c r="O433" s="47" t="s">
        <v>23</v>
      </c>
      <c r="P433" s="50">
        <v>46056</v>
      </c>
      <c r="Q433" s="47" t="s">
        <v>6460</v>
      </c>
      <c r="R433" s="47"/>
    </row>
    <row r="434" spans="1:18" x14ac:dyDescent="0.25">
      <c r="A434" s="47">
        <f t="shared" si="12"/>
        <v>433</v>
      </c>
      <c r="B434" s="47" t="s">
        <v>8588</v>
      </c>
      <c r="C434" s="47" t="s">
        <v>8584</v>
      </c>
      <c r="D434" s="47" t="s">
        <v>8585</v>
      </c>
      <c r="E434" s="47" t="s">
        <v>8586</v>
      </c>
      <c r="F434" s="47" t="s">
        <v>119</v>
      </c>
      <c r="G434" s="47" t="s">
        <v>175</v>
      </c>
      <c r="H434" s="47" t="str">
        <f t="shared" si="13"/>
        <v>SRINAGAR</v>
      </c>
      <c r="I434" s="47" t="s">
        <v>8587</v>
      </c>
      <c r="J434" s="48">
        <v>46056</v>
      </c>
      <c r="K434" s="47">
        <v>7006430337</v>
      </c>
      <c r="L434" s="47" t="s">
        <v>26</v>
      </c>
      <c r="M434" s="49"/>
      <c r="N434" s="48"/>
      <c r="O434" s="47" t="s">
        <v>23</v>
      </c>
      <c r="P434" s="50">
        <v>46056</v>
      </c>
      <c r="Q434" s="47" t="s">
        <v>6460</v>
      </c>
      <c r="R434" s="47"/>
    </row>
    <row r="435" spans="1:18" x14ac:dyDescent="0.25">
      <c r="A435" s="47">
        <f t="shared" si="12"/>
        <v>434</v>
      </c>
      <c r="B435" s="47" t="s">
        <v>8627</v>
      </c>
      <c r="C435" s="47" t="s">
        <v>8624</v>
      </c>
      <c r="D435" s="47" t="s">
        <v>8625</v>
      </c>
      <c r="E435" s="47" t="s">
        <v>8626</v>
      </c>
      <c r="F435" s="47" t="s">
        <v>5</v>
      </c>
      <c r="G435" s="47" t="s">
        <v>200</v>
      </c>
      <c r="H435" s="47" t="str">
        <f t="shared" si="13"/>
        <v>BUDGAM</v>
      </c>
      <c r="I435" s="47" t="s">
        <v>8629</v>
      </c>
      <c r="J435" s="48">
        <v>46056</v>
      </c>
      <c r="K435" s="47">
        <v>9682506898</v>
      </c>
      <c r="L435" s="47" t="s">
        <v>43</v>
      </c>
      <c r="M435" s="49" t="s">
        <v>8658</v>
      </c>
      <c r="N435" s="48">
        <v>46057</v>
      </c>
      <c r="O435" s="47" t="s">
        <v>23</v>
      </c>
      <c r="P435" s="50">
        <v>46056</v>
      </c>
      <c r="Q435" s="47" t="s">
        <v>8167</v>
      </c>
      <c r="R435" s="47"/>
    </row>
    <row r="436" spans="1:18" x14ac:dyDescent="0.25">
      <c r="A436" s="47">
        <f t="shared" si="12"/>
        <v>435</v>
      </c>
      <c r="B436" s="47" t="s">
        <v>8613</v>
      </c>
      <c r="C436" s="47" t="s">
        <v>8611</v>
      </c>
      <c r="D436" s="47" t="s">
        <v>8612</v>
      </c>
      <c r="E436" s="47" t="s">
        <v>7147</v>
      </c>
      <c r="F436" s="47" t="s">
        <v>31</v>
      </c>
      <c r="G436" s="47" t="s">
        <v>221</v>
      </c>
      <c r="H436" s="47" t="str">
        <f t="shared" si="13"/>
        <v>BUDGAM</v>
      </c>
      <c r="I436" s="47" t="s">
        <v>8616</v>
      </c>
      <c r="J436" s="48">
        <v>46056</v>
      </c>
      <c r="K436" s="47">
        <v>7006035930</v>
      </c>
      <c r="L436" s="47" t="s">
        <v>26</v>
      </c>
      <c r="M436" s="49" t="s">
        <v>7775</v>
      </c>
      <c r="N436" s="48">
        <v>46064</v>
      </c>
      <c r="O436" s="47" t="s">
        <v>23</v>
      </c>
      <c r="P436" s="50">
        <v>46056</v>
      </c>
      <c r="Q436" s="47" t="s">
        <v>6460</v>
      </c>
      <c r="R436" s="47"/>
    </row>
    <row r="437" spans="1:18" x14ac:dyDescent="0.25">
      <c r="A437" s="47">
        <f t="shared" si="12"/>
        <v>436</v>
      </c>
      <c r="B437" s="47" t="s">
        <v>8608</v>
      </c>
      <c r="C437" s="47" t="s">
        <v>8609</v>
      </c>
      <c r="D437" s="47" t="s">
        <v>8610</v>
      </c>
      <c r="E437" s="47" t="s">
        <v>1959</v>
      </c>
      <c r="F437" s="47" t="s">
        <v>12</v>
      </c>
      <c r="G437" s="47" t="s">
        <v>181</v>
      </c>
      <c r="H437" s="47" t="str">
        <f t="shared" si="13"/>
        <v>BUDGAM</v>
      </c>
      <c r="I437" s="47" t="s">
        <v>8615</v>
      </c>
      <c r="J437" s="48">
        <v>46056</v>
      </c>
      <c r="K437" s="47">
        <v>7780875890</v>
      </c>
      <c r="L437" s="47" t="s">
        <v>110</v>
      </c>
      <c r="M437" s="49" t="s">
        <v>8668</v>
      </c>
      <c r="N437" s="48">
        <v>46057</v>
      </c>
      <c r="O437" s="47" t="s">
        <v>23</v>
      </c>
      <c r="P437" s="50">
        <v>46057</v>
      </c>
      <c r="Q437" s="47" t="s">
        <v>8674</v>
      </c>
      <c r="R437" s="47"/>
    </row>
    <row r="438" spans="1:18" x14ac:dyDescent="0.25">
      <c r="A438" s="47">
        <f t="shared" si="12"/>
        <v>437</v>
      </c>
      <c r="B438" s="47" t="s">
        <v>8605</v>
      </c>
      <c r="C438" s="47" t="s">
        <v>8601</v>
      </c>
      <c r="D438" s="47" t="s">
        <v>8602</v>
      </c>
      <c r="E438" s="47" t="s">
        <v>8603</v>
      </c>
      <c r="F438" s="47" t="s">
        <v>12</v>
      </c>
      <c r="G438" s="47" t="s">
        <v>181</v>
      </c>
      <c r="H438" s="47" t="str">
        <f t="shared" si="13"/>
        <v>BUDGAM</v>
      </c>
      <c r="I438" s="47" t="s">
        <v>8607</v>
      </c>
      <c r="J438" s="48">
        <v>46056</v>
      </c>
      <c r="K438" s="47">
        <v>7051726656</v>
      </c>
      <c r="L438" s="47" t="s">
        <v>8604</v>
      </c>
      <c r="M438" s="49" t="s">
        <v>8617</v>
      </c>
      <c r="N438" s="48">
        <v>46057</v>
      </c>
      <c r="O438" s="47" t="s">
        <v>23</v>
      </c>
      <c r="P438" s="50">
        <v>46057</v>
      </c>
      <c r="Q438" s="47" t="s">
        <v>6460</v>
      </c>
      <c r="R438" s="47" t="s">
        <v>8623</v>
      </c>
    </row>
    <row r="439" spans="1:18" x14ac:dyDescent="0.25">
      <c r="A439" s="47">
        <f t="shared" si="12"/>
        <v>438</v>
      </c>
      <c r="B439" s="47" t="s">
        <v>8595</v>
      </c>
      <c r="C439" s="47" t="s">
        <v>8591</v>
      </c>
      <c r="D439" s="47" t="s">
        <v>8592</v>
      </c>
      <c r="E439" s="47" t="s">
        <v>8593</v>
      </c>
      <c r="F439" s="47" t="s">
        <v>12</v>
      </c>
      <c r="G439" s="47" t="s">
        <v>200</v>
      </c>
      <c r="H439" s="47" t="str">
        <f t="shared" si="13"/>
        <v>BUDGAM</v>
      </c>
      <c r="I439" s="47" t="s">
        <v>8606</v>
      </c>
      <c r="J439" s="48">
        <v>46056</v>
      </c>
      <c r="K439" s="47">
        <v>9596131756</v>
      </c>
      <c r="L439" s="47" t="s">
        <v>2172</v>
      </c>
      <c r="M439" s="49" t="s">
        <v>7714</v>
      </c>
      <c r="N439" s="48">
        <v>46057</v>
      </c>
      <c r="O439" s="47" t="s">
        <v>23</v>
      </c>
      <c r="P439" s="50">
        <v>46056</v>
      </c>
      <c r="Q439" s="47" t="s">
        <v>6460</v>
      </c>
      <c r="R439" s="47"/>
    </row>
    <row r="440" spans="1:18" x14ac:dyDescent="0.25">
      <c r="A440" s="47">
        <f t="shared" si="12"/>
        <v>439</v>
      </c>
      <c r="B440" s="47" t="s">
        <v>8645</v>
      </c>
      <c r="C440" s="47" t="s">
        <v>8642</v>
      </c>
      <c r="D440" s="47" t="s">
        <v>8643</v>
      </c>
      <c r="E440" s="47" t="s">
        <v>8644</v>
      </c>
      <c r="F440" s="47" t="s">
        <v>100</v>
      </c>
      <c r="G440" s="47" t="s">
        <v>200</v>
      </c>
      <c r="H440" s="47" t="str">
        <f t="shared" si="13"/>
        <v>BARAMULLA</v>
      </c>
      <c r="I440" s="47" t="s">
        <v>8648</v>
      </c>
      <c r="J440" s="48">
        <v>46056</v>
      </c>
      <c r="K440" s="47">
        <v>7889568261</v>
      </c>
      <c r="L440" s="47" t="s">
        <v>484</v>
      </c>
      <c r="M440" s="49"/>
      <c r="N440" s="48"/>
      <c r="O440" s="47"/>
      <c r="P440" s="50"/>
      <c r="Q440" s="47"/>
      <c r="R440" s="47"/>
    </row>
    <row r="441" spans="1:18" x14ac:dyDescent="0.25">
      <c r="A441" s="47">
        <f t="shared" si="12"/>
        <v>440</v>
      </c>
      <c r="B441" s="47" t="s">
        <v>8639</v>
      </c>
      <c r="C441" s="47" t="s">
        <v>8640</v>
      </c>
      <c r="D441" s="47" t="s">
        <v>8641</v>
      </c>
      <c r="E441" s="47" t="s">
        <v>1635</v>
      </c>
      <c r="F441" s="47" t="s">
        <v>67</v>
      </c>
      <c r="G441" s="47" t="s">
        <v>199</v>
      </c>
      <c r="H441" s="47" t="str">
        <f t="shared" si="13"/>
        <v>PULWAMA</v>
      </c>
      <c r="I441" s="47" t="s">
        <v>8650</v>
      </c>
      <c r="J441" s="48">
        <v>46057</v>
      </c>
      <c r="K441" s="47">
        <v>7006730627</v>
      </c>
      <c r="L441" s="47" t="s">
        <v>18</v>
      </c>
      <c r="M441" s="49"/>
      <c r="N441" s="48"/>
      <c r="O441" s="47" t="s">
        <v>23</v>
      </c>
      <c r="P441" s="50">
        <v>46057</v>
      </c>
      <c r="Q441" s="47" t="s">
        <v>6460</v>
      </c>
      <c r="R441" s="47"/>
    </row>
    <row r="442" spans="1:18" x14ac:dyDescent="0.25">
      <c r="A442" s="47">
        <f t="shared" si="12"/>
        <v>441</v>
      </c>
      <c r="B442" s="47" t="s">
        <v>8652</v>
      </c>
      <c r="C442" s="47" t="s">
        <v>8653</v>
      </c>
      <c r="D442" s="47" t="s">
        <v>8654</v>
      </c>
      <c r="E442" s="47" t="s">
        <v>8176</v>
      </c>
      <c r="F442" s="47" t="s">
        <v>5</v>
      </c>
      <c r="G442" s="47" t="s">
        <v>174</v>
      </c>
      <c r="H442" s="47" t="str">
        <f t="shared" si="13"/>
        <v>PULWAMA</v>
      </c>
      <c r="I442" s="47" t="s">
        <v>8655</v>
      </c>
      <c r="J442" s="48">
        <v>46057</v>
      </c>
      <c r="K442" s="47">
        <v>8803618337</v>
      </c>
      <c r="L442" s="47" t="s">
        <v>26</v>
      </c>
      <c r="M442" s="49"/>
      <c r="N442" s="48"/>
      <c r="O442" s="47"/>
      <c r="P442" s="50"/>
      <c r="Q442" s="47"/>
      <c r="R442" s="47"/>
    </row>
    <row r="443" spans="1:18" x14ac:dyDescent="0.25">
      <c r="A443" s="47">
        <f t="shared" si="12"/>
        <v>442</v>
      </c>
      <c r="B443" s="47" t="s">
        <v>8684</v>
      </c>
      <c r="C443" s="47" t="s">
        <v>8685</v>
      </c>
      <c r="D443" s="47" t="s">
        <v>8686</v>
      </c>
      <c r="E443" s="47" t="s">
        <v>8687</v>
      </c>
      <c r="F443" s="47" t="s">
        <v>119</v>
      </c>
      <c r="G443" s="47" t="s">
        <v>175</v>
      </c>
      <c r="H443" s="47" t="str">
        <f t="shared" si="13"/>
        <v>PULWAMA</v>
      </c>
      <c r="I443" s="47" t="s">
        <v>8693</v>
      </c>
      <c r="J443" s="48">
        <v>46058</v>
      </c>
      <c r="K443" s="47">
        <v>9541415056</v>
      </c>
      <c r="L443" s="47" t="s">
        <v>6451</v>
      </c>
      <c r="M443" s="49"/>
      <c r="N443" s="48"/>
      <c r="O443" s="47"/>
      <c r="P443" s="50"/>
      <c r="Q443" s="47"/>
      <c r="R443" s="47"/>
    </row>
    <row r="444" spans="1:18" x14ac:dyDescent="0.25">
      <c r="A444" s="47">
        <f t="shared" si="12"/>
        <v>443</v>
      </c>
      <c r="B444" s="47" t="s">
        <v>8680</v>
      </c>
      <c r="C444" s="47" t="s">
        <v>8677</v>
      </c>
      <c r="D444" s="47" t="s">
        <v>8678</v>
      </c>
      <c r="E444" s="47" t="s">
        <v>4004</v>
      </c>
      <c r="F444" s="47" t="s">
        <v>281</v>
      </c>
      <c r="G444" s="47" t="s">
        <v>199</v>
      </c>
      <c r="H444" s="47" t="str">
        <f t="shared" si="13"/>
        <v>PULWAMA</v>
      </c>
      <c r="I444" s="47" t="s">
        <v>8682</v>
      </c>
      <c r="J444" s="48">
        <v>46058</v>
      </c>
      <c r="K444" s="47">
        <v>9858814104</v>
      </c>
      <c r="L444" s="47" t="s">
        <v>8679</v>
      </c>
      <c r="M444" s="49" t="s">
        <v>8770</v>
      </c>
      <c r="N444" s="48">
        <v>46064</v>
      </c>
      <c r="O444" s="47"/>
      <c r="P444" s="50"/>
      <c r="Q444" s="47"/>
      <c r="R444" s="47"/>
    </row>
    <row r="445" spans="1:18" x14ac:dyDescent="0.25">
      <c r="A445" s="47">
        <f t="shared" si="12"/>
        <v>444</v>
      </c>
      <c r="B445" s="47" t="s">
        <v>8688</v>
      </c>
      <c r="C445" s="47" t="s">
        <v>8689</v>
      </c>
      <c r="D445" s="47" t="s">
        <v>8690</v>
      </c>
      <c r="E445" s="47" t="s">
        <v>8691</v>
      </c>
      <c r="F445" s="47" t="s">
        <v>100</v>
      </c>
      <c r="G445" s="47" t="s">
        <v>174</v>
      </c>
      <c r="H445" s="47" t="str">
        <f t="shared" si="13"/>
        <v>SHOPIAN</v>
      </c>
      <c r="I445" s="47" t="s">
        <v>8692</v>
      </c>
      <c r="J445" s="48">
        <v>46058</v>
      </c>
      <c r="K445" s="47">
        <v>8825090520</v>
      </c>
      <c r="L445" s="47" t="s">
        <v>6761</v>
      </c>
      <c r="M445" s="49" t="s">
        <v>8771</v>
      </c>
      <c r="N445" s="48">
        <v>46064</v>
      </c>
      <c r="O445" s="47"/>
      <c r="P445" s="50"/>
      <c r="Q445" s="47"/>
      <c r="R445" s="47"/>
    </row>
    <row r="446" spans="1:18" x14ac:dyDescent="0.25">
      <c r="A446" s="47">
        <f t="shared" si="12"/>
        <v>445</v>
      </c>
      <c r="B446" s="47" t="s">
        <v>8670</v>
      </c>
      <c r="C446" s="47" t="s">
        <v>8671</v>
      </c>
      <c r="D446" s="47" t="s">
        <v>8672</v>
      </c>
      <c r="E446" s="47" t="s">
        <v>8673</v>
      </c>
      <c r="F446" s="47" t="s">
        <v>100</v>
      </c>
      <c r="G446" s="47" t="s">
        <v>181</v>
      </c>
      <c r="H446" s="47" t="str">
        <f t="shared" si="13"/>
        <v>SHOPIAN</v>
      </c>
      <c r="I446" s="47" t="s">
        <v>8681</v>
      </c>
      <c r="J446" s="48">
        <v>46058</v>
      </c>
      <c r="K446" s="47">
        <v>9419783314</v>
      </c>
      <c r="L446" s="47" t="s">
        <v>7699</v>
      </c>
      <c r="M446" s="49" t="s">
        <v>8771</v>
      </c>
      <c r="N446" s="48">
        <v>46064</v>
      </c>
      <c r="O446" s="47" t="s">
        <v>23</v>
      </c>
      <c r="P446" s="50">
        <v>46059</v>
      </c>
      <c r="Q446" s="47" t="s">
        <v>8706</v>
      </c>
      <c r="R446" s="47"/>
    </row>
    <row r="447" spans="1:18" x14ac:dyDescent="0.25">
      <c r="A447" s="47">
        <f t="shared" si="12"/>
        <v>446</v>
      </c>
      <c r="B447" s="47" t="s">
        <v>8704</v>
      </c>
      <c r="C447" s="47" t="s">
        <v>8701</v>
      </c>
      <c r="D447" s="47" t="s">
        <v>8702</v>
      </c>
      <c r="E447" s="47" t="s">
        <v>8703</v>
      </c>
      <c r="F447" s="47" t="s">
        <v>31</v>
      </c>
      <c r="G447" s="47" t="s">
        <v>200</v>
      </c>
      <c r="H447" s="47" t="str">
        <f t="shared" si="13"/>
        <v>PULWAMA</v>
      </c>
      <c r="I447" s="47" t="s">
        <v>8705</v>
      </c>
      <c r="J447" s="48">
        <v>46059</v>
      </c>
      <c r="K447" s="47">
        <v>7006790581</v>
      </c>
      <c r="L447" s="47" t="s">
        <v>7872</v>
      </c>
      <c r="M447" s="49"/>
      <c r="N447" s="48"/>
      <c r="O447" s="47" t="s">
        <v>23</v>
      </c>
      <c r="P447" s="50">
        <v>46059</v>
      </c>
      <c r="Q447" s="47" t="s">
        <v>6460</v>
      </c>
      <c r="R447" s="47"/>
    </row>
    <row r="448" spans="1:18" x14ac:dyDescent="0.25">
      <c r="A448" s="47">
        <f t="shared" si="12"/>
        <v>447</v>
      </c>
      <c r="B448" s="47" t="s">
        <v>8724</v>
      </c>
      <c r="C448" s="47" t="s">
        <v>8721</v>
      </c>
      <c r="D448" s="47" t="s">
        <v>8722</v>
      </c>
      <c r="E448" s="47" t="s">
        <v>8723</v>
      </c>
      <c r="F448" s="47" t="s">
        <v>100</v>
      </c>
      <c r="G448" s="47" t="s">
        <v>200</v>
      </c>
      <c r="H448" s="47" t="str">
        <f t="shared" si="13"/>
        <v>SRINAGAR</v>
      </c>
      <c r="I448" s="47" t="s">
        <v>8725</v>
      </c>
      <c r="J448" s="48">
        <v>46062</v>
      </c>
      <c r="K448" s="47">
        <v>9622550465</v>
      </c>
      <c r="L448" s="47" t="s">
        <v>307</v>
      </c>
      <c r="M448" s="49" t="s">
        <v>8753</v>
      </c>
      <c r="N448" s="48">
        <v>46063</v>
      </c>
      <c r="O448" s="47" t="s">
        <v>23</v>
      </c>
      <c r="P448" s="50">
        <v>46062</v>
      </c>
      <c r="Q448" s="47" t="s">
        <v>6460</v>
      </c>
      <c r="R448" s="47"/>
    </row>
    <row r="449" spans="1:18" x14ac:dyDescent="0.25">
      <c r="A449" s="47">
        <f t="shared" si="12"/>
        <v>448</v>
      </c>
      <c r="B449" s="47" t="s">
        <v>8714</v>
      </c>
      <c r="C449" s="47" t="s">
        <v>8710</v>
      </c>
      <c r="D449" s="47" t="s">
        <v>8711</v>
      </c>
      <c r="E449" s="47" t="s">
        <v>8712</v>
      </c>
      <c r="F449" s="47" t="s">
        <v>101</v>
      </c>
      <c r="G449" s="47" t="s">
        <v>200</v>
      </c>
      <c r="H449" s="47" t="str">
        <f t="shared" si="13"/>
        <v>BHARAT</v>
      </c>
      <c r="I449" s="47" t="s">
        <v>8768</v>
      </c>
      <c r="J449" s="48">
        <v>46062</v>
      </c>
      <c r="K449" s="47">
        <v>9458289998</v>
      </c>
      <c r="L449" s="47" t="s">
        <v>8713</v>
      </c>
      <c r="M449" s="49" t="s">
        <v>7775</v>
      </c>
      <c r="N449" s="48">
        <v>46065</v>
      </c>
      <c r="O449" s="47"/>
      <c r="P449" s="50"/>
      <c r="Q449" s="47"/>
      <c r="R449" s="47"/>
    </row>
    <row r="450" spans="1:18" x14ac:dyDescent="0.25">
      <c r="A450" s="47">
        <f t="shared" si="12"/>
        <v>449</v>
      </c>
      <c r="B450" s="47" t="s">
        <v>8726</v>
      </c>
      <c r="C450" s="47" t="s">
        <v>8727</v>
      </c>
      <c r="D450" s="47" t="s">
        <v>8728</v>
      </c>
      <c r="E450" s="47" t="s">
        <v>8729</v>
      </c>
      <c r="F450" s="47" t="s">
        <v>5</v>
      </c>
      <c r="G450" s="47" t="s">
        <v>200</v>
      </c>
      <c r="H450" s="47" t="str">
        <f t="shared" ref="H450:H451" si="14">IF(LEFT(I450,4)="JK13","PULWAMA",IF(LEFT(I450,4)="JK01","SRINAGAR",IF(LEFT(I450,4)="JK04","BUDGAM",IF(LEFT(I450,4)="JK03","ANANTNAG",IF(LEFT(I450,4)="JK05","BARAMULLA",IF(LEFT(I450,4)="26BH","BHARAT",IF(LEFT(I450,4)="25BH","BHARAT",IF(LEFT(I450,4)="JK12","POONCH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</f>
        <v>SHOPIAN</v>
      </c>
      <c r="I450" s="47" t="s">
        <v>8730</v>
      </c>
      <c r="J450" s="48">
        <v>46063</v>
      </c>
      <c r="K450" s="47">
        <v>7006685583</v>
      </c>
      <c r="L450" s="47" t="s">
        <v>26</v>
      </c>
      <c r="M450" s="49"/>
      <c r="N450" s="48"/>
      <c r="O450" s="47"/>
      <c r="P450" s="50"/>
      <c r="Q450" s="47"/>
      <c r="R450" s="47"/>
    </row>
    <row r="451" spans="1:18" x14ac:dyDescent="0.25">
      <c r="A451" s="47">
        <f t="shared" si="12"/>
        <v>450</v>
      </c>
      <c r="B451" s="47" t="s">
        <v>8731</v>
      </c>
      <c r="C451" s="47" t="s">
        <v>8732</v>
      </c>
      <c r="D451" s="47" t="s">
        <v>8733</v>
      </c>
      <c r="E451" s="47" t="s">
        <v>8734</v>
      </c>
      <c r="F451" s="47" t="s">
        <v>5</v>
      </c>
      <c r="G451" s="47" t="s">
        <v>199</v>
      </c>
      <c r="H451" s="47" t="str">
        <f t="shared" si="14"/>
        <v>ANANTNAG</v>
      </c>
      <c r="I451" s="47" t="s">
        <v>8741</v>
      </c>
      <c r="J451" s="48">
        <v>46063</v>
      </c>
      <c r="K451" s="47">
        <v>9906434871</v>
      </c>
      <c r="L451" s="47" t="s">
        <v>8679</v>
      </c>
      <c r="M451" s="49" t="s">
        <v>8770</v>
      </c>
      <c r="N451" s="48">
        <v>46064</v>
      </c>
      <c r="O451" s="47"/>
      <c r="P451" s="50"/>
      <c r="Q451" s="47"/>
      <c r="R451" s="47"/>
    </row>
    <row r="452" spans="1:18" x14ac:dyDescent="0.25">
      <c r="A452" s="47">
        <f t="shared" si="12"/>
        <v>451</v>
      </c>
      <c r="B452" s="47" t="s">
        <v>8740</v>
      </c>
      <c r="C452" s="47" t="s">
        <v>8735</v>
      </c>
      <c r="D452" s="47" t="s">
        <v>8736</v>
      </c>
      <c r="E452" s="47" t="s">
        <v>8737</v>
      </c>
      <c r="F452" s="47" t="s">
        <v>8738</v>
      </c>
      <c r="G452" s="47" t="s">
        <v>181</v>
      </c>
      <c r="H452" s="47" t="str">
        <f t="shared" ref="H452:H456" si="15">IF(LEFT(I452,4)="JK13","PULWAMA",IF(LEFT(I452,4)="JK01","SRINAGAR",IF(LEFT(I452,4)="JK04","BUDGAM",IF(LEFT(I452,4)="JK03","ANANTNAG",IF(LEFT(I452,4)="JK05","BARAMULLA",IF(LEFT(I452,4)="26BH","BHARAT",IF(LEFT(I452,4)="25BH","BHARAT",IF(LEFT(I452,4)="JK12","POONCH",IF(LEFT(I452,4)="JK18","KULGAM",IF(LEFT(I452,4)="JK22","SHOPIAN",IF(LEFT(I452,4)="JK02","JAMMU",IF(LEFT(I452,4)="JK09","KUPWARA",IF(LEFT(I452,4)="JK15","BANDIPORA",IF(LEFT(I452,4)="JK17","KISHTWAR",IF(LEFT(I452,4)="LA01","KARGIL",IF(LEFT(I452,1)="T","TEMP","NEW"))))))))))))))))</f>
        <v>SRINAGAR</v>
      </c>
      <c r="I452" s="47" t="s">
        <v>8751</v>
      </c>
      <c r="J452" s="48">
        <v>46063</v>
      </c>
      <c r="K452" s="47">
        <v>7006481204</v>
      </c>
      <c r="L452" s="47" t="s">
        <v>8739</v>
      </c>
      <c r="M452" s="49"/>
      <c r="N452" s="48"/>
      <c r="O452" s="47"/>
      <c r="P452" s="50"/>
      <c r="Q452" s="47"/>
      <c r="R452" s="47"/>
    </row>
    <row r="453" spans="1:18" x14ac:dyDescent="0.25">
      <c r="A453" s="47">
        <f t="shared" ref="A453:A516" si="16">ROW()-1</f>
        <v>452</v>
      </c>
      <c r="B453" s="47" t="s">
        <v>8742</v>
      </c>
      <c r="C453" s="47" t="s">
        <v>8743</v>
      </c>
      <c r="D453" s="47" t="s">
        <v>8744</v>
      </c>
      <c r="E453" s="47" t="s">
        <v>8745</v>
      </c>
      <c r="F453" s="47" t="s">
        <v>100</v>
      </c>
      <c r="G453" s="47" t="s">
        <v>226</v>
      </c>
      <c r="H453" s="47" t="str">
        <f t="shared" si="15"/>
        <v>POONCH</v>
      </c>
      <c r="I453" s="47" t="s">
        <v>8752</v>
      </c>
      <c r="J453" s="48">
        <v>46063</v>
      </c>
      <c r="K453" s="47">
        <v>7051905718</v>
      </c>
      <c r="L453" s="47" t="s">
        <v>195</v>
      </c>
      <c r="M453" s="49"/>
      <c r="N453" s="48"/>
      <c r="O453" s="47"/>
      <c r="P453" s="50"/>
      <c r="Q453" s="47"/>
      <c r="R453" s="47"/>
    </row>
    <row r="454" spans="1:18" x14ac:dyDescent="0.25">
      <c r="A454" s="47">
        <f t="shared" si="16"/>
        <v>453</v>
      </c>
      <c r="B454" s="47" t="s">
        <v>8749</v>
      </c>
      <c r="C454" s="47" t="s">
        <v>8746</v>
      </c>
      <c r="D454" s="47" t="s">
        <v>8747</v>
      </c>
      <c r="E454" s="47" t="s">
        <v>8748</v>
      </c>
      <c r="F454" s="47" t="s">
        <v>125</v>
      </c>
      <c r="G454" s="47" t="s">
        <v>200</v>
      </c>
      <c r="H454" s="47" t="str">
        <f t="shared" si="15"/>
        <v>PULWAMA</v>
      </c>
      <c r="I454" s="47" t="s">
        <v>8750</v>
      </c>
      <c r="J454" s="48">
        <v>46063</v>
      </c>
      <c r="K454" s="47">
        <v>7006401476</v>
      </c>
      <c r="L454" s="47" t="s">
        <v>8739</v>
      </c>
      <c r="M454" s="49" t="s">
        <v>8770</v>
      </c>
      <c r="N454" s="48">
        <v>46064</v>
      </c>
      <c r="O454" s="47"/>
      <c r="P454" s="50"/>
      <c r="Q454" s="47"/>
      <c r="R454" s="47"/>
    </row>
    <row r="455" spans="1:18" x14ac:dyDescent="0.25">
      <c r="A455" s="47">
        <f t="shared" si="16"/>
        <v>454</v>
      </c>
      <c r="B455" s="47" t="s">
        <v>8757</v>
      </c>
      <c r="C455" s="47" t="s">
        <v>8754</v>
      </c>
      <c r="D455" s="47" t="s">
        <v>8755</v>
      </c>
      <c r="E455" s="47" t="s">
        <v>8756</v>
      </c>
      <c r="F455" s="47" t="s">
        <v>100</v>
      </c>
      <c r="G455" s="47" t="s">
        <v>200</v>
      </c>
      <c r="H455" s="47" t="str">
        <f t="shared" si="15"/>
        <v>SRINAGAR</v>
      </c>
      <c r="I455" s="47" t="s">
        <v>8758</v>
      </c>
      <c r="J455" s="48">
        <v>46064</v>
      </c>
      <c r="K455" s="47">
        <v>7006077188</v>
      </c>
      <c r="L455" s="51" t="s">
        <v>194</v>
      </c>
      <c r="M455" s="49" t="s">
        <v>8782</v>
      </c>
      <c r="N455" s="48">
        <v>46065</v>
      </c>
      <c r="O455" s="47" t="s">
        <v>23</v>
      </c>
      <c r="P455" s="50">
        <v>46065</v>
      </c>
      <c r="Q455" s="47" t="s">
        <v>6460</v>
      </c>
      <c r="R455" s="47"/>
    </row>
    <row r="456" spans="1:18" x14ac:dyDescent="0.25">
      <c r="A456" s="47">
        <f t="shared" si="16"/>
        <v>455</v>
      </c>
      <c r="B456" s="47" t="s">
        <v>8759</v>
      </c>
      <c r="C456" s="47" t="s">
        <v>8760</v>
      </c>
      <c r="D456" s="47" t="s">
        <v>8761</v>
      </c>
      <c r="E456" s="47" t="s">
        <v>8762</v>
      </c>
      <c r="F456" s="47" t="s">
        <v>944</v>
      </c>
      <c r="G456" s="47" t="s">
        <v>200</v>
      </c>
      <c r="H456" s="47" t="str">
        <f t="shared" si="15"/>
        <v>BUDGAM</v>
      </c>
      <c r="I456" s="47" t="s">
        <v>8763</v>
      </c>
      <c r="J456" s="48">
        <v>46064</v>
      </c>
      <c r="K456" s="47">
        <v>6006405010</v>
      </c>
      <c r="L456" s="47" t="s">
        <v>176</v>
      </c>
      <c r="M456" s="49" t="s">
        <v>8228</v>
      </c>
      <c r="N456" s="48">
        <v>46065</v>
      </c>
      <c r="O456" s="47"/>
      <c r="P456" s="50"/>
      <c r="Q456" s="47"/>
      <c r="R456" s="47"/>
    </row>
    <row r="457" spans="1:18" x14ac:dyDescent="0.25">
      <c r="A457" s="47">
        <f t="shared" si="16"/>
        <v>456</v>
      </c>
      <c r="B457" s="47" t="s">
        <v>8764</v>
      </c>
      <c r="C457" s="47" t="s">
        <v>8765</v>
      </c>
      <c r="D457" s="47" t="s">
        <v>8766</v>
      </c>
      <c r="E457" s="47" t="s">
        <v>8767</v>
      </c>
      <c r="F457" s="47" t="s">
        <v>100</v>
      </c>
      <c r="G457" s="47" t="s">
        <v>181</v>
      </c>
      <c r="H457" s="47" t="str">
        <f t="shared" ref="H457:H488" si="17">IF(LEFT(I457,4)="JK13","PULWAMA",IF(LEFT(I457,4)="JK01","SRINAGAR",IF(LEFT(I457,4)="JK04","BUDGAM",IF(LEFT(I457,4)="JK03","ANANTNAG",IF(LEFT(I457,4)="JK05","BARAMULLA",IF(LEFT(I457,4)="26BH","BHARAT",IF(LEFT(I457,4)="25BH","BHARAT",IF(LEFT(I457,4)="JK12","POONCH",IF(LEFT(I457,4)="JK18","KULGAM",IF(LEFT(I457,4)="JK22","SHOPIAN",IF(LEFT(I457,4)="JK02","JAMMU",IF(LEFT(I457,4)="JK09","KUPWARA",IF(LEFT(I457,4)="JK15","BANDIPORA",IF(LEFT(I457,4)="JK17","KISHTWAR",IF(LEFT(I457,4)="LA01","KARGIL",IF(LEFT(I457,1)="T","TEMP","NEW"))))))))))))))))</f>
        <v>PULWAMA</v>
      </c>
      <c r="I457" s="47" t="s">
        <v>8769</v>
      </c>
      <c r="J457" s="48">
        <v>46064</v>
      </c>
      <c r="K457" s="47">
        <v>9797992962</v>
      </c>
      <c r="L457" s="48" t="s">
        <v>138</v>
      </c>
      <c r="M457" s="47" t="s">
        <v>7775</v>
      </c>
      <c r="N457" s="48">
        <v>46064</v>
      </c>
      <c r="O457" s="47" t="s">
        <v>23</v>
      </c>
      <c r="P457" s="50">
        <v>46064</v>
      </c>
      <c r="Q457" s="47" t="s">
        <v>6460</v>
      </c>
      <c r="R457" s="47"/>
    </row>
    <row r="458" spans="1:18" x14ac:dyDescent="0.25">
      <c r="A458" s="47">
        <f t="shared" si="16"/>
        <v>457</v>
      </c>
      <c r="B458" s="47" t="s">
        <v>8773</v>
      </c>
      <c r="C458" s="47" t="s">
        <v>8774</v>
      </c>
      <c r="D458" s="47" t="s">
        <v>8776</v>
      </c>
      <c r="E458" s="47" t="s">
        <v>8775</v>
      </c>
      <c r="F458" s="47" t="s">
        <v>31</v>
      </c>
      <c r="G458" s="47" t="s">
        <v>199</v>
      </c>
      <c r="H458" s="47" t="str">
        <f t="shared" si="17"/>
        <v>BUDGAM</v>
      </c>
      <c r="I458" s="47" t="s">
        <v>8777</v>
      </c>
      <c r="J458" s="48">
        <v>46064</v>
      </c>
      <c r="K458" s="47">
        <v>9906455645</v>
      </c>
      <c r="L458" s="47" t="s">
        <v>484</v>
      </c>
      <c r="M458" s="49"/>
      <c r="N458" s="48"/>
      <c r="O458" s="47"/>
      <c r="P458" s="50"/>
      <c r="Q458" s="47"/>
      <c r="R458" s="47"/>
    </row>
    <row r="459" spans="1:18" x14ac:dyDescent="0.25">
      <c r="A459" s="47">
        <f t="shared" si="16"/>
        <v>458</v>
      </c>
      <c r="B459" s="47" t="s">
        <v>8778</v>
      </c>
      <c r="C459" s="47" t="s">
        <v>8779</v>
      </c>
      <c r="D459" s="47" t="s">
        <v>8780</v>
      </c>
      <c r="E459" s="47" t="s">
        <v>8781</v>
      </c>
      <c r="F459" s="47" t="s">
        <v>31</v>
      </c>
      <c r="G459" s="47" t="s">
        <v>200</v>
      </c>
      <c r="H459" s="47" t="str">
        <f t="shared" si="17"/>
        <v>POONCH</v>
      </c>
      <c r="I459" s="47" t="s">
        <v>8789</v>
      </c>
      <c r="J459" s="48">
        <v>46065</v>
      </c>
      <c r="K459" s="47">
        <v>8082345869</v>
      </c>
      <c r="L459" s="47" t="s">
        <v>195</v>
      </c>
      <c r="M459" s="49"/>
      <c r="N459" s="48"/>
      <c r="O459" s="47"/>
      <c r="P459" s="50"/>
      <c r="Q459" s="47"/>
      <c r="R459" s="47"/>
    </row>
    <row r="460" spans="1:18" x14ac:dyDescent="0.25">
      <c r="A460" s="47">
        <f t="shared" si="16"/>
        <v>459</v>
      </c>
      <c r="B460" s="47" t="s">
        <v>8783</v>
      </c>
      <c r="C460" s="47" t="s">
        <v>8784</v>
      </c>
      <c r="D460" s="47" t="s">
        <v>8785</v>
      </c>
      <c r="E460" s="47" t="s">
        <v>8786</v>
      </c>
      <c r="F460" s="47" t="s">
        <v>7401</v>
      </c>
      <c r="G460" s="47" t="s">
        <v>174</v>
      </c>
      <c r="H460" s="47" t="str">
        <f t="shared" si="17"/>
        <v>KULGAM</v>
      </c>
      <c r="I460" s="47" t="s">
        <v>8790</v>
      </c>
      <c r="J460" s="48">
        <v>46065</v>
      </c>
      <c r="K460" s="47">
        <v>8491811341</v>
      </c>
      <c r="L460" s="47" t="s">
        <v>6540</v>
      </c>
      <c r="M460" s="49" t="s">
        <v>8805</v>
      </c>
      <c r="N460" s="48">
        <v>46065</v>
      </c>
      <c r="O460" s="47" t="s">
        <v>8806</v>
      </c>
      <c r="P460" s="50"/>
      <c r="Q460" s="47"/>
      <c r="R460" s="47"/>
    </row>
    <row r="461" spans="1:18" x14ac:dyDescent="0.25">
      <c r="A461" s="47">
        <f t="shared" si="16"/>
        <v>460</v>
      </c>
      <c r="B461" s="47" t="s">
        <v>8791</v>
      </c>
      <c r="C461" s="47" t="s">
        <v>8792</v>
      </c>
      <c r="D461" s="47" t="s">
        <v>8793</v>
      </c>
      <c r="E461" s="47" t="s">
        <v>8794</v>
      </c>
      <c r="F461" s="47" t="s">
        <v>31</v>
      </c>
      <c r="G461" s="47" t="s">
        <v>199</v>
      </c>
      <c r="H461" s="47" t="str">
        <f t="shared" si="17"/>
        <v>SRINAGAR</v>
      </c>
      <c r="I461" s="47" t="s">
        <v>8799</v>
      </c>
      <c r="J461" s="48">
        <v>46065</v>
      </c>
      <c r="K461" s="47">
        <v>9419002798</v>
      </c>
      <c r="L461" s="47" t="s">
        <v>26</v>
      </c>
      <c r="M461" s="49"/>
      <c r="N461" s="48"/>
      <c r="O461" s="47" t="s">
        <v>23</v>
      </c>
      <c r="P461" s="50">
        <v>46065</v>
      </c>
      <c r="Q461" s="47" t="s">
        <v>6460</v>
      </c>
      <c r="R461" s="47"/>
    </row>
    <row r="462" spans="1:18" x14ac:dyDescent="0.25">
      <c r="A462" s="47">
        <f t="shared" si="16"/>
        <v>461</v>
      </c>
      <c r="B462" s="47" t="s">
        <v>8795</v>
      </c>
      <c r="C462" s="47" t="s">
        <v>8796</v>
      </c>
      <c r="D462" s="47" t="s">
        <v>8797</v>
      </c>
      <c r="E462" s="47" t="s">
        <v>6220</v>
      </c>
      <c r="F462" s="47" t="s">
        <v>119</v>
      </c>
      <c r="G462" s="47" t="s">
        <v>200</v>
      </c>
      <c r="H462" s="47" t="str">
        <f t="shared" si="17"/>
        <v>SHOPIAN</v>
      </c>
      <c r="I462" s="47" t="s">
        <v>8798</v>
      </c>
      <c r="J462" s="48">
        <v>46065</v>
      </c>
      <c r="K462" s="47">
        <v>9596414585</v>
      </c>
      <c r="L462" s="47" t="s">
        <v>6570</v>
      </c>
      <c r="M462" s="49"/>
      <c r="N462" s="48"/>
      <c r="O462" s="47"/>
      <c r="P462" s="50"/>
      <c r="Q462" s="47"/>
      <c r="R462" s="47" t="s">
        <v>8807</v>
      </c>
    </row>
    <row r="463" spans="1:18" x14ac:dyDescent="0.25">
      <c r="A463" s="47">
        <f t="shared" si="16"/>
        <v>462</v>
      </c>
      <c r="B463" s="47" t="s">
        <v>8804</v>
      </c>
      <c r="C463" s="47" t="s">
        <v>8800</v>
      </c>
      <c r="D463" s="47" t="s">
        <v>8801</v>
      </c>
      <c r="E463" s="47" t="s">
        <v>8802</v>
      </c>
      <c r="F463" s="47" t="s">
        <v>100</v>
      </c>
      <c r="G463" s="47" t="s">
        <v>226</v>
      </c>
      <c r="H463" s="47" t="str">
        <f t="shared" si="17"/>
        <v>PULWAMA</v>
      </c>
      <c r="I463" s="47" t="s">
        <v>8803</v>
      </c>
      <c r="J463" s="48">
        <v>46065</v>
      </c>
      <c r="K463" s="47">
        <v>7006053253</v>
      </c>
      <c r="L463" s="47" t="s">
        <v>8739</v>
      </c>
      <c r="M463" s="49"/>
      <c r="N463" s="48"/>
      <c r="O463" s="47"/>
      <c r="P463" s="50"/>
      <c r="Q463" s="47"/>
      <c r="R463" s="47" t="s">
        <v>8807</v>
      </c>
    </row>
    <row r="464" spans="1:18" x14ac:dyDescent="0.25">
      <c r="A464" s="47">
        <f t="shared" si="16"/>
        <v>463</v>
      </c>
      <c r="B464" s="47"/>
      <c r="C464" s="47"/>
      <c r="D464" s="47"/>
      <c r="E464" s="47"/>
      <c r="F464" s="47"/>
      <c r="G464" s="47"/>
      <c r="H464" s="47" t="str">
        <f t="shared" si="17"/>
        <v>NEW</v>
      </c>
      <c r="I464" s="47"/>
      <c r="J464" s="48"/>
      <c r="K464" s="47"/>
      <c r="L464" s="47"/>
      <c r="M464" s="49"/>
      <c r="N464" s="48"/>
      <c r="O464" s="47"/>
      <c r="P464" s="50"/>
      <c r="Q464" s="47"/>
      <c r="R464" s="47"/>
    </row>
    <row r="465" spans="1:18" x14ac:dyDescent="0.25">
      <c r="A465" s="47">
        <f t="shared" si="16"/>
        <v>464</v>
      </c>
      <c r="B465" s="47"/>
      <c r="C465" s="47"/>
      <c r="D465" s="47"/>
      <c r="E465" s="47"/>
      <c r="F465" s="47"/>
      <c r="G465" s="47"/>
      <c r="H465" s="47" t="str">
        <f t="shared" si="17"/>
        <v>NEW</v>
      </c>
      <c r="I465" s="47"/>
      <c r="J465" s="48"/>
      <c r="K465" s="47"/>
      <c r="L465" s="47"/>
      <c r="M465" s="49"/>
      <c r="N465" s="48"/>
      <c r="O465" s="47"/>
      <c r="P465" s="50"/>
      <c r="Q465" s="47"/>
      <c r="R465" s="47"/>
    </row>
    <row r="466" spans="1:18" x14ac:dyDescent="0.25">
      <c r="A466" s="47">
        <f t="shared" si="16"/>
        <v>465</v>
      </c>
      <c r="B466" s="47"/>
      <c r="C466" s="47"/>
      <c r="D466" s="47"/>
      <c r="E466" s="47"/>
      <c r="F466" s="47"/>
      <c r="G466" s="47"/>
      <c r="H466" s="47" t="str">
        <f t="shared" si="17"/>
        <v>NEW</v>
      </c>
      <c r="I466" s="47"/>
      <c r="J466" s="48"/>
      <c r="K466" s="47"/>
      <c r="L466" s="47"/>
      <c r="M466" s="49"/>
      <c r="N466" s="48"/>
      <c r="O466" s="47"/>
      <c r="P466" s="50"/>
      <c r="Q466" s="47"/>
      <c r="R466" s="47"/>
    </row>
    <row r="467" spans="1:18" x14ac:dyDescent="0.25">
      <c r="A467" s="47">
        <f t="shared" si="16"/>
        <v>466</v>
      </c>
      <c r="B467" s="47"/>
      <c r="C467" s="47"/>
      <c r="D467" s="47"/>
      <c r="E467" s="47"/>
      <c r="F467" s="47"/>
      <c r="G467" s="47"/>
      <c r="H467" s="47" t="str">
        <f t="shared" si="17"/>
        <v>NEW</v>
      </c>
      <c r="I467" s="47"/>
      <c r="J467" s="48"/>
      <c r="K467" s="47"/>
      <c r="L467" s="47"/>
      <c r="M467" s="49"/>
      <c r="N467" s="48"/>
      <c r="O467" s="47"/>
      <c r="P467" s="50"/>
      <c r="Q467" s="47"/>
      <c r="R467" s="47"/>
    </row>
    <row r="468" spans="1:18" x14ac:dyDescent="0.25">
      <c r="A468" s="47">
        <f t="shared" si="16"/>
        <v>467</v>
      </c>
      <c r="B468" s="47"/>
      <c r="C468" s="47"/>
      <c r="D468" s="47"/>
      <c r="E468" s="47"/>
      <c r="F468" s="47"/>
      <c r="G468" s="47"/>
      <c r="H468" s="47" t="str">
        <f t="shared" si="17"/>
        <v>NEW</v>
      </c>
      <c r="I468" s="47"/>
      <c r="J468" s="48"/>
      <c r="K468" s="47"/>
      <c r="L468" s="47"/>
      <c r="M468" s="49"/>
      <c r="N468" s="48"/>
      <c r="O468" s="47"/>
      <c r="P468" s="50"/>
      <c r="Q468" s="47"/>
      <c r="R468" s="47"/>
    </row>
    <row r="469" spans="1:18" x14ac:dyDescent="0.25">
      <c r="A469" s="47">
        <f t="shared" si="16"/>
        <v>468</v>
      </c>
      <c r="B469" s="47"/>
      <c r="C469" s="47"/>
      <c r="D469" s="47"/>
      <c r="E469" s="47"/>
      <c r="F469" s="47"/>
      <c r="G469" s="47"/>
      <c r="H469" s="47" t="str">
        <f t="shared" si="17"/>
        <v>NEW</v>
      </c>
      <c r="I469" s="47"/>
      <c r="J469" s="48"/>
      <c r="K469" s="47"/>
      <c r="L469" s="47"/>
      <c r="M469" s="49"/>
      <c r="N469" s="48"/>
      <c r="O469" s="47"/>
      <c r="P469" s="50"/>
      <c r="Q469" s="47"/>
      <c r="R469" s="47"/>
    </row>
    <row r="470" spans="1:18" x14ac:dyDescent="0.25">
      <c r="A470" s="47">
        <f t="shared" si="16"/>
        <v>469</v>
      </c>
      <c r="B470" s="47"/>
      <c r="C470" s="47"/>
      <c r="D470" s="47"/>
      <c r="E470" s="47"/>
      <c r="F470" s="47"/>
      <c r="G470" s="47"/>
      <c r="H470" s="47" t="str">
        <f t="shared" si="17"/>
        <v>NEW</v>
      </c>
      <c r="I470" s="47"/>
      <c r="J470" s="48"/>
      <c r="K470" s="47"/>
      <c r="L470" s="47"/>
      <c r="M470" s="49"/>
      <c r="N470" s="48"/>
      <c r="O470" s="47"/>
      <c r="P470" s="50"/>
      <c r="Q470" s="47"/>
      <c r="R470" s="47"/>
    </row>
    <row r="471" spans="1:18" x14ac:dyDescent="0.25">
      <c r="A471" s="47">
        <f t="shared" si="16"/>
        <v>470</v>
      </c>
      <c r="B471" s="47"/>
      <c r="C471" s="47"/>
      <c r="D471" s="47"/>
      <c r="E471" s="47"/>
      <c r="F471" s="47"/>
      <c r="G471" s="47"/>
      <c r="H471" s="47" t="str">
        <f t="shared" si="17"/>
        <v>NEW</v>
      </c>
      <c r="I471" s="47"/>
      <c r="J471" s="48"/>
      <c r="K471" s="47"/>
      <c r="L471" s="47"/>
      <c r="M471" s="49"/>
      <c r="N471" s="48"/>
      <c r="O471" s="47"/>
      <c r="P471" s="50"/>
      <c r="Q471" s="47"/>
      <c r="R471" s="47"/>
    </row>
    <row r="472" spans="1:18" x14ac:dyDescent="0.25">
      <c r="A472" s="47">
        <f t="shared" si="16"/>
        <v>471</v>
      </c>
      <c r="B472" s="47"/>
      <c r="C472" s="47"/>
      <c r="D472" s="47"/>
      <c r="E472" s="47"/>
      <c r="F472" s="47"/>
      <c r="G472" s="47"/>
      <c r="H472" s="47" t="str">
        <f t="shared" si="17"/>
        <v>NEW</v>
      </c>
      <c r="I472" s="47"/>
      <c r="J472" s="48"/>
      <c r="K472" s="47"/>
      <c r="L472" s="47"/>
      <c r="M472" s="49"/>
      <c r="N472" s="48"/>
      <c r="O472" s="47"/>
      <c r="P472" s="50"/>
      <c r="Q472" s="47"/>
      <c r="R472" s="47"/>
    </row>
    <row r="473" spans="1:18" x14ac:dyDescent="0.25">
      <c r="A473" s="47">
        <f t="shared" si="16"/>
        <v>472</v>
      </c>
      <c r="B473" s="47"/>
      <c r="C473" s="47"/>
      <c r="D473" s="47"/>
      <c r="E473" s="47"/>
      <c r="F473" s="47"/>
      <c r="G473" s="47"/>
      <c r="H473" s="47" t="str">
        <f t="shared" si="17"/>
        <v>NEW</v>
      </c>
      <c r="I473" s="47"/>
      <c r="J473" s="48"/>
      <c r="K473" s="47"/>
      <c r="L473" s="47"/>
      <c r="M473" s="49"/>
      <c r="N473" s="48"/>
      <c r="O473" s="47"/>
      <c r="P473" s="50"/>
      <c r="Q473" s="47"/>
      <c r="R473" s="47"/>
    </row>
    <row r="474" spans="1:18" x14ac:dyDescent="0.25">
      <c r="A474" s="47">
        <f t="shared" si="16"/>
        <v>473</v>
      </c>
      <c r="B474" s="47"/>
      <c r="C474" s="47"/>
      <c r="D474" s="47"/>
      <c r="E474" s="47"/>
      <c r="F474" s="47"/>
      <c r="G474" s="47"/>
      <c r="H474" s="47" t="str">
        <f t="shared" si="17"/>
        <v>NEW</v>
      </c>
      <c r="I474" s="47"/>
      <c r="J474" s="48"/>
      <c r="K474" s="47"/>
      <c r="L474" s="47"/>
      <c r="M474" s="49"/>
      <c r="N474" s="48"/>
      <c r="O474" s="47"/>
      <c r="P474" s="50"/>
      <c r="Q474" s="47"/>
      <c r="R474" s="47"/>
    </row>
    <row r="475" spans="1:18" x14ac:dyDescent="0.25">
      <c r="A475" s="47">
        <f t="shared" si="16"/>
        <v>474</v>
      </c>
      <c r="B475" s="47"/>
      <c r="C475" s="47"/>
      <c r="D475" s="47"/>
      <c r="E475" s="47"/>
      <c r="F475" s="47"/>
      <c r="G475" s="47"/>
      <c r="H475" s="47" t="str">
        <f t="shared" si="17"/>
        <v>NEW</v>
      </c>
      <c r="I475" s="47"/>
      <c r="J475" s="48"/>
      <c r="K475" s="47"/>
      <c r="L475" s="47"/>
      <c r="M475" s="49"/>
      <c r="N475" s="48"/>
      <c r="O475" s="47"/>
      <c r="P475" s="50"/>
      <c r="Q475" s="47"/>
      <c r="R475" s="47"/>
    </row>
    <row r="476" spans="1:18" x14ac:dyDescent="0.25">
      <c r="A476" s="47">
        <f t="shared" si="16"/>
        <v>475</v>
      </c>
      <c r="B476" s="47"/>
      <c r="C476" s="47"/>
      <c r="D476" s="47"/>
      <c r="E476" s="47"/>
      <c r="F476" s="47"/>
      <c r="G476" s="47"/>
      <c r="H476" s="47" t="str">
        <f t="shared" si="17"/>
        <v>NEW</v>
      </c>
      <c r="I476" s="47"/>
      <c r="J476" s="48"/>
      <c r="K476" s="47"/>
      <c r="L476" s="47"/>
      <c r="M476" s="49"/>
      <c r="N476" s="48"/>
      <c r="O476" s="47"/>
      <c r="P476" s="50"/>
      <c r="Q476" s="47"/>
      <c r="R476" s="47"/>
    </row>
    <row r="477" spans="1:18" x14ac:dyDescent="0.25">
      <c r="A477" s="47">
        <f t="shared" si="16"/>
        <v>476</v>
      </c>
      <c r="B477" s="47"/>
      <c r="C477" s="47"/>
      <c r="D477" s="47"/>
      <c r="E477" s="47"/>
      <c r="F477" s="47"/>
      <c r="G477" s="47"/>
      <c r="H477" s="47" t="str">
        <f t="shared" si="17"/>
        <v>NEW</v>
      </c>
      <c r="I477" s="47"/>
      <c r="J477" s="48"/>
      <c r="K477" s="47"/>
      <c r="L477" s="47"/>
      <c r="M477" s="49"/>
      <c r="N477" s="48"/>
      <c r="O477" s="47"/>
      <c r="P477" s="50"/>
      <c r="Q477" s="47"/>
      <c r="R477" s="47"/>
    </row>
    <row r="478" spans="1:18" x14ac:dyDescent="0.25">
      <c r="A478" s="47">
        <f t="shared" si="16"/>
        <v>477</v>
      </c>
      <c r="B478" s="47"/>
      <c r="C478" s="47"/>
      <c r="D478" s="47"/>
      <c r="E478" s="47"/>
      <c r="F478" s="47"/>
      <c r="G478" s="47"/>
      <c r="H478" s="47" t="str">
        <f t="shared" si="17"/>
        <v>NEW</v>
      </c>
      <c r="I478" s="47"/>
      <c r="J478" s="48"/>
      <c r="K478" s="47"/>
      <c r="L478" s="47"/>
      <c r="M478" s="49"/>
      <c r="N478" s="48"/>
      <c r="O478" s="47"/>
      <c r="P478" s="50"/>
      <c r="Q478" s="47"/>
      <c r="R478" s="47"/>
    </row>
    <row r="479" spans="1:18" x14ac:dyDescent="0.25">
      <c r="A479" s="47">
        <f t="shared" si="16"/>
        <v>478</v>
      </c>
      <c r="B479" s="47"/>
      <c r="C479" s="47"/>
      <c r="D479" s="47"/>
      <c r="E479" s="47"/>
      <c r="F479" s="47"/>
      <c r="G479" s="47"/>
      <c r="H479" s="47" t="str">
        <f t="shared" si="17"/>
        <v>NEW</v>
      </c>
      <c r="I479" s="47"/>
      <c r="J479" s="48"/>
      <c r="K479" s="47"/>
      <c r="L479" s="47"/>
      <c r="M479" s="49"/>
      <c r="N479" s="48"/>
      <c r="O479" s="47"/>
      <c r="P479" s="50"/>
      <c r="Q479" s="47"/>
      <c r="R479" s="47"/>
    </row>
    <row r="480" spans="1:18" x14ac:dyDescent="0.25">
      <c r="A480" s="47">
        <f t="shared" si="16"/>
        <v>479</v>
      </c>
      <c r="B480" s="47"/>
      <c r="C480" s="47"/>
      <c r="D480" s="47"/>
      <c r="E480" s="47"/>
      <c r="F480" s="47"/>
      <c r="G480" s="47"/>
      <c r="H480" s="47" t="str">
        <f t="shared" si="17"/>
        <v>NEW</v>
      </c>
      <c r="I480" s="47"/>
      <c r="J480" s="48"/>
      <c r="K480" s="47"/>
      <c r="L480" s="47"/>
      <c r="M480" s="49"/>
      <c r="N480" s="48"/>
      <c r="O480" s="47"/>
      <c r="P480" s="50"/>
      <c r="Q480" s="47"/>
      <c r="R480" s="47"/>
    </row>
    <row r="481" spans="1:18" x14ac:dyDescent="0.25">
      <c r="A481" s="47">
        <f t="shared" si="16"/>
        <v>480</v>
      </c>
      <c r="B481" s="47"/>
      <c r="C481" s="47"/>
      <c r="D481" s="47"/>
      <c r="E481" s="47"/>
      <c r="F481" s="47"/>
      <c r="G481" s="47"/>
      <c r="H481" s="47" t="str">
        <f t="shared" si="17"/>
        <v>NEW</v>
      </c>
      <c r="I481" s="47"/>
      <c r="J481" s="48"/>
      <c r="K481" s="47"/>
      <c r="L481" s="47"/>
      <c r="M481" s="49"/>
      <c r="N481" s="48"/>
      <c r="O481" s="47"/>
      <c r="P481" s="50"/>
      <c r="Q481" s="47"/>
      <c r="R481" s="47"/>
    </row>
    <row r="482" spans="1:18" x14ac:dyDescent="0.25">
      <c r="A482" s="47">
        <f t="shared" si="16"/>
        <v>481</v>
      </c>
      <c r="B482" s="47"/>
      <c r="C482" s="47"/>
      <c r="D482" s="47"/>
      <c r="E482" s="47"/>
      <c r="F482" s="47"/>
      <c r="G482" s="47"/>
      <c r="H482" s="47" t="str">
        <f t="shared" si="17"/>
        <v>NEW</v>
      </c>
      <c r="I482" s="47"/>
      <c r="J482" s="48"/>
      <c r="K482" s="47"/>
      <c r="L482" s="47"/>
      <c r="M482" s="49"/>
      <c r="N482" s="48"/>
      <c r="O482" s="47"/>
      <c r="P482" s="50"/>
      <c r="Q482" s="47"/>
      <c r="R482" s="47"/>
    </row>
    <row r="483" spans="1:18" x14ac:dyDescent="0.25">
      <c r="A483" s="47">
        <f t="shared" si="16"/>
        <v>482</v>
      </c>
      <c r="B483" s="47"/>
      <c r="C483" s="47"/>
      <c r="D483" s="47"/>
      <c r="E483" s="47"/>
      <c r="F483" s="47"/>
      <c r="G483" s="47"/>
      <c r="H483" s="47" t="str">
        <f t="shared" si="17"/>
        <v>NEW</v>
      </c>
      <c r="I483" s="47"/>
      <c r="J483" s="48"/>
      <c r="K483" s="47"/>
      <c r="L483" s="47"/>
      <c r="M483" s="49"/>
      <c r="N483" s="48"/>
      <c r="O483" s="47"/>
      <c r="P483" s="50"/>
      <c r="Q483" s="47"/>
      <c r="R483" s="47"/>
    </row>
    <row r="484" spans="1:18" x14ac:dyDescent="0.25">
      <c r="A484" s="47">
        <f t="shared" si="16"/>
        <v>483</v>
      </c>
      <c r="B484" s="47"/>
      <c r="C484" s="47"/>
      <c r="D484" s="47"/>
      <c r="E484" s="47"/>
      <c r="F484" s="47"/>
      <c r="G484" s="47"/>
      <c r="H484" s="47" t="str">
        <f t="shared" si="17"/>
        <v>NEW</v>
      </c>
      <c r="I484" s="47"/>
      <c r="J484" s="48"/>
      <c r="K484" s="47"/>
      <c r="L484" s="47"/>
      <c r="M484" s="49"/>
      <c r="N484" s="48"/>
      <c r="O484" s="47"/>
      <c r="P484" s="50"/>
      <c r="Q484" s="47"/>
      <c r="R484" s="47"/>
    </row>
    <row r="485" spans="1:18" x14ac:dyDescent="0.25">
      <c r="A485" s="47">
        <f t="shared" si="16"/>
        <v>484</v>
      </c>
      <c r="B485" s="47"/>
      <c r="C485" s="47"/>
      <c r="D485" s="47"/>
      <c r="E485" s="47"/>
      <c r="F485" s="47"/>
      <c r="G485" s="47"/>
      <c r="H485" s="47" t="str">
        <f t="shared" si="17"/>
        <v>NEW</v>
      </c>
      <c r="I485" s="47"/>
      <c r="J485" s="48"/>
      <c r="K485" s="47"/>
      <c r="L485" s="47"/>
      <c r="M485" s="49"/>
      <c r="N485" s="48"/>
      <c r="O485" s="47"/>
      <c r="P485" s="50"/>
      <c r="Q485" s="47"/>
      <c r="R485" s="47"/>
    </row>
    <row r="486" spans="1:18" x14ac:dyDescent="0.25">
      <c r="A486" s="47">
        <f t="shared" si="16"/>
        <v>485</v>
      </c>
      <c r="B486" s="47"/>
      <c r="C486" s="47"/>
      <c r="D486" s="47"/>
      <c r="E486" s="47"/>
      <c r="F486" s="47"/>
      <c r="G486" s="47"/>
      <c r="H486" s="47" t="str">
        <f t="shared" si="17"/>
        <v>NEW</v>
      </c>
      <c r="I486" s="47"/>
      <c r="J486" s="48"/>
      <c r="K486" s="47"/>
      <c r="L486" s="47"/>
      <c r="M486" s="49"/>
      <c r="N486" s="48"/>
      <c r="O486" s="47"/>
      <c r="P486" s="50"/>
      <c r="Q486" s="47"/>
      <c r="R486" s="47"/>
    </row>
    <row r="487" spans="1:18" x14ac:dyDescent="0.25">
      <c r="A487" s="47">
        <f t="shared" si="16"/>
        <v>486</v>
      </c>
      <c r="B487" s="47"/>
      <c r="C487" s="47"/>
      <c r="D487" s="47"/>
      <c r="E487" s="47"/>
      <c r="F487" s="47"/>
      <c r="G487" s="47"/>
      <c r="H487" s="47" t="str">
        <f t="shared" si="17"/>
        <v>NEW</v>
      </c>
      <c r="I487" s="47"/>
      <c r="J487" s="48"/>
      <c r="K487" s="47"/>
      <c r="L487" s="47"/>
      <c r="M487" s="49"/>
      <c r="N487" s="48"/>
      <c r="O487" s="47"/>
      <c r="P487" s="50"/>
      <c r="Q487" s="47"/>
      <c r="R487" s="47"/>
    </row>
    <row r="488" spans="1:18" x14ac:dyDescent="0.25">
      <c r="A488" s="47">
        <f t="shared" si="16"/>
        <v>487</v>
      </c>
      <c r="B488" s="47"/>
      <c r="C488" s="47"/>
      <c r="D488" s="47"/>
      <c r="E488" s="47"/>
      <c r="F488" s="47"/>
      <c r="G488" s="47"/>
      <c r="H488" s="47" t="str">
        <f t="shared" si="17"/>
        <v>NEW</v>
      </c>
      <c r="I488" s="47"/>
      <c r="J488" s="48"/>
      <c r="K488" s="47"/>
      <c r="L488" s="47"/>
      <c r="M488" s="49"/>
      <c r="N488" s="48"/>
      <c r="O488" s="47"/>
      <c r="P488" s="50"/>
      <c r="Q488" s="47"/>
      <c r="R488" s="47"/>
    </row>
    <row r="489" spans="1:18" x14ac:dyDescent="0.25">
      <c r="A489" s="47">
        <f t="shared" si="16"/>
        <v>488</v>
      </c>
      <c r="B489" s="47"/>
      <c r="C489" s="47"/>
      <c r="D489" s="47"/>
      <c r="E489" s="47"/>
      <c r="F489" s="47"/>
      <c r="G489" s="47"/>
      <c r="H489" s="47" t="str">
        <f t="shared" ref="H489:H520" si="18">IF(LEFT(I489,4)="JK13","PULWAMA",IF(LEFT(I489,4)="JK01","SRINAGAR",IF(LEFT(I489,4)="JK04","BUDGAM",IF(LEFT(I489,4)="JK03","ANANTNAG",IF(LEFT(I489,4)="JK05","BARAMULLA",IF(LEFT(I489,4)="26BH","BHARAT",IF(LEFT(I489,4)="25BH","BHARAT",IF(LEFT(I489,4)="JK12","POONCH",IF(LEFT(I489,4)="JK18","KULGAM",IF(LEFT(I489,4)="JK22","SHOPIAN",IF(LEFT(I489,4)="JK02","JAMMU",IF(LEFT(I489,4)="JK09","KUPWARA",IF(LEFT(I489,4)="JK15","BANDIPORA",IF(LEFT(I489,4)="JK17","KISHTWAR",IF(LEFT(I489,4)="LA01","KARGIL",IF(LEFT(I489,1)="T","TEMP","NEW"))))))))))))))))</f>
        <v>NEW</v>
      </c>
      <c r="I489" s="47"/>
      <c r="J489" s="48"/>
      <c r="K489" s="47"/>
      <c r="L489" s="47"/>
      <c r="M489" s="49"/>
      <c r="N489" s="48"/>
      <c r="O489" s="47"/>
      <c r="P489" s="50"/>
      <c r="Q489" s="47"/>
      <c r="R489" s="47"/>
    </row>
    <row r="490" spans="1:18" x14ac:dyDescent="0.25">
      <c r="A490" s="47">
        <f t="shared" si="16"/>
        <v>489</v>
      </c>
      <c r="B490" s="47"/>
      <c r="C490" s="47"/>
      <c r="D490" s="47"/>
      <c r="E490" s="47"/>
      <c r="F490" s="47"/>
      <c r="G490" s="47"/>
      <c r="H490" s="47" t="str">
        <f t="shared" si="18"/>
        <v>NEW</v>
      </c>
      <c r="I490" s="47"/>
      <c r="J490" s="48"/>
      <c r="K490" s="47"/>
      <c r="L490" s="47"/>
      <c r="M490" s="49"/>
      <c r="N490" s="48"/>
      <c r="O490" s="47"/>
      <c r="P490" s="50"/>
      <c r="Q490" s="47"/>
      <c r="R490" s="47"/>
    </row>
    <row r="491" spans="1:18" x14ac:dyDescent="0.25">
      <c r="A491" s="47">
        <f t="shared" si="16"/>
        <v>490</v>
      </c>
      <c r="B491" s="47"/>
      <c r="C491" s="47"/>
      <c r="D491" s="47"/>
      <c r="E491" s="47"/>
      <c r="F491" s="47"/>
      <c r="G491" s="47"/>
      <c r="H491" s="47" t="str">
        <f t="shared" si="18"/>
        <v>NEW</v>
      </c>
      <c r="I491" s="47"/>
      <c r="J491" s="48"/>
      <c r="K491" s="47"/>
      <c r="L491" s="47"/>
      <c r="M491" s="49"/>
      <c r="N491" s="48"/>
      <c r="O491" s="47"/>
      <c r="P491" s="50"/>
      <c r="Q491" s="47"/>
      <c r="R491" s="47"/>
    </row>
    <row r="492" spans="1:18" x14ac:dyDescent="0.25">
      <c r="A492" s="47">
        <f t="shared" si="16"/>
        <v>491</v>
      </c>
      <c r="B492" s="47"/>
      <c r="C492" s="47"/>
      <c r="D492" s="47"/>
      <c r="E492" s="47"/>
      <c r="F492" s="47"/>
      <c r="G492" s="47"/>
      <c r="H492" s="47" t="str">
        <f t="shared" si="18"/>
        <v>NEW</v>
      </c>
      <c r="I492" s="47"/>
      <c r="J492" s="48"/>
      <c r="K492" s="47"/>
      <c r="L492" s="47"/>
      <c r="M492" s="49"/>
      <c r="N492" s="48"/>
      <c r="O492" s="47"/>
      <c r="P492" s="50"/>
      <c r="Q492" s="47"/>
      <c r="R492" s="47"/>
    </row>
    <row r="493" spans="1:18" x14ac:dyDescent="0.25">
      <c r="A493" s="47">
        <f t="shared" si="16"/>
        <v>492</v>
      </c>
      <c r="B493" s="47"/>
      <c r="C493" s="47"/>
      <c r="D493" s="47"/>
      <c r="E493" s="47"/>
      <c r="F493" s="47"/>
      <c r="G493" s="47"/>
      <c r="H493" s="47" t="str">
        <f t="shared" si="18"/>
        <v>NEW</v>
      </c>
      <c r="I493" s="47"/>
      <c r="J493" s="48"/>
      <c r="K493" s="47"/>
      <c r="L493" s="47"/>
      <c r="M493" s="49"/>
      <c r="N493" s="48"/>
      <c r="O493" s="47"/>
      <c r="P493" s="50"/>
      <c r="Q493" s="47"/>
      <c r="R493" s="47"/>
    </row>
    <row r="494" spans="1:18" x14ac:dyDescent="0.25">
      <c r="A494" s="47">
        <f t="shared" si="16"/>
        <v>493</v>
      </c>
      <c r="B494" s="47"/>
      <c r="C494" s="47"/>
      <c r="D494" s="47"/>
      <c r="E494" s="47"/>
      <c r="F494" s="47"/>
      <c r="G494" s="47"/>
      <c r="H494" s="47" t="str">
        <f t="shared" si="18"/>
        <v>NEW</v>
      </c>
      <c r="I494" s="47"/>
      <c r="J494" s="48"/>
      <c r="K494" s="47"/>
      <c r="L494" s="47"/>
      <c r="M494" s="49"/>
      <c r="N494" s="48"/>
      <c r="O494" s="47"/>
      <c r="P494" s="50"/>
      <c r="Q494" s="47"/>
      <c r="R494" s="47"/>
    </row>
    <row r="495" spans="1:18" x14ac:dyDescent="0.25">
      <c r="A495" s="47">
        <f t="shared" si="16"/>
        <v>494</v>
      </c>
      <c r="B495" s="47"/>
      <c r="C495" s="47"/>
      <c r="D495" s="47"/>
      <c r="E495" s="47"/>
      <c r="F495" s="47"/>
      <c r="G495" s="47"/>
      <c r="H495" s="47" t="str">
        <f t="shared" si="18"/>
        <v>NEW</v>
      </c>
      <c r="I495" s="47"/>
      <c r="J495" s="48"/>
      <c r="K495" s="47"/>
      <c r="L495" s="47"/>
      <c r="M495" s="49"/>
      <c r="N495" s="48"/>
      <c r="O495" s="47"/>
      <c r="P495" s="50"/>
      <c r="Q495" s="47"/>
      <c r="R495" s="47"/>
    </row>
    <row r="496" spans="1:18" x14ac:dyDescent="0.25">
      <c r="A496" s="47">
        <f t="shared" si="16"/>
        <v>495</v>
      </c>
      <c r="B496" s="47"/>
      <c r="C496" s="47"/>
      <c r="D496" s="47"/>
      <c r="E496" s="47"/>
      <c r="F496" s="47"/>
      <c r="G496" s="47"/>
      <c r="H496" s="47" t="str">
        <f t="shared" si="18"/>
        <v>NEW</v>
      </c>
      <c r="I496" s="47"/>
      <c r="J496" s="48"/>
      <c r="K496" s="47"/>
      <c r="L496" s="47"/>
      <c r="M496" s="49"/>
      <c r="N496" s="48"/>
      <c r="O496" s="47"/>
      <c r="P496" s="50"/>
      <c r="Q496" s="47"/>
      <c r="R496" s="47"/>
    </row>
    <row r="497" spans="1:18" x14ac:dyDescent="0.25">
      <c r="A497" s="47">
        <f t="shared" si="16"/>
        <v>496</v>
      </c>
      <c r="B497" s="47"/>
      <c r="C497" s="47"/>
      <c r="D497" s="47"/>
      <c r="E497" s="47"/>
      <c r="F497" s="47"/>
      <c r="G497" s="47"/>
      <c r="H497" s="47" t="str">
        <f t="shared" si="18"/>
        <v>NEW</v>
      </c>
      <c r="I497" s="47"/>
      <c r="J497" s="48"/>
      <c r="K497" s="47"/>
      <c r="L497" s="47"/>
      <c r="M497" s="49"/>
      <c r="N497" s="48"/>
      <c r="O497" s="47"/>
      <c r="P497" s="50"/>
      <c r="Q497" s="47"/>
      <c r="R497" s="47"/>
    </row>
    <row r="498" spans="1:18" x14ac:dyDescent="0.25">
      <c r="A498" s="47">
        <f t="shared" si="16"/>
        <v>497</v>
      </c>
      <c r="B498" s="47"/>
      <c r="C498" s="47"/>
      <c r="D498" s="47"/>
      <c r="E498" s="47"/>
      <c r="F498" s="47"/>
      <c r="G498" s="47"/>
      <c r="H498" s="47" t="str">
        <f t="shared" si="18"/>
        <v>NEW</v>
      </c>
      <c r="I498" s="47"/>
      <c r="J498" s="48"/>
      <c r="K498" s="47"/>
      <c r="L498" s="47"/>
      <c r="M498" s="49"/>
      <c r="N498" s="48"/>
      <c r="O498" s="47"/>
      <c r="P498" s="50"/>
      <c r="Q498" s="47"/>
      <c r="R498" s="47"/>
    </row>
    <row r="499" spans="1:18" x14ac:dyDescent="0.25">
      <c r="A499" s="47">
        <f t="shared" si="16"/>
        <v>498</v>
      </c>
      <c r="B499" s="47"/>
      <c r="C499" s="47"/>
      <c r="D499" s="47"/>
      <c r="E499" s="47"/>
      <c r="F499" s="47"/>
      <c r="G499" s="47"/>
      <c r="H499" s="47" t="str">
        <f t="shared" si="18"/>
        <v>NEW</v>
      </c>
      <c r="I499" s="47"/>
      <c r="J499" s="48"/>
      <c r="K499" s="47"/>
      <c r="L499" s="47"/>
      <c r="M499" s="49"/>
      <c r="N499" s="48"/>
      <c r="O499" s="47"/>
      <c r="P499" s="50"/>
      <c r="Q499" s="47"/>
      <c r="R499" s="47"/>
    </row>
    <row r="500" spans="1:18" x14ac:dyDescent="0.25">
      <c r="A500" s="47">
        <f t="shared" si="16"/>
        <v>499</v>
      </c>
      <c r="B500" s="47"/>
      <c r="C500" s="47"/>
      <c r="D500" s="47"/>
      <c r="E500" s="47"/>
      <c r="F500" s="47"/>
      <c r="G500" s="47"/>
      <c r="H500" s="47" t="str">
        <f t="shared" si="18"/>
        <v>NEW</v>
      </c>
      <c r="I500" s="47"/>
      <c r="J500" s="48"/>
      <c r="K500" s="47"/>
      <c r="L500" s="47"/>
      <c r="M500" s="49"/>
      <c r="N500" s="48"/>
      <c r="O500" s="47"/>
      <c r="P500" s="50"/>
      <c r="Q500" s="47"/>
      <c r="R500" s="47"/>
    </row>
    <row r="501" spans="1:18" x14ac:dyDescent="0.25">
      <c r="A501" s="47">
        <f t="shared" si="16"/>
        <v>500</v>
      </c>
      <c r="B501" s="47"/>
      <c r="C501" s="47"/>
      <c r="D501" s="47"/>
      <c r="E501" s="47"/>
      <c r="F501" s="47"/>
      <c r="G501" s="47"/>
      <c r="H501" s="47" t="str">
        <f t="shared" si="18"/>
        <v>NEW</v>
      </c>
      <c r="I501" s="47"/>
      <c r="J501" s="48"/>
      <c r="K501" s="47"/>
      <c r="L501" s="47"/>
      <c r="M501" s="49"/>
      <c r="N501" s="48"/>
      <c r="O501" s="47"/>
      <c r="P501" s="50"/>
      <c r="Q501" s="47"/>
      <c r="R501" s="47"/>
    </row>
    <row r="502" spans="1:18" x14ac:dyDescent="0.25">
      <c r="A502" s="47">
        <f t="shared" si="16"/>
        <v>501</v>
      </c>
      <c r="B502" s="47"/>
      <c r="C502" s="47"/>
      <c r="D502" s="47"/>
      <c r="E502" s="47"/>
      <c r="F502" s="47"/>
      <c r="G502" s="47"/>
      <c r="H502" s="47" t="str">
        <f t="shared" si="18"/>
        <v>NEW</v>
      </c>
      <c r="I502" s="47"/>
      <c r="J502" s="48"/>
      <c r="K502" s="47"/>
      <c r="L502" s="47"/>
      <c r="M502" s="49"/>
      <c r="N502" s="48"/>
      <c r="O502" s="47"/>
      <c r="P502" s="50"/>
      <c r="Q502" s="47"/>
      <c r="R502" s="47"/>
    </row>
    <row r="503" spans="1:18" x14ac:dyDescent="0.25">
      <c r="A503" s="47">
        <f t="shared" si="16"/>
        <v>502</v>
      </c>
      <c r="B503" s="47"/>
      <c r="C503" s="47"/>
      <c r="D503" s="47"/>
      <c r="E503" s="47"/>
      <c r="F503" s="47"/>
      <c r="G503" s="47"/>
      <c r="H503" s="47" t="str">
        <f t="shared" si="18"/>
        <v>NEW</v>
      </c>
      <c r="I503" s="47"/>
      <c r="J503" s="48"/>
      <c r="K503" s="47"/>
      <c r="L503" s="47"/>
      <c r="M503" s="49"/>
      <c r="N503" s="48"/>
      <c r="O503" s="47"/>
      <c r="P503" s="50"/>
      <c r="Q503" s="47"/>
      <c r="R503" s="47"/>
    </row>
    <row r="504" spans="1:18" x14ac:dyDescent="0.25">
      <c r="A504" s="47">
        <f t="shared" si="16"/>
        <v>503</v>
      </c>
      <c r="B504" s="47"/>
      <c r="C504" s="47"/>
      <c r="D504" s="47"/>
      <c r="E504" s="47"/>
      <c r="F504" s="47"/>
      <c r="G504" s="47"/>
      <c r="H504" s="47" t="str">
        <f t="shared" si="18"/>
        <v>NEW</v>
      </c>
      <c r="I504" s="47"/>
      <c r="J504" s="48"/>
      <c r="K504" s="47"/>
      <c r="L504" s="47"/>
      <c r="M504" s="49"/>
      <c r="N504" s="48"/>
      <c r="O504" s="47"/>
      <c r="P504" s="50"/>
      <c r="Q504" s="47"/>
      <c r="R504" s="47"/>
    </row>
    <row r="505" spans="1:18" x14ac:dyDescent="0.25">
      <c r="A505" s="47">
        <f t="shared" si="16"/>
        <v>504</v>
      </c>
      <c r="B505" s="47"/>
      <c r="C505" s="47"/>
      <c r="D505" s="47"/>
      <c r="E505" s="47"/>
      <c r="F505" s="47"/>
      <c r="G505" s="47"/>
      <c r="H505" s="47" t="str">
        <f t="shared" si="18"/>
        <v>NEW</v>
      </c>
      <c r="I505" s="47"/>
      <c r="J505" s="48"/>
      <c r="K505" s="47"/>
      <c r="L505" s="47"/>
      <c r="M505" s="49"/>
      <c r="N505" s="48"/>
      <c r="O505" s="47"/>
      <c r="P505" s="50"/>
      <c r="Q505" s="47"/>
      <c r="R505" s="47"/>
    </row>
    <row r="506" spans="1:18" x14ac:dyDescent="0.25">
      <c r="A506" s="47">
        <f t="shared" si="16"/>
        <v>505</v>
      </c>
      <c r="B506" s="47"/>
      <c r="C506" s="47"/>
      <c r="D506" s="47"/>
      <c r="E506" s="47"/>
      <c r="F506" s="47"/>
      <c r="G506" s="47"/>
      <c r="H506" s="47" t="str">
        <f t="shared" si="18"/>
        <v>NEW</v>
      </c>
      <c r="I506" s="47"/>
      <c r="J506" s="48"/>
      <c r="K506" s="47"/>
      <c r="L506" s="47"/>
      <c r="M506" s="49"/>
      <c r="N506" s="48"/>
      <c r="O506" s="47"/>
      <c r="P506" s="50"/>
      <c r="Q506" s="47"/>
      <c r="R506" s="47"/>
    </row>
    <row r="507" spans="1:18" x14ac:dyDescent="0.25">
      <c r="A507" s="47">
        <f t="shared" si="16"/>
        <v>506</v>
      </c>
      <c r="B507" s="47"/>
      <c r="C507" s="47"/>
      <c r="D507" s="47"/>
      <c r="E507" s="47"/>
      <c r="F507" s="47"/>
      <c r="G507" s="47"/>
      <c r="H507" s="47" t="str">
        <f t="shared" si="18"/>
        <v>NEW</v>
      </c>
      <c r="I507" s="47"/>
      <c r="J507" s="48"/>
      <c r="K507" s="47"/>
      <c r="L507" s="47"/>
      <c r="M507" s="49"/>
      <c r="N507" s="48"/>
      <c r="O507" s="47"/>
      <c r="P507" s="50"/>
      <c r="Q507" s="47"/>
      <c r="R507" s="47"/>
    </row>
    <row r="508" spans="1:18" x14ac:dyDescent="0.25">
      <c r="A508" s="47">
        <f t="shared" si="16"/>
        <v>507</v>
      </c>
      <c r="B508" s="47"/>
      <c r="C508" s="47"/>
      <c r="D508" s="47"/>
      <c r="E508" s="47"/>
      <c r="F508" s="47"/>
      <c r="G508" s="47"/>
      <c r="H508" s="47" t="str">
        <f t="shared" si="18"/>
        <v>NEW</v>
      </c>
      <c r="I508" s="47"/>
      <c r="J508" s="48"/>
      <c r="K508" s="47"/>
      <c r="L508" s="47"/>
      <c r="M508" s="49"/>
      <c r="N508" s="48"/>
      <c r="O508" s="47"/>
      <c r="P508" s="50"/>
      <c r="Q508" s="47"/>
      <c r="R508" s="47"/>
    </row>
    <row r="509" spans="1:18" x14ac:dyDescent="0.25">
      <c r="A509" s="47">
        <f t="shared" si="16"/>
        <v>508</v>
      </c>
      <c r="B509" s="47"/>
      <c r="C509" s="47"/>
      <c r="D509" s="47"/>
      <c r="E509" s="47"/>
      <c r="F509" s="47"/>
      <c r="G509" s="47"/>
      <c r="H509" s="47" t="str">
        <f t="shared" si="18"/>
        <v>NEW</v>
      </c>
      <c r="I509" s="47"/>
      <c r="J509" s="48"/>
      <c r="K509" s="47"/>
      <c r="L509" s="47"/>
      <c r="M509" s="49"/>
      <c r="N509" s="48"/>
      <c r="O509" s="47"/>
      <c r="P509" s="50"/>
      <c r="Q509" s="47"/>
      <c r="R509" s="47"/>
    </row>
    <row r="510" spans="1:18" x14ac:dyDescent="0.25">
      <c r="A510" s="47">
        <f t="shared" si="16"/>
        <v>509</v>
      </c>
      <c r="B510" s="47"/>
      <c r="C510" s="47"/>
      <c r="D510" s="47"/>
      <c r="E510" s="47"/>
      <c r="F510" s="47"/>
      <c r="G510" s="47"/>
      <c r="H510" s="47" t="str">
        <f t="shared" si="18"/>
        <v>NEW</v>
      </c>
      <c r="I510" s="47"/>
      <c r="J510" s="48"/>
      <c r="K510" s="47"/>
      <c r="L510" s="47"/>
      <c r="M510" s="49"/>
      <c r="N510" s="48"/>
      <c r="O510" s="47"/>
      <c r="P510" s="50"/>
      <c r="Q510" s="47"/>
      <c r="R510" s="47"/>
    </row>
    <row r="511" spans="1:18" x14ac:dyDescent="0.25">
      <c r="A511" s="47">
        <f t="shared" si="16"/>
        <v>510</v>
      </c>
      <c r="B511" s="47"/>
      <c r="C511" s="47"/>
      <c r="D511" s="47"/>
      <c r="E511" s="47"/>
      <c r="F511" s="47"/>
      <c r="G511" s="47"/>
      <c r="H511" s="47" t="str">
        <f t="shared" si="18"/>
        <v>NEW</v>
      </c>
      <c r="I511" s="47"/>
      <c r="J511" s="48"/>
      <c r="K511" s="47"/>
      <c r="L511" s="47"/>
      <c r="M511" s="49"/>
      <c r="N511" s="48"/>
      <c r="O511" s="47"/>
      <c r="P511" s="50"/>
      <c r="Q511" s="47"/>
      <c r="R511" s="47"/>
    </row>
    <row r="512" spans="1:18" x14ac:dyDescent="0.25">
      <c r="A512" s="47">
        <f t="shared" si="16"/>
        <v>511</v>
      </c>
      <c r="B512" s="47"/>
      <c r="C512" s="47"/>
      <c r="D512" s="47"/>
      <c r="E512" s="47"/>
      <c r="F512" s="47"/>
      <c r="G512" s="47"/>
      <c r="H512" s="47" t="str">
        <f t="shared" si="18"/>
        <v>NEW</v>
      </c>
      <c r="I512" s="47"/>
      <c r="J512" s="48"/>
      <c r="K512" s="47"/>
      <c r="L512" s="47"/>
      <c r="M512" s="49"/>
      <c r="N512" s="48"/>
      <c r="O512" s="47"/>
      <c r="P512" s="50"/>
      <c r="Q512" s="47"/>
      <c r="R512" s="47"/>
    </row>
    <row r="513" spans="1:18" x14ac:dyDescent="0.25">
      <c r="A513" s="47">
        <f t="shared" si="16"/>
        <v>512</v>
      </c>
      <c r="B513" s="47"/>
      <c r="C513" s="47"/>
      <c r="D513" s="47"/>
      <c r="E513" s="47"/>
      <c r="F513" s="47"/>
      <c r="G513" s="47"/>
      <c r="H513" s="47" t="str">
        <f t="shared" si="18"/>
        <v>NEW</v>
      </c>
      <c r="I513" s="47"/>
      <c r="J513" s="48"/>
      <c r="K513" s="47"/>
      <c r="L513" s="47"/>
      <c r="M513" s="49"/>
      <c r="N513" s="48"/>
      <c r="O513" s="47"/>
      <c r="P513" s="50"/>
      <c r="Q513" s="47"/>
      <c r="R513" s="47"/>
    </row>
    <row r="514" spans="1:18" x14ac:dyDescent="0.25">
      <c r="A514" s="47">
        <f t="shared" si="16"/>
        <v>513</v>
      </c>
      <c r="B514" s="47"/>
      <c r="C514" s="47"/>
      <c r="D514" s="47"/>
      <c r="E514" s="47"/>
      <c r="F514" s="47"/>
      <c r="G514" s="47"/>
      <c r="H514" s="47" t="str">
        <f t="shared" si="18"/>
        <v>NEW</v>
      </c>
      <c r="I514" s="47"/>
      <c r="J514" s="48"/>
      <c r="K514" s="47"/>
      <c r="L514" s="47"/>
      <c r="M514" s="49"/>
      <c r="N514" s="48"/>
      <c r="O514" s="47"/>
      <c r="P514" s="50"/>
      <c r="Q514" s="47"/>
      <c r="R514" s="47"/>
    </row>
    <row r="515" spans="1:18" x14ac:dyDescent="0.25">
      <c r="A515" s="47">
        <f t="shared" si="16"/>
        <v>514</v>
      </c>
      <c r="B515" s="47"/>
      <c r="C515" s="47"/>
      <c r="D515" s="47"/>
      <c r="E515" s="47"/>
      <c r="F515" s="47"/>
      <c r="G515" s="47"/>
      <c r="H515" s="47" t="str">
        <f t="shared" si="18"/>
        <v>NEW</v>
      </c>
      <c r="I515" s="47"/>
      <c r="J515" s="48"/>
      <c r="K515" s="47"/>
      <c r="L515" s="47"/>
      <c r="M515" s="49"/>
      <c r="N515" s="48"/>
      <c r="O515" s="47"/>
      <c r="P515" s="50"/>
      <c r="Q515" s="47"/>
      <c r="R515" s="47"/>
    </row>
    <row r="516" spans="1:18" x14ac:dyDescent="0.25">
      <c r="A516" s="47">
        <f t="shared" si="16"/>
        <v>515</v>
      </c>
      <c r="B516" s="47"/>
      <c r="C516" s="47"/>
      <c r="D516" s="47"/>
      <c r="E516" s="47"/>
      <c r="F516" s="47"/>
      <c r="G516" s="47"/>
      <c r="H516" s="47" t="str">
        <f t="shared" si="18"/>
        <v>NEW</v>
      </c>
      <c r="I516" s="47"/>
      <c r="J516" s="48"/>
      <c r="K516" s="47"/>
      <c r="L516" s="47"/>
      <c r="M516" s="49"/>
      <c r="N516" s="48"/>
      <c r="O516" s="47"/>
      <c r="P516" s="50"/>
      <c r="Q516" s="47"/>
      <c r="R516" s="47"/>
    </row>
    <row r="517" spans="1:18" x14ac:dyDescent="0.25">
      <c r="A517" s="47">
        <f t="shared" ref="A517:A554" si="19">ROW()-1</f>
        <v>516</v>
      </c>
      <c r="B517" s="47"/>
      <c r="C517" s="47"/>
      <c r="D517" s="47"/>
      <c r="E517" s="47"/>
      <c r="F517" s="47"/>
      <c r="G517" s="47"/>
      <c r="H517" s="47" t="str">
        <f t="shared" si="18"/>
        <v>NEW</v>
      </c>
      <c r="I517" s="47"/>
      <c r="J517" s="48"/>
      <c r="K517" s="47"/>
      <c r="L517" s="47"/>
      <c r="M517" s="49"/>
      <c r="N517" s="48"/>
      <c r="O517" s="47"/>
      <c r="P517" s="50"/>
      <c r="Q517" s="47"/>
      <c r="R517" s="47"/>
    </row>
    <row r="518" spans="1:18" x14ac:dyDescent="0.25">
      <c r="A518" s="47">
        <f t="shared" si="19"/>
        <v>517</v>
      </c>
      <c r="B518" s="47"/>
      <c r="C518" s="47"/>
      <c r="D518" s="47"/>
      <c r="E518" s="47"/>
      <c r="F518" s="47"/>
      <c r="G518" s="47"/>
      <c r="H518" s="47" t="str">
        <f t="shared" si="18"/>
        <v>NEW</v>
      </c>
      <c r="I518" s="47"/>
      <c r="J518" s="48"/>
      <c r="K518" s="47"/>
      <c r="L518" s="47"/>
      <c r="M518" s="49"/>
      <c r="N518" s="48"/>
      <c r="O518" s="47"/>
      <c r="P518" s="50"/>
      <c r="Q518" s="47"/>
      <c r="R518" s="47"/>
    </row>
    <row r="519" spans="1:18" x14ac:dyDescent="0.25">
      <c r="A519" s="47">
        <f t="shared" si="19"/>
        <v>518</v>
      </c>
      <c r="B519" s="47"/>
      <c r="C519" s="47"/>
      <c r="D519" s="47"/>
      <c r="E519" s="47"/>
      <c r="F519" s="47"/>
      <c r="G519" s="47"/>
      <c r="H519" s="47" t="str">
        <f t="shared" si="18"/>
        <v>NEW</v>
      </c>
      <c r="I519" s="47"/>
      <c r="J519" s="48"/>
      <c r="K519" s="47"/>
      <c r="L519" s="47"/>
      <c r="M519" s="49"/>
      <c r="N519" s="48"/>
      <c r="O519" s="47"/>
      <c r="P519" s="50"/>
      <c r="Q519" s="47"/>
      <c r="R519" s="47"/>
    </row>
    <row r="520" spans="1:18" x14ac:dyDescent="0.25">
      <c r="A520" s="47">
        <f t="shared" si="19"/>
        <v>519</v>
      </c>
      <c r="B520" s="47"/>
      <c r="C520" s="47"/>
      <c r="D520" s="47"/>
      <c r="E520" s="47"/>
      <c r="F520" s="47"/>
      <c r="G520" s="47"/>
      <c r="H520" s="47" t="str">
        <f t="shared" si="18"/>
        <v>NEW</v>
      </c>
      <c r="I520" s="47"/>
      <c r="J520" s="48"/>
      <c r="K520" s="47"/>
      <c r="L520" s="47"/>
      <c r="M520" s="49"/>
      <c r="N520" s="48"/>
      <c r="O520" s="47"/>
      <c r="P520" s="50"/>
      <c r="Q520" s="47"/>
      <c r="R520" s="47"/>
    </row>
    <row r="521" spans="1:18" x14ac:dyDescent="0.25">
      <c r="A521" s="47">
        <f t="shared" si="19"/>
        <v>520</v>
      </c>
      <c r="B521" s="47"/>
      <c r="C521" s="47"/>
      <c r="D521" s="47"/>
      <c r="E521" s="47"/>
      <c r="F521" s="47"/>
      <c r="G521" s="47"/>
      <c r="H521" s="47" t="str">
        <f t="shared" ref="H521:H552" si="20">IF(LEFT(I521,4)="JK13","PULWAMA",IF(LEFT(I521,4)="JK01","SRINAGAR",IF(LEFT(I521,4)="JK04","BUDGAM",IF(LEFT(I521,4)="JK03","ANANTNAG",IF(LEFT(I521,4)="JK05","BARAMULLA",IF(LEFT(I521,4)="26BH","BHARAT",IF(LEFT(I521,4)="25BH","BHARAT",IF(LEFT(I521,4)="JK12","POONCH",IF(LEFT(I521,4)="JK18","KULGAM",IF(LEFT(I521,4)="JK22","SHOPIAN",IF(LEFT(I521,4)="JK02","JAMMU",IF(LEFT(I521,4)="JK09","KUPWARA",IF(LEFT(I521,4)="JK15","BANDIPORA",IF(LEFT(I521,4)="JK17","KISHTWAR",IF(LEFT(I521,4)="LA01","KARGIL",IF(LEFT(I521,1)="T","TEMP","NEW"))))))))))))))))</f>
        <v>NEW</v>
      </c>
      <c r="I521" s="47"/>
      <c r="J521" s="48"/>
      <c r="K521" s="47"/>
      <c r="L521" s="47"/>
      <c r="M521" s="49"/>
      <c r="N521" s="48"/>
      <c r="O521" s="47"/>
      <c r="P521" s="50"/>
      <c r="Q521" s="47"/>
      <c r="R521" s="47"/>
    </row>
    <row r="522" spans="1:18" x14ac:dyDescent="0.25">
      <c r="A522" s="47">
        <f t="shared" si="19"/>
        <v>521</v>
      </c>
      <c r="B522" s="47"/>
      <c r="C522" s="47"/>
      <c r="D522" s="47"/>
      <c r="E522" s="47"/>
      <c r="F522" s="47"/>
      <c r="G522" s="47"/>
      <c r="H522" s="47" t="str">
        <f t="shared" si="20"/>
        <v>NEW</v>
      </c>
      <c r="I522" s="47"/>
      <c r="J522" s="48"/>
      <c r="K522" s="47"/>
      <c r="L522" s="47"/>
      <c r="M522" s="49"/>
      <c r="N522" s="48"/>
      <c r="O522" s="47"/>
      <c r="P522" s="50"/>
      <c r="Q522" s="47"/>
      <c r="R522" s="47"/>
    </row>
    <row r="523" spans="1:18" x14ac:dyDescent="0.25">
      <c r="A523" s="47">
        <f t="shared" si="19"/>
        <v>522</v>
      </c>
      <c r="B523" s="47"/>
      <c r="C523" s="47"/>
      <c r="D523" s="47"/>
      <c r="E523" s="47"/>
      <c r="F523" s="47"/>
      <c r="G523" s="47"/>
      <c r="H523" s="47" t="str">
        <f t="shared" si="20"/>
        <v>NEW</v>
      </c>
      <c r="I523" s="47"/>
      <c r="J523" s="48"/>
      <c r="K523" s="47"/>
      <c r="L523" s="47"/>
      <c r="M523" s="49"/>
      <c r="N523" s="48"/>
      <c r="O523" s="47"/>
      <c r="P523" s="50"/>
      <c r="Q523" s="47"/>
      <c r="R523" s="47"/>
    </row>
    <row r="524" spans="1:18" x14ac:dyDescent="0.25">
      <c r="A524" s="47">
        <f t="shared" si="19"/>
        <v>523</v>
      </c>
      <c r="B524" s="47"/>
      <c r="C524" s="47"/>
      <c r="D524" s="47"/>
      <c r="E524" s="47"/>
      <c r="F524" s="47"/>
      <c r="G524" s="47"/>
      <c r="H524" s="47" t="str">
        <f t="shared" si="20"/>
        <v>NEW</v>
      </c>
      <c r="I524" s="47"/>
      <c r="J524" s="48"/>
      <c r="K524" s="47"/>
      <c r="L524" s="47"/>
      <c r="M524" s="49"/>
      <c r="N524" s="48"/>
      <c r="O524" s="47"/>
      <c r="P524" s="50"/>
      <c r="Q524" s="47"/>
      <c r="R524" s="47"/>
    </row>
    <row r="525" spans="1:18" x14ac:dyDescent="0.25">
      <c r="A525" s="47">
        <f t="shared" si="19"/>
        <v>524</v>
      </c>
      <c r="B525" s="47"/>
      <c r="C525" s="47"/>
      <c r="D525" s="47"/>
      <c r="E525" s="47"/>
      <c r="F525" s="47"/>
      <c r="G525" s="47"/>
      <c r="H525" s="47" t="str">
        <f t="shared" si="20"/>
        <v>NEW</v>
      </c>
      <c r="I525" s="47"/>
      <c r="J525" s="48"/>
      <c r="K525" s="47"/>
      <c r="L525" s="47"/>
      <c r="M525" s="49"/>
      <c r="N525" s="48"/>
      <c r="O525" s="47"/>
      <c r="P525" s="50"/>
      <c r="Q525" s="47"/>
      <c r="R525" s="47"/>
    </row>
    <row r="526" spans="1:18" x14ac:dyDescent="0.25">
      <c r="A526" s="47">
        <f t="shared" si="19"/>
        <v>525</v>
      </c>
      <c r="B526" s="47"/>
      <c r="C526" s="47"/>
      <c r="D526" s="47"/>
      <c r="E526" s="47"/>
      <c r="F526" s="47"/>
      <c r="G526" s="47"/>
      <c r="H526" s="47" t="str">
        <f t="shared" si="20"/>
        <v>NEW</v>
      </c>
      <c r="I526" s="47"/>
      <c r="J526" s="48"/>
      <c r="K526" s="47"/>
      <c r="L526" s="47"/>
      <c r="M526" s="49"/>
      <c r="N526" s="48"/>
      <c r="O526" s="47"/>
      <c r="P526" s="50"/>
      <c r="Q526" s="47"/>
      <c r="R526" s="47"/>
    </row>
    <row r="527" spans="1:18" x14ac:dyDescent="0.25">
      <c r="A527" s="47">
        <f t="shared" si="19"/>
        <v>526</v>
      </c>
      <c r="B527" s="47"/>
      <c r="C527" s="47"/>
      <c r="D527" s="47"/>
      <c r="E527" s="47"/>
      <c r="F527" s="47"/>
      <c r="G527" s="47"/>
      <c r="H527" s="47" t="str">
        <f t="shared" si="20"/>
        <v>NEW</v>
      </c>
      <c r="I527" s="47"/>
      <c r="J527" s="48"/>
      <c r="K527" s="47"/>
      <c r="L527" s="47"/>
      <c r="M527" s="49"/>
      <c r="N527" s="48"/>
      <c r="O527" s="47"/>
      <c r="P527" s="50"/>
      <c r="Q527" s="47"/>
      <c r="R527" s="47"/>
    </row>
    <row r="528" spans="1:18" x14ac:dyDescent="0.25">
      <c r="A528" s="47">
        <f t="shared" si="19"/>
        <v>527</v>
      </c>
      <c r="B528" s="47"/>
      <c r="C528" s="47"/>
      <c r="D528" s="47"/>
      <c r="E528" s="47"/>
      <c r="F528" s="47"/>
      <c r="G528" s="47"/>
      <c r="H528" s="47" t="str">
        <f t="shared" si="20"/>
        <v>NEW</v>
      </c>
      <c r="I528" s="47"/>
      <c r="J528" s="48"/>
      <c r="K528" s="47"/>
      <c r="L528" s="47"/>
      <c r="M528" s="49"/>
      <c r="N528" s="48"/>
      <c r="O528" s="47"/>
      <c r="P528" s="50"/>
      <c r="Q528" s="47"/>
      <c r="R528" s="47"/>
    </row>
    <row r="529" spans="1:18" x14ac:dyDescent="0.25">
      <c r="A529" s="47">
        <f t="shared" si="19"/>
        <v>528</v>
      </c>
      <c r="B529" s="47"/>
      <c r="C529" s="47"/>
      <c r="D529" s="47"/>
      <c r="E529" s="47"/>
      <c r="F529" s="47"/>
      <c r="G529" s="47"/>
      <c r="H529" s="47" t="str">
        <f t="shared" si="20"/>
        <v>NEW</v>
      </c>
      <c r="I529" s="47"/>
      <c r="J529" s="48"/>
      <c r="K529" s="47"/>
      <c r="L529" s="47"/>
      <c r="M529" s="49"/>
      <c r="N529" s="48"/>
      <c r="O529" s="47"/>
      <c r="P529" s="50"/>
      <c r="Q529" s="47"/>
      <c r="R529" s="47"/>
    </row>
    <row r="530" spans="1:18" x14ac:dyDescent="0.25">
      <c r="A530" s="47">
        <f t="shared" si="19"/>
        <v>529</v>
      </c>
      <c r="B530" s="47"/>
      <c r="C530" s="47"/>
      <c r="D530" s="47"/>
      <c r="E530" s="47"/>
      <c r="F530" s="47"/>
      <c r="G530" s="47"/>
      <c r="H530" s="47" t="str">
        <f t="shared" si="20"/>
        <v>NEW</v>
      </c>
      <c r="I530" s="47"/>
      <c r="J530" s="48"/>
      <c r="K530" s="47"/>
      <c r="L530" s="47"/>
      <c r="M530" s="49"/>
      <c r="N530" s="48"/>
      <c r="O530" s="47"/>
      <c r="P530" s="50"/>
      <c r="Q530" s="47"/>
      <c r="R530" s="47"/>
    </row>
    <row r="531" spans="1:18" x14ac:dyDescent="0.25">
      <c r="A531" s="47">
        <f t="shared" si="19"/>
        <v>530</v>
      </c>
      <c r="B531" s="47"/>
      <c r="C531" s="47"/>
      <c r="D531" s="47"/>
      <c r="E531" s="47"/>
      <c r="F531" s="47"/>
      <c r="G531" s="47"/>
      <c r="H531" s="47" t="str">
        <f t="shared" si="20"/>
        <v>NEW</v>
      </c>
      <c r="I531" s="47"/>
      <c r="J531" s="48"/>
      <c r="K531" s="47"/>
      <c r="L531" s="47"/>
      <c r="M531" s="49"/>
      <c r="N531" s="48"/>
      <c r="O531" s="47"/>
      <c r="P531" s="50"/>
      <c r="Q531" s="47"/>
      <c r="R531" s="47"/>
    </row>
    <row r="532" spans="1:18" x14ac:dyDescent="0.25">
      <c r="A532" s="47">
        <f t="shared" si="19"/>
        <v>531</v>
      </c>
      <c r="B532" s="47"/>
      <c r="C532" s="47"/>
      <c r="D532" s="47"/>
      <c r="E532" s="47"/>
      <c r="F532" s="47"/>
      <c r="G532" s="47"/>
      <c r="H532" s="47" t="str">
        <f t="shared" si="20"/>
        <v>NEW</v>
      </c>
      <c r="I532" s="47"/>
      <c r="J532" s="48"/>
      <c r="K532" s="47"/>
      <c r="L532" s="47"/>
      <c r="M532" s="49"/>
      <c r="N532" s="48"/>
      <c r="O532" s="47"/>
      <c r="P532" s="50"/>
      <c r="Q532" s="47"/>
      <c r="R532" s="47"/>
    </row>
    <row r="533" spans="1:18" x14ac:dyDescent="0.25">
      <c r="A533" s="47">
        <f t="shared" si="19"/>
        <v>532</v>
      </c>
      <c r="B533" s="47"/>
      <c r="C533" s="47"/>
      <c r="D533" s="47"/>
      <c r="E533" s="47"/>
      <c r="F533" s="47"/>
      <c r="G533" s="47"/>
      <c r="H533" s="47" t="str">
        <f t="shared" si="20"/>
        <v>NEW</v>
      </c>
      <c r="I533" s="47"/>
      <c r="J533" s="48"/>
      <c r="K533" s="47"/>
      <c r="L533" s="47"/>
      <c r="M533" s="49"/>
      <c r="N533" s="48"/>
      <c r="O533" s="47"/>
      <c r="P533" s="50"/>
      <c r="Q533" s="47"/>
      <c r="R533" s="47"/>
    </row>
    <row r="534" spans="1:18" x14ac:dyDescent="0.25">
      <c r="A534" s="47">
        <f t="shared" si="19"/>
        <v>533</v>
      </c>
      <c r="B534" s="47"/>
      <c r="C534" s="47"/>
      <c r="D534" s="47"/>
      <c r="E534" s="47"/>
      <c r="F534" s="47"/>
      <c r="G534" s="47"/>
      <c r="H534" s="47" t="str">
        <f t="shared" si="20"/>
        <v>NEW</v>
      </c>
      <c r="I534" s="47"/>
      <c r="J534" s="48"/>
      <c r="K534" s="47"/>
      <c r="L534" s="47"/>
      <c r="M534" s="49"/>
      <c r="N534" s="48"/>
      <c r="O534" s="47"/>
      <c r="P534" s="50"/>
      <c r="Q534" s="47"/>
      <c r="R534" s="47"/>
    </row>
    <row r="535" spans="1:18" x14ac:dyDescent="0.25">
      <c r="A535" s="47">
        <f t="shared" si="19"/>
        <v>534</v>
      </c>
      <c r="B535" s="47"/>
      <c r="C535" s="47"/>
      <c r="D535" s="47"/>
      <c r="E535" s="47"/>
      <c r="F535" s="47"/>
      <c r="G535" s="47"/>
      <c r="H535" s="47" t="str">
        <f t="shared" si="20"/>
        <v>NEW</v>
      </c>
      <c r="I535" s="47"/>
      <c r="J535" s="48"/>
      <c r="K535" s="47"/>
      <c r="L535" s="47"/>
      <c r="M535" s="49"/>
      <c r="N535" s="48"/>
      <c r="O535" s="47"/>
      <c r="P535" s="50"/>
      <c r="Q535" s="47"/>
      <c r="R535" s="47"/>
    </row>
    <row r="536" spans="1:18" x14ac:dyDescent="0.25">
      <c r="A536" s="47">
        <f t="shared" si="19"/>
        <v>535</v>
      </c>
      <c r="B536" s="47"/>
      <c r="C536" s="47"/>
      <c r="D536" s="47"/>
      <c r="E536" s="47"/>
      <c r="F536" s="47"/>
      <c r="G536" s="47"/>
      <c r="H536" s="47" t="str">
        <f t="shared" si="20"/>
        <v>NEW</v>
      </c>
      <c r="I536" s="47"/>
      <c r="J536" s="48"/>
      <c r="K536" s="47"/>
      <c r="L536" s="47"/>
      <c r="M536" s="49"/>
      <c r="N536" s="48"/>
      <c r="O536" s="47"/>
      <c r="P536" s="50"/>
      <c r="Q536" s="47"/>
      <c r="R536" s="47"/>
    </row>
    <row r="537" spans="1:18" x14ac:dyDescent="0.25">
      <c r="A537" s="47">
        <f t="shared" si="19"/>
        <v>536</v>
      </c>
      <c r="B537" s="47"/>
      <c r="C537" s="47"/>
      <c r="D537" s="47"/>
      <c r="E537" s="47"/>
      <c r="F537" s="47"/>
      <c r="G537" s="47"/>
      <c r="H537" s="47" t="str">
        <f t="shared" si="20"/>
        <v>NEW</v>
      </c>
      <c r="I537" s="47"/>
      <c r="J537" s="48"/>
      <c r="K537" s="47"/>
      <c r="L537" s="47"/>
      <c r="M537" s="49"/>
      <c r="N537" s="48"/>
      <c r="O537" s="47"/>
      <c r="P537" s="50"/>
      <c r="Q537" s="47"/>
      <c r="R537" s="47"/>
    </row>
    <row r="538" spans="1:18" x14ac:dyDescent="0.25">
      <c r="A538" s="47">
        <f t="shared" si="19"/>
        <v>537</v>
      </c>
      <c r="B538" s="47"/>
      <c r="C538" s="47"/>
      <c r="D538" s="47"/>
      <c r="E538" s="47"/>
      <c r="F538" s="47"/>
      <c r="G538" s="47"/>
      <c r="H538" s="47" t="str">
        <f t="shared" si="20"/>
        <v>NEW</v>
      </c>
      <c r="I538" s="47"/>
      <c r="J538" s="48"/>
      <c r="K538" s="47"/>
      <c r="L538" s="47"/>
      <c r="M538" s="49"/>
      <c r="N538" s="48"/>
      <c r="O538" s="47"/>
      <c r="P538" s="50"/>
      <c r="Q538" s="47"/>
      <c r="R538" s="47"/>
    </row>
    <row r="539" spans="1:18" x14ac:dyDescent="0.25">
      <c r="A539" s="47">
        <f t="shared" si="19"/>
        <v>538</v>
      </c>
      <c r="B539" s="47"/>
      <c r="C539" s="47"/>
      <c r="D539" s="47"/>
      <c r="E539" s="47"/>
      <c r="F539" s="47"/>
      <c r="G539" s="47"/>
      <c r="H539" s="47" t="str">
        <f t="shared" si="20"/>
        <v>NEW</v>
      </c>
      <c r="I539" s="47"/>
      <c r="J539" s="48"/>
      <c r="K539" s="47"/>
      <c r="L539" s="47"/>
      <c r="M539" s="49"/>
      <c r="N539" s="48"/>
      <c r="O539" s="47"/>
      <c r="P539" s="50"/>
      <c r="Q539" s="47"/>
      <c r="R539" s="47"/>
    </row>
    <row r="540" spans="1:18" x14ac:dyDescent="0.25">
      <c r="A540" s="47">
        <f t="shared" si="19"/>
        <v>539</v>
      </c>
      <c r="B540" s="47"/>
      <c r="C540" s="47"/>
      <c r="D540" s="47"/>
      <c r="E540" s="47"/>
      <c r="F540" s="47"/>
      <c r="G540" s="47"/>
      <c r="H540" s="47" t="str">
        <f t="shared" si="20"/>
        <v>NEW</v>
      </c>
      <c r="I540" s="47"/>
      <c r="J540" s="48"/>
      <c r="K540" s="47"/>
      <c r="L540" s="47"/>
      <c r="M540" s="49"/>
      <c r="N540" s="48"/>
      <c r="O540" s="47"/>
      <c r="P540" s="50"/>
      <c r="Q540" s="47"/>
      <c r="R540" s="47"/>
    </row>
    <row r="541" spans="1:18" x14ac:dyDescent="0.25">
      <c r="A541" s="47">
        <f t="shared" si="19"/>
        <v>540</v>
      </c>
      <c r="B541" s="47"/>
      <c r="C541" s="47"/>
      <c r="D541" s="47"/>
      <c r="E541" s="47"/>
      <c r="F541" s="47"/>
      <c r="G541" s="47"/>
      <c r="H541" s="47" t="str">
        <f t="shared" si="20"/>
        <v>NEW</v>
      </c>
      <c r="I541" s="47"/>
      <c r="J541" s="48"/>
      <c r="K541" s="47"/>
      <c r="L541" s="47"/>
      <c r="M541" s="49"/>
      <c r="N541" s="48"/>
      <c r="O541" s="47"/>
      <c r="P541" s="50"/>
      <c r="Q541" s="47"/>
      <c r="R541" s="47"/>
    </row>
    <row r="542" spans="1:18" x14ac:dyDescent="0.25">
      <c r="A542" s="47">
        <f t="shared" si="19"/>
        <v>541</v>
      </c>
      <c r="B542" s="47"/>
      <c r="C542" s="47"/>
      <c r="D542" s="47"/>
      <c r="E542" s="47"/>
      <c r="F542" s="47"/>
      <c r="G542" s="47"/>
      <c r="H542" s="47" t="str">
        <f t="shared" si="20"/>
        <v>NEW</v>
      </c>
      <c r="I542" s="47"/>
      <c r="J542" s="48"/>
      <c r="K542" s="47"/>
      <c r="L542" s="47"/>
      <c r="M542" s="49"/>
      <c r="N542" s="48"/>
      <c r="O542" s="47"/>
      <c r="P542" s="50"/>
      <c r="Q542" s="47"/>
      <c r="R542" s="47"/>
    </row>
    <row r="543" spans="1:18" x14ac:dyDescent="0.25">
      <c r="A543" s="47">
        <f t="shared" si="19"/>
        <v>542</v>
      </c>
      <c r="B543" s="47"/>
      <c r="C543" s="47"/>
      <c r="D543" s="47"/>
      <c r="E543" s="47"/>
      <c r="F543" s="47"/>
      <c r="G543" s="47"/>
      <c r="H543" s="47" t="str">
        <f t="shared" si="20"/>
        <v>NEW</v>
      </c>
      <c r="I543" s="47"/>
      <c r="J543" s="48"/>
      <c r="K543" s="47"/>
      <c r="L543" s="47"/>
      <c r="M543" s="49"/>
      <c r="N543" s="48"/>
      <c r="O543" s="47"/>
      <c r="P543" s="50"/>
      <c r="Q543" s="47"/>
      <c r="R543" s="47"/>
    </row>
    <row r="544" spans="1:18" x14ac:dyDescent="0.25">
      <c r="A544" s="47">
        <f t="shared" si="19"/>
        <v>543</v>
      </c>
      <c r="B544" s="47"/>
      <c r="C544" s="47"/>
      <c r="D544" s="47"/>
      <c r="E544" s="47"/>
      <c r="F544" s="47"/>
      <c r="G544" s="47"/>
      <c r="H544" s="47" t="str">
        <f t="shared" si="20"/>
        <v>NEW</v>
      </c>
      <c r="I544" s="47"/>
      <c r="J544" s="48"/>
      <c r="K544" s="47"/>
      <c r="L544" s="47"/>
      <c r="M544" s="49"/>
      <c r="N544" s="48"/>
      <c r="O544" s="47"/>
      <c r="P544" s="50"/>
      <c r="Q544" s="47"/>
      <c r="R544" s="47"/>
    </row>
    <row r="545" spans="1:18" x14ac:dyDescent="0.25">
      <c r="A545" s="47">
        <f t="shared" si="19"/>
        <v>544</v>
      </c>
      <c r="B545" s="47"/>
      <c r="C545" s="47"/>
      <c r="D545" s="47"/>
      <c r="E545" s="47"/>
      <c r="F545" s="47"/>
      <c r="G545" s="47"/>
      <c r="H545" s="47" t="str">
        <f t="shared" si="20"/>
        <v>NEW</v>
      </c>
      <c r="I545" s="47"/>
      <c r="J545" s="48"/>
      <c r="K545" s="47"/>
      <c r="L545" s="47"/>
      <c r="M545" s="49"/>
      <c r="N545" s="48"/>
      <c r="O545" s="47"/>
      <c r="P545" s="50"/>
      <c r="Q545" s="47"/>
      <c r="R545" s="47"/>
    </row>
    <row r="546" spans="1:18" x14ac:dyDescent="0.25">
      <c r="A546" s="47">
        <f t="shared" si="19"/>
        <v>545</v>
      </c>
      <c r="B546" s="47"/>
      <c r="C546" s="47"/>
      <c r="D546" s="47"/>
      <c r="E546" s="47"/>
      <c r="F546" s="47"/>
      <c r="G546" s="47"/>
      <c r="H546" s="47" t="str">
        <f t="shared" si="20"/>
        <v>NEW</v>
      </c>
      <c r="I546" s="47"/>
      <c r="J546" s="48"/>
      <c r="K546" s="47"/>
      <c r="L546" s="47"/>
      <c r="M546" s="49"/>
      <c r="N546" s="48"/>
      <c r="O546" s="47"/>
      <c r="P546" s="50"/>
      <c r="Q546" s="47"/>
      <c r="R546" s="47"/>
    </row>
    <row r="547" spans="1:18" x14ac:dyDescent="0.25">
      <c r="A547" s="47">
        <f t="shared" si="19"/>
        <v>546</v>
      </c>
      <c r="B547" s="47"/>
      <c r="C547" s="47"/>
      <c r="D547" s="47"/>
      <c r="E547" s="47"/>
      <c r="F547" s="47"/>
      <c r="G547" s="47"/>
      <c r="H547" s="47" t="str">
        <f t="shared" si="20"/>
        <v>NEW</v>
      </c>
      <c r="I547" s="47"/>
      <c r="J547" s="48"/>
      <c r="K547" s="47"/>
      <c r="L547" s="47"/>
      <c r="M547" s="49"/>
      <c r="N547" s="48"/>
      <c r="O547" s="47"/>
      <c r="P547" s="50"/>
      <c r="Q547" s="47"/>
      <c r="R547" s="47"/>
    </row>
    <row r="548" spans="1:18" x14ac:dyDescent="0.25">
      <c r="A548" s="47">
        <f t="shared" si="19"/>
        <v>547</v>
      </c>
      <c r="B548" s="47"/>
      <c r="C548" s="47"/>
      <c r="D548" s="47"/>
      <c r="E548" s="47"/>
      <c r="F548" s="47"/>
      <c r="G548" s="47"/>
      <c r="H548" s="47" t="str">
        <f t="shared" si="20"/>
        <v>NEW</v>
      </c>
      <c r="I548" s="47"/>
      <c r="J548" s="48"/>
      <c r="K548" s="47"/>
      <c r="L548" s="47"/>
      <c r="M548" s="49"/>
      <c r="N548" s="48"/>
      <c r="O548" s="47"/>
      <c r="P548" s="50"/>
      <c r="Q548" s="47"/>
      <c r="R548" s="47"/>
    </row>
    <row r="549" spans="1:18" x14ac:dyDescent="0.25">
      <c r="A549" s="47">
        <f t="shared" si="19"/>
        <v>548</v>
      </c>
      <c r="B549" s="47"/>
      <c r="C549" s="47"/>
      <c r="D549" s="47"/>
      <c r="E549" s="47"/>
      <c r="F549" s="47"/>
      <c r="G549" s="47"/>
      <c r="H549" s="47" t="str">
        <f t="shared" si="20"/>
        <v>NEW</v>
      </c>
      <c r="I549" s="47"/>
      <c r="J549" s="48"/>
      <c r="K549" s="47"/>
      <c r="L549" s="47"/>
      <c r="M549" s="49"/>
      <c r="N549" s="48"/>
      <c r="O549" s="47"/>
      <c r="P549" s="50"/>
      <c r="Q549" s="47"/>
      <c r="R549" s="47"/>
    </row>
    <row r="550" spans="1:18" x14ac:dyDescent="0.25">
      <c r="A550" s="47">
        <f t="shared" si="19"/>
        <v>549</v>
      </c>
      <c r="B550" s="47"/>
      <c r="C550" s="47"/>
      <c r="D550" s="47"/>
      <c r="E550" s="47"/>
      <c r="F550" s="47"/>
      <c r="G550" s="47"/>
      <c r="H550" s="47" t="str">
        <f t="shared" si="20"/>
        <v>NEW</v>
      </c>
      <c r="I550" s="47"/>
      <c r="J550" s="48"/>
      <c r="K550" s="47"/>
      <c r="L550" s="47"/>
      <c r="M550" s="49"/>
      <c r="N550" s="48"/>
      <c r="O550" s="47"/>
      <c r="P550" s="50"/>
      <c r="Q550" s="47"/>
      <c r="R550" s="47"/>
    </row>
    <row r="551" spans="1:18" x14ac:dyDescent="0.25">
      <c r="A551" s="47">
        <f t="shared" si="19"/>
        <v>550</v>
      </c>
      <c r="B551" s="47"/>
      <c r="C551" s="47"/>
      <c r="D551" s="47"/>
      <c r="E551" s="47"/>
      <c r="F551" s="47"/>
      <c r="G551" s="47"/>
      <c r="H551" s="47" t="str">
        <f t="shared" si="20"/>
        <v>NEW</v>
      </c>
      <c r="I551" s="47"/>
      <c r="J551" s="48"/>
      <c r="K551" s="47"/>
      <c r="L551" s="47"/>
      <c r="M551" s="49"/>
      <c r="N551" s="48"/>
      <c r="O551" s="47"/>
      <c r="P551" s="50"/>
      <c r="Q551" s="47"/>
      <c r="R551" s="47"/>
    </row>
    <row r="552" spans="1:18" x14ac:dyDescent="0.25">
      <c r="A552" s="47">
        <f t="shared" si="19"/>
        <v>551</v>
      </c>
      <c r="B552" s="47"/>
      <c r="C552" s="47"/>
      <c r="D552" s="47"/>
      <c r="E552" s="47"/>
      <c r="F552" s="47"/>
      <c r="G552" s="47"/>
      <c r="H552" s="47" t="str">
        <f t="shared" si="20"/>
        <v>NEW</v>
      </c>
      <c r="I552" s="47"/>
      <c r="J552" s="48"/>
      <c r="K552" s="47"/>
      <c r="L552" s="47"/>
      <c r="M552" s="49"/>
      <c r="N552" s="48"/>
      <c r="O552" s="47"/>
      <c r="P552" s="50"/>
      <c r="Q552" s="47"/>
      <c r="R552" s="47"/>
    </row>
    <row r="553" spans="1:18" x14ac:dyDescent="0.25">
      <c r="A553" s="47">
        <f t="shared" si="19"/>
        <v>552</v>
      </c>
      <c r="B553" s="47"/>
      <c r="C553" s="47"/>
      <c r="D553" s="47"/>
      <c r="E553" s="47"/>
      <c r="F553" s="47"/>
      <c r="G553" s="47"/>
      <c r="H553" s="47" t="str">
        <f t="shared" ref="H553:H554" si="21">IF(LEFT(I553,4)="JK13","PULWAMA",IF(LEFT(I553,4)="JK01","SRINAGAR",IF(LEFT(I553,4)="JK04","BUDGAM",IF(LEFT(I553,4)="JK03","ANANTNAG",IF(LEFT(I553,4)="JK05","BARAMULLA",IF(LEFT(I553,4)="26BH","BHARAT",IF(LEFT(I553,4)="25BH","BHARAT",IF(LEFT(I553,4)="JK12","POONCH",IF(LEFT(I553,4)="JK18","KULGAM",IF(LEFT(I553,4)="JK22","SHOPIAN",IF(LEFT(I553,4)="JK02","JAMMU",IF(LEFT(I553,4)="JK09","KUPWARA",IF(LEFT(I553,4)="JK15","BANDIPORA",IF(LEFT(I553,4)="JK17","KISHTWAR",IF(LEFT(I553,4)="LA01","KARGIL",IF(LEFT(I553,1)="T","TEMP","NEW"))))))))))))))))</f>
        <v>NEW</v>
      </c>
      <c r="I553" s="47"/>
      <c r="J553" s="48"/>
      <c r="K553" s="47"/>
      <c r="L553" s="47"/>
      <c r="M553" s="49"/>
      <c r="N553" s="48"/>
      <c r="O553" s="47"/>
      <c r="P553" s="50"/>
      <c r="Q553" s="47"/>
      <c r="R553" s="47"/>
    </row>
    <row r="554" spans="1:18" x14ac:dyDescent="0.25">
      <c r="A554" s="47">
        <f t="shared" si="19"/>
        <v>553</v>
      </c>
      <c r="B554" s="47"/>
      <c r="C554" s="47"/>
      <c r="D554" s="47"/>
      <c r="E554" s="47"/>
      <c r="F554" s="47"/>
      <c r="G554" s="47"/>
      <c r="H554" s="47" t="str">
        <f t="shared" si="21"/>
        <v>NEW</v>
      </c>
      <c r="I554" s="47"/>
      <c r="J554" s="48"/>
      <c r="K554" s="47"/>
      <c r="L554" s="47"/>
      <c r="M554" s="49"/>
      <c r="N554" s="48"/>
      <c r="O554" s="47"/>
      <c r="P554" s="50"/>
      <c r="Q554" s="47"/>
      <c r="R554" s="47"/>
    </row>
    <row r="555" spans="1:18" ht="15.75" x14ac:dyDescent="0.25">
      <c r="B555" s="47"/>
      <c r="C555" s="47"/>
      <c r="D555" s="47"/>
      <c r="E555" s="47"/>
      <c r="F555" s="47"/>
      <c r="G555" s="47"/>
      <c r="H555" s="1"/>
      <c r="I555" s="47"/>
      <c r="J555" s="19"/>
      <c r="K555" s="47"/>
      <c r="M555" t="s">
        <v>44</v>
      </c>
    </row>
    <row r="556" spans="1:18" ht="15.75" x14ac:dyDescent="0.25">
      <c r="F556" s="1"/>
      <c r="G556" s="1"/>
      <c r="H556" s="1"/>
      <c r="I556" s="20"/>
      <c r="K556" s="47"/>
    </row>
    <row r="557" spans="1:18" ht="15.75" x14ac:dyDescent="0.25">
      <c r="F557" s="1"/>
      <c r="G557" s="1"/>
      <c r="H557" s="1"/>
      <c r="I557" s="20"/>
      <c r="K557" s="47"/>
    </row>
    <row r="558" spans="1:18" ht="15.75" x14ac:dyDescent="0.25">
      <c r="F558" s="1"/>
      <c r="G558" s="1"/>
      <c r="H558" s="1"/>
      <c r="I558" s="20"/>
      <c r="K558" s="47"/>
    </row>
    <row r="559" spans="1:18" ht="15.75" x14ac:dyDescent="0.25">
      <c r="C559" s="1"/>
      <c r="D559" s="1"/>
      <c r="E559" s="1"/>
      <c r="F559" s="1"/>
      <c r="G559" s="1"/>
      <c r="H559" s="1"/>
      <c r="I559" s="20"/>
      <c r="K559" s="4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47"/>
      <c r="L560" s="7"/>
      <c r="M560" s="7"/>
      <c r="N560" s="7"/>
      <c r="O560" s="7"/>
      <c r="P560" s="7"/>
      <c r="Q560" s="7"/>
    </row>
    <row r="561" spans="1:17" x14ac:dyDescent="0.25">
      <c r="A561" s="5"/>
      <c r="B561" s="6"/>
      <c r="C561" s="7"/>
      <c r="D561" s="7"/>
      <c r="E561" s="7"/>
      <c r="F561" s="7"/>
      <c r="G561" s="7"/>
      <c r="H561" s="7"/>
      <c r="I561" s="7"/>
      <c r="J561" s="7"/>
      <c r="K561" s="47"/>
      <c r="L561" s="7"/>
      <c r="M561" s="7"/>
      <c r="N561" s="7"/>
      <c r="O561" s="7"/>
      <c r="P561" s="7"/>
      <c r="Q561" s="7"/>
    </row>
    <row r="562" spans="1:17" x14ac:dyDescent="0.25">
      <c r="K562" s="47"/>
    </row>
    <row r="563" spans="1:17" x14ac:dyDescent="0.25">
      <c r="K563" s="47"/>
    </row>
    <row r="564" spans="1:17" x14ac:dyDescent="0.25">
      <c r="K564" s="47"/>
    </row>
    <row r="565" spans="1:17" x14ac:dyDescent="0.25">
      <c r="K565" s="47"/>
    </row>
    <row r="566" spans="1:17" x14ac:dyDescent="0.25">
      <c r="K566" s="47"/>
    </row>
    <row r="567" spans="1:17" x14ac:dyDescent="0.25">
      <c r="K567" s="47"/>
    </row>
    <row r="568" spans="1:17" x14ac:dyDescent="0.25">
      <c r="K568" s="47"/>
    </row>
    <row r="569" spans="1:17" x14ac:dyDescent="0.25">
      <c r="K569" s="47"/>
    </row>
    <row r="570" spans="1:17" x14ac:dyDescent="0.25">
      <c r="K570" s="47"/>
    </row>
    <row r="571" spans="1:17" x14ac:dyDescent="0.25">
      <c r="K571" s="47"/>
    </row>
    <row r="572" spans="1:17" x14ac:dyDescent="0.25">
      <c r="K572" s="47"/>
    </row>
    <row r="573" spans="1:17" x14ac:dyDescent="0.25">
      <c r="K573" s="47"/>
    </row>
    <row r="574" spans="1:17" x14ac:dyDescent="0.25">
      <c r="K574" s="47"/>
    </row>
    <row r="575" spans="1:17" x14ac:dyDescent="0.25">
      <c r="K575" s="47"/>
    </row>
    <row r="576" spans="1:17" x14ac:dyDescent="0.25">
      <c r="K576" s="47"/>
    </row>
    <row r="577" spans="11:11" x14ac:dyDescent="0.25">
      <c r="K577" s="47"/>
    </row>
    <row r="578" spans="11:11" x14ac:dyDescent="0.25">
      <c r="K578" s="47"/>
    </row>
    <row r="579" spans="11:11" x14ac:dyDescent="0.25">
      <c r="K579" s="47"/>
    </row>
    <row r="580" spans="11:11" x14ac:dyDescent="0.25">
      <c r="K580" s="47"/>
    </row>
    <row r="581" spans="11:11" x14ac:dyDescent="0.25">
      <c r="K581" s="47"/>
    </row>
    <row r="582" spans="11:11" x14ac:dyDescent="0.25">
      <c r="K582" s="47"/>
    </row>
    <row r="583" spans="11:11" x14ac:dyDescent="0.25">
      <c r="K583" s="47"/>
    </row>
    <row r="584" spans="11:11" x14ac:dyDescent="0.25">
      <c r="K584" s="47"/>
    </row>
    <row r="585" spans="11:11" x14ac:dyDescent="0.25">
      <c r="K585" s="47"/>
    </row>
    <row r="586" spans="11:11" x14ac:dyDescent="0.25">
      <c r="K586" s="47"/>
    </row>
    <row r="587" spans="11:11" x14ac:dyDescent="0.25">
      <c r="K587" s="47"/>
    </row>
    <row r="588" spans="11:11" x14ac:dyDescent="0.25">
      <c r="K588" s="47"/>
    </row>
    <row r="589" spans="11:11" x14ac:dyDescent="0.25">
      <c r="K589" s="47"/>
    </row>
    <row r="590" spans="11:11" x14ac:dyDescent="0.25">
      <c r="K590" s="47"/>
    </row>
    <row r="591" spans="11:11" x14ac:dyDescent="0.25">
      <c r="K591" s="47"/>
    </row>
    <row r="592" spans="11:11" x14ac:dyDescent="0.25">
      <c r="K592" s="47"/>
    </row>
    <row r="593" spans="11:11" x14ac:dyDescent="0.25">
      <c r="K593" s="47"/>
    </row>
    <row r="594" spans="11:11" x14ac:dyDescent="0.25">
      <c r="K594" s="47"/>
    </row>
    <row r="595" spans="11:11" x14ac:dyDescent="0.25">
      <c r="K595" s="47"/>
    </row>
    <row r="596" spans="11:11" x14ac:dyDescent="0.25">
      <c r="K596" s="47"/>
    </row>
    <row r="597" spans="11:11" x14ac:dyDescent="0.25">
      <c r="K597" s="47"/>
    </row>
    <row r="598" spans="11:11" x14ac:dyDescent="0.25">
      <c r="K598" s="47"/>
    </row>
    <row r="599" spans="11:11" x14ac:dyDescent="0.25">
      <c r="K599" s="47"/>
    </row>
    <row r="600" spans="11:11" x14ac:dyDescent="0.25">
      <c r="K600" s="47"/>
    </row>
    <row r="601" spans="11:11" x14ac:dyDescent="0.25">
      <c r="K601" s="47"/>
    </row>
    <row r="602" spans="11:11" x14ac:dyDescent="0.25">
      <c r="K602" s="47"/>
    </row>
    <row r="603" spans="11:11" x14ac:dyDescent="0.25">
      <c r="K603" s="47"/>
    </row>
    <row r="604" spans="11:11" x14ac:dyDescent="0.25">
      <c r="K604" s="47"/>
    </row>
    <row r="605" spans="11:11" x14ac:dyDescent="0.25">
      <c r="K605" s="47"/>
    </row>
    <row r="606" spans="11:11" x14ac:dyDescent="0.25">
      <c r="K606" s="47"/>
    </row>
    <row r="607" spans="11:11" x14ac:dyDescent="0.25">
      <c r="K607" s="47"/>
    </row>
    <row r="608" spans="11:11" x14ac:dyDescent="0.25">
      <c r="K608" s="47"/>
    </row>
    <row r="609" spans="11:11" x14ac:dyDescent="0.25">
      <c r="K609" s="47"/>
    </row>
    <row r="610" spans="11:11" x14ac:dyDescent="0.25">
      <c r="K610" s="47"/>
    </row>
    <row r="611" spans="11:11" x14ac:dyDescent="0.25">
      <c r="K611" s="47"/>
    </row>
    <row r="612" spans="11:11" x14ac:dyDescent="0.25">
      <c r="K612" s="47"/>
    </row>
    <row r="613" spans="11:11" x14ac:dyDescent="0.25">
      <c r="K613" s="47"/>
    </row>
    <row r="614" spans="11:11" x14ac:dyDescent="0.25">
      <c r="K614" s="47"/>
    </row>
    <row r="615" spans="11:11" x14ac:dyDescent="0.25">
      <c r="K615" s="47"/>
    </row>
    <row r="616" spans="11:11" x14ac:dyDescent="0.25">
      <c r="K616" s="47"/>
    </row>
    <row r="617" spans="11:11" x14ac:dyDescent="0.25">
      <c r="K617" s="47"/>
    </row>
    <row r="618" spans="11:11" x14ac:dyDescent="0.25">
      <c r="K618" s="47"/>
    </row>
    <row r="619" spans="11:11" x14ac:dyDescent="0.25">
      <c r="K619" s="47"/>
    </row>
    <row r="620" spans="11:11" x14ac:dyDescent="0.25">
      <c r="K620" s="47"/>
    </row>
    <row r="621" spans="11:11" x14ac:dyDescent="0.25">
      <c r="K621" s="47"/>
    </row>
    <row r="622" spans="11:11" x14ac:dyDescent="0.25">
      <c r="K622" s="47"/>
    </row>
    <row r="623" spans="11:11" x14ac:dyDescent="0.25">
      <c r="K623" s="47"/>
    </row>
    <row r="624" spans="11:11" x14ac:dyDescent="0.25">
      <c r="K624" s="47"/>
    </row>
    <row r="625" spans="11:11" x14ac:dyDescent="0.25">
      <c r="K625" s="47"/>
    </row>
    <row r="626" spans="11:11" x14ac:dyDescent="0.25">
      <c r="K626" s="47"/>
    </row>
    <row r="627" spans="11:11" x14ac:dyDescent="0.25">
      <c r="K627" s="47"/>
    </row>
    <row r="628" spans="11:11" x14ac:dyDescent="0.25">
      <c r="K628" s="47"/>
    </row>
    <row r="629" spans="11:11" x14ac:dyDescent="0.25">
      <c r="K629" s="47"/>
    </row>
    <row r="630" spans="11:11" x14ac:dyDescent="0.25">
      <c r="K630" s="47"/>
    </row>
    <row r="631" spans="11:11" x14ac:dyDescent="0.25">
      <c r="K631" s="47"/>
    </row>
    <row r="632" spans="11:11" x14ac:dyDescent="0.25">
      <c r="K632" s="47"/>
    </row>
    <row r="633" spans="11:11" x14ac:dyDescent="0.25">
      <c r="K633" s="47"/>
    </row>
    <row r="634" spans="11:11" x14ac:dyDescent="0.25">
      <c r="K634" s="47"/>
    </row>
    <row r="635" spans="11:11" x14ac:dyDescent="0.25">
      <c r="K635" s="47"/>
    </row>
    <row r="636" spans="11:11" x14ac:dyDescent="0.25">
      <c r="K636" s="47"/>
    </row>
    <row r="637" spans="11:11" x14ac:dyDescent="0.25">
      <c r="K637" s="47"/>
    </row>
    <row r="638" spans="11:11" x14ac:dyDescent="0.25">
      <c r="K638" s="47"/>
    </row>
    <row r="639" spans="11:11" x14ac:dyDescent="0.25">
      <c r="K639" s="47"/>
    </row>
    <row r="640" spans="11:11" x14ac:dyDescent="0.25">
      <c r="K640" s="47"/>
    </row>
    <row r="641" spans="11:11" x14ac:dyDescent="0.25">
      <c r="K641" s="47"/>
    </row>
    <row r="642" spans="11:11" x14ac:dyDescent="0.25">
      <c r="K642" s="47"/>
    </row>
    <row r="643" spans="11:11" x14ac:dyDescent="0.25">
      <c r="K643" s="47"/>
    </row>
    <row r="644" spans="11:11" x14ac:dyDescent="0.25">
      <c r="K644" s="47"/>
    </row>
    <row r="645" spans="11:11" ht="15.75" x14ac:dyDescent="0.25">
      <c r="K645" s="19"/>
    </row>
    <row r="646" spans="11:11" ht="15.75" x14ac:dyDescent="0.25">
      <c r="K646" s="19"/>
    </row>
    <row r="647" spans="11:11" ht="15.75" x14ac:dyDescent="0.25">
      <c r="K647" s="19"/>
    </row>
    <row r="648" spans="11:11" ht="15.75" x14ac:dyDescent="0.25">
      <c r="K648" s="19"/>
    </row>
    <row r="649" spans="11:11" ht="15.75" x14ac:dyDescent="0.25">
      <c r="K649" s="19"/>
    </row>
    <row r="650" spans="11:11" ht="15.75" x14ac:dyDescent="0.25">
      <c r="K650" s="19"/>
    </row>
    <row r="651" spans="11:11" ht="15.75" x14ac:dyDescent="0.25">
      <c r="K651" s="19"/>
    </row>
    <row r="652" spans="11:11" ht="15.75" x14ac:dyDescent="0.25">
      <c r="K652" s="19"/>
    </row>
    <row r="653" spans="11:11" ht="15.75" x14ac:dyDescent="0.25">
      <c r="K653" s="19"/>
    </row>
    <row r="654" spans="11:11" ht="15.75" x14ac:dyDescent="0.25">
      <c r="K654" s="19"/>
    </row>
    <row r="655" spans="11:11" ht="15.75" x14ac:dyDescent="0.25">
      <c r="K655" s="19"/>
    </row>
    <row r="656" spans="11:11" ht="15.75" x14ac:dyDescent="0.25">
      <c r="K656" s="19"/>
    </row>
    <row r="657" spans="11:11" ht="15.75" x14ac:dyDescent="0.25">
      <c r="K657" s="19"/>
    </row>
    <row r="658" spans="11:11" ht="15.75" x14ac:dyDescent="0.25">
      <c r="K658" s="19"/>
    </row>
    <row r="659" spans="11:11" ht="15.75" x14ac:dyDescent="0.25">
      <c r="K659" s="19"/>
    </row>
    <row r="660" spans="11:11" ht="15.75" x14ac:dyDescent="0.25">
      <c r="K660" s="19"/>
    </row>
    <row r="661" spans="11:11" ht="15.75" x14ac:dyDescent="0.25">
      <c r="K661" s="19"/>
    </row>
    <row r="662" spans="11:11" ht="15.75" x14ac:dyDescent="0.25">
      <c r="K662" s="19"/>
    </row>
    <row r="663" spans="11:11" ht="15.75" x14ac:dyDescent="0.25">
      <c r="K663" s="19"/>
    </row>
    <row r="664" spans="11:11" ht="15.75" x14ac:dyDescent="0.25">
      <c r="K664" s="19"/>
    </row>
    <row r="665" spans="11:11" ht="15.75" x14ac:dyDescent="0.25">
      <c r="K665" s="19"/>
    </row>
    <row r="666" spans="11:11" ht="15.75" x14ac:dyDescent="0.25">
      <c r="K666" s="19"/>
    </row>
    <row r="667" spans="11:11" ht="15.75" x14ac:dyDescent="0.25">
      <c r="K667" s="19"/>
    </row>
    <row r="668" spans="11:11" ht="15.75" x14ac:dyDescent="0.25">
      <c r="K668" s="19"/>
    </row>
    <row r="669" spans="11:11" ht="15.75" x14ac:dyDescent="0.25">
      <c r="K669" s="19"/>
    </row>
    <row r="670" spans="11:11" ht="15.75" x14ac:dyDescent="0.25">
      <c r="K670" s="19"/>
    </row>
    <row r="671" spans="11:11" ht="15.75" x14ac:dyDescent="0.25">
      <c r="K671" s="19"/>
    </row>
    <row r="672" spans="11:11" ht="15.75" x14ac:dyDescent="0.25">
      <c r="K672" s="19"/>
    </row>
    <row r="673" spans="11:11" ht="15.75" x14ac:dyDescent="0.25">
      <c r="K673" s="19"/>
    </row>
    <row r="674" spans="11:11" ht="15.75" x14ac:dyDescent="0.25">
      <c r="K674" s="19"/>
    </row>
    <row r="675" spans="11:11" ht="15.75" x14ac:dyDescent="0.25">
      <c r="K675" s="19"/>
    </row>
    <row r="676" spans="11:11" ht="15.75" x14ac:dyDescent="0.25">
      <c r="K676" s="19"/>
    </row>
    <row r="677" spans="11:11" ht="15.75" x14ac:dyDescent="0.25">
      <c r="K677" s="19"/>
    </row>
    <row r="678" spans="11:11" ht="15.75" x14ac:dyDescent="0.25">
      <c r="K678" s="19"/>
    </row>
    <row r="679" spans="11:11" ht="15.75" x14ac:dyDescent="0.25">
      <c r="K679" s="19"/>
    </row>
    <row r="680" spans="11:11" ht="15.75" x14ac:dyDescent="0.25">
      <c r="K680" s="19"/>
    </row>
    <row r="681" spans="11:11" ht="15.75" x14ac:dyDescent="0.25">
      <c r="K681" s="19"/>
    </row>
    <row r="682" spans="11:11" ht="15.75" x14ac:dyDescent="0.25">
      <c r="K682" s="19"/>
    </row>
    <row r="683" spans="11:11" ht="15.75" x14ac:dyDescent="0.25">
      <c r="K683" s="19"/>
    </row>
    <row r="684" spans="11:11" ht="15.75" x14ac:dyDescent="0.25">
      <c r="K684" s="19"/>
    </row>
    <row r="685" spans="11:11" ht="15.75" x14ac:dyDescent="0.25">
      <c r="K685" s="19"/>
    </row>
    <row r="686" spans="11:11" ht="15.75" x14ac:dyDescent="0.25">
      <c r="K686" s="19"/>
    </row>
    <row r="687" spans="11:11" ht="15.75" x14ac:dyDescent="0.25">
      <c r="K687" s="19"/>
    </row>
    <row r="688" spans="11:11" ht="15.75" x14ac:dyDescent="0.25">
      <c r="K688" s="19"/>
    </row>
    <row r="689" spans="11:11" ht="15.75" x14ac:dyDescent="0.25">
      <c r="K689" s="19"/>
    </row>
    <row r="690" spans="11:11" ht="15.75" x14ac:dyDescent="0.25">
      <c r="K690" s="19"/>
    </row>
    <row r="691" spans="11:11" ht="15.75" x14ac:dyDescent="0.25">
      <c r="K691" s="19"/>
    </row>
    <row r="692" spans="11:11" ht="15.75" x14ac:dyDescent="0.25">
      <c r="K692" s="19"/>
    </row>
    <row r="693" spans="11:11" ht="15.75" x14ac:dyDescent="0.25">
      <c r="K693" s="19"/>
    </row>
    <row r="694" spans="11:11" x14ac:dyDescent="0.25">
      <c r="K694" s="44"/>
    </row>
    <row r="695" spans="11:11" ht="15.75" x14ac:dyDescent="0.25">
      <c r="K695" s="19"/>
    </row>
    <row r="696" spans="11:11" ht="15.75" x14ac:dyDescent="0.25">
      <c r="K696" s="19"/>
    </row>
    <row r="697" spans="11:11" ht="15.75" x14ac:dyDescent="0.25">
      <c r="K697" s="19"/>
    </row>
    <row r="698" spans="11:11" ht="15.75" x14ac:dyDescent="0.25">
      <c r="K698" s="19"/>
    </row>
    <row r="699" spans="11:11" ht="15.75" x14ac:dyDescent="0.25">
      <c r="K699" s="19"/>
    </row>
    <row r="700" spans="11:11" ht="15.75" x14ac:dyDescent="0.25">
      <c r="K700" s="19"/>
    </row>
    <row r="701" spans="11:11" ht="15.75" x14ac:dyDescent="0.25">
      <c r="K701" s="19"/>
    </row>
    <row r="702" spans="11:11" ht="15.75" x14ac:dyDescent="0.25">
      <c r="K702" s="19"/>
    </row>
    <row r="703" spans="11:11" ht="15.75" x14ac:dyDescent="0.25">
      <c r="K703" s="19"/>
    </row>
    <row r="704" spans="11:11" ht="15.75" x14ac:dyDescent="0.25">
      <c r="K704" s="19"/>
    </row>
    <row r="705" spans="11:11" ht="15.75" x14ac:dyDescent="0.25">
      <c r="K705" s="19"/>
    </row>
    <row r="706" spans="11:11" ht="15.75" x14ac:dyDescent="0.25">
      <c r="K706" s="19"/>
    </row>
    <row r="707" spans="11:11" ht="15.75" x14ac:dyDescent="0.25">
      <c r="K707" s="19"/>
    </row>
    <row r="708" spans="11:11" ht="15.75" x14ac:dyDescent="0.25">
      <c r="K708" s="19"/>
    </row>
    <row r="709" spans="11:11" ht="15.75" x14ac:dyDescent="0.25">
      <c r="K709" s="19"/>
    </row>
    <row r="710" spans="11:11" ht="15.75" x14ac:dyDescent="0.25">
      <c r="K710" s="19"/>
    </row>
    <row r="711" spans="11:11" ht="15.75" x14ac:dyDescent="0.25">
      <c r="K711" s="19"/>
    </row>
    <row r="712" spans="11:11" ht="15.75" x14ac:dyDescent="0.25">
      <c r="K712" s="19"/>
    </row>
    <row r="713" spans="11:11" ht="15.75" x14ac:dyDescent="0.25">
      <c r="K713" s="19"/>
    </row>
    <row r="714" spans="11:11" ht="15.75" x14ac:dyDescent="0.25">
      <c r="K714" s="19"/>
    </row>
    <row r="715" spans="11:11" ht="15.75" x14ac:dyDescent="0.25">
      <c r="K715" s="19"/>
    </row>
    <row r="716" spans="11:11" ht="15.75" x14ac:dyDescent="0.25">
      <c r="K716" s="19"/>
    </row>
    <row r="717" spans="11:11" ht="15.75" x14ac:dyDescent="0.25">
      <c r="K717" s="19"/>
    </row>
    <row r="718" spans="11:11" ht="15.75" x14ac:dyDescent="0.25">
      <c r="K718" s="19"/>
    </row>
    <row r="719" spans="11:11" ht="15.75" x14ac:dyDescent="0.25">
      <c r="K719" s="19"/>
    </row>
    <row r="720" spans="11:11" ht="15.75" x14ac:dyDescent="0.25">
      <c r="K720" s="19"/>
    </row>
    <row r="721" spans="11:11" ht="15.75" x14ac:dyDescent="0.25">
      <c r="K721" s="19"/>
    </row>
    <row r="722" spans="11:11" ht="15.75" x14ac:dyDescent="0.25">
      <c r="K722" s="19"/>
    </row>
    <row r="723" spans="11:11" ht="15.75" x14ac:dyDescent="0.25">
      <c r="K723" s="19"/>
    </row>
    <row r="724" spans="11:11" ht="15.75" x14ac:dyDescent="0.25">
      <c r="K724" s="19"/>
    </row>
    <row r="725" spans="11:11" ht="15.75" x14ac:dyDescent="0.25">
      <c r="K725" s="19"/>
    </row>
    <row r="726" spans="11:11" ht="15.75" x14ac:dyDescent="0.25">
      <c r="K726" s="19"/>
    </row>
    <row r="727" spans="11:11" ht="15.75" x14ac:dyDescent="0.25">
      <c r="K727" s="19"/>
    </row>
    <row r="728" spans="11:11" ht="15.75" x14ac:dyDescent="0.25">
      <c r="K728" s="19"/>
    </row>
    <row r="729" spans="11:11" ht="15.75" x14ac:dyDescent="0.25">
      <c r="K729" s="19"/>
    </row>
    <row r="730" spans="11:11" ht="15.75" x14ac:dyDescent="0.25">
      <c r="K730" s="19"/>
    </row>
    <row r="731" spans="11:11" ht="15.75" x14ac:dyDescent="0.25">
      <c r="K731" s="19"/>
    </row>
    <row r="732" spans="11:11" ht="15.75" x14ac:dyDescent="0.25">
      <c r="K732" s="19"/>
    </row>
  </sheetData>
  <conditionalFormatting sqref="A2:R2 I3:R192 A3:G217 H3:H388 K186:K216 I191:I193 J193:N193 O193:R196 L194:N196 I194:J198 L197:R215 I198:I219 J199 I200:J202 J203:J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2 J387:K391 L387:R438 D389:H389 K389:K438 B390:I393 J392 H393:J393 G394:H394 I394:J398 H395:H398 B399:J409 I409:I420 H410:J411 H412 J412 A413:B413 H413:J413 A414 H414 J414:J418 A415:B415 G415:H415 H416 A416:A426 F417:H417 H418 H419:J431 A427:B429 A430 A431:B432 G432:J432 A433:A434 B433:J441 A435:B435 A436:A447 K439:R441 I442:J443 L442:R443 H442:H451 I444:R444 I445:J451 L445:R456 A448:G448 A449:A554 H452:J454 G455:J456 M457:R457 F492:F554 B555:G555 I555 K555:K644 H457:J460 H464:R554 G461:J462 H463 J463 B297:G491 I462:I463 K441:K463 L458:R463">
    <cfRule type="expression" dxfId="21" priority="9">
      <formula>CELL("row")=ROW()</formula>
    </cfRule>
  </conditionalFormatting>
  <conditionalFormatting sqref="B257:G290 B291:B300 C291:G301">
    <cfRule type="expression" dxfId="20" priority="7">
      <formula>CELL("row")=ROW()</formula>
    </cfRule>
  </conditionalFormatting>
  <conditionalFormatting sqref="F398">
    <cfRule type="expression" dxfId="19" priority="2">
      <formula>CELL("row")=ROW()</formula>
    </cfRule>
  </conditionalFormatting>
  <conditionalFormatting sqref="F420">
    <cfRule type="expression" dxfId="18" priority="1">
      <formula>CELL("row")=ROW()</formula>
    </cfRule>
  </conditionalFormatting>
  <conditionalFormatting sqref="F326:G326">
    <cfRule type="expression" dxfId="17" priority="4">
      <formula>CELL("row")=ROW()</formula>
    </cfRule>
  </conditionalFormatting>
  <conditionalFormatting sqref="G266">
    <cfRule type="expression" dxfId="16" priority="6">
      <formula>CELL("row")=ROW()</formula>
    </cfRule>
  </conditionalFormatting>
  <conditionalFormatting sqref="K557:O566 L555:O556">
    <cfRule type="expression" dxfId="15" priority="18">
      <formula>ROW(M93)=HighlightRow</formula>
    </cfRule>
  </conditionalFormatting>
  <conditionalFormatting sqref="P555:Q566">
    <cfRule type="expression" dxfId="14" priority="22">
      <formula>ROW(S93)=HighlightRow</formula>
    </cfRule>
  </conditionalFormatting>
  <conditionalFormatting sqref="S105:XFD105">
    <cfRule type="expression" dxfId="13" priority="23">
      <formula>ROW(T94)=HighlightRow</formula>
    </cfRule>
  </conditionalFormatting>
  <conditionalFormatting sqref="S106:XFD114">
    <cfRule type="expression" dxfId="12" priority="20">
      <formula>ROW(T96)=HighlightRow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D810" zoomScaleNormal="100" workbookViewId="0">
      <selection activeCell="I801" sqref="I80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 t="s">
        <v>8227</v>
      </c>
      <c r="S40" s="36">
        <v>46059</v>
      </c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6877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7386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8651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 t="s">
        <v>31</v>
      </c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7459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7672</v>
      </c>
      <c r="S1241" s="36">
        <v>46052</v>
      </c>
      <c r="T1241" s="39" t="s">
        <v>23</v>
      </c>
      <c r="U1241" s="36">
        <v>46055</v>
      </c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 t="s">
        <v>8263</v>
      </c>
      <c r="S1373" s="36">
        <v>46037</v>
      </c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6982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7112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308"/>
  <sheetViews>
    <sheetView tabSelected="1" topLeftCell="A253" zoomScaleNormal="100" workbookViewId="0">
      <selection activeCell="H254" sqref="H25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67" si="0">ROW()-2</f>
        <v>1</v>
      </c>
      <c r="B3" s="19" t="s">
        <v>7938</v>
      </c>
      <c r="C3" s="19">
        <v>7006955275</v>
      </c>
      <c r="D3" s="19" t="s">
        <v>7939</v>
      </c>
      <c r="E3" s="19" t="s">
        <v>7940</v>
      </c>
      <c r="F3" s="21">
        <v>46023</v>
      </c>
      <c r="G3" s="21" t="s">
        <v>398</v>
      </c>
      <c r="H3" s="19" t="s">
        <v>6665</v>
      </c>
    </row>
    <row r="4" spans="1:8" ht="15.75" x14ac:dyDescent="0.25">
      <c r="A4" s="19">
        <f t="shared" si="0"/>
        <v>2</v>
      </c>
      <c r="B4" s="19" t="s">
        <v>7805</v>
      </c>
      <c r="C4" s="19">
        <v>7889324122</v>
      </c>
      <c r="D4" s="19" t="s">
        <v>7814</v>
      </c>
      <c r="E4" s="19" t="s">
        <v>7811</v>
      </c>
      <c r="F4" s="21">
        <v>46022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7819</v>
      </c>
      <c r="C5" s="19">
        <v>7006000499</v>
      </c>
      <c r="D5" s="19" t="s">
        <v>8152</v>
      </c>
      <c r="E5" s="19" t="s">
        <v>7846</v>
      </c>
      <c r="F5" s="21"/>
      <c r="G5" s="21"/>
      <c r="H5" s="19"/>
    </row>
    <row r="6" spans="1:8" ht="15.75" x14ac:dyDescent="0.25">
      <c r="A6" s="19"/>
      <c r="B6" s="19" t="s">
        <v>7837</v>
      </c>
      <c r="C6" s="19">
        <v>7006016383</v>
      </c>
      <c r="D6" s="19" t="s">
        <v>8813</v>
      </c>
      <c r="E6" s="19" t="s">
        <v>7845</v>
      </c>
      <c r="F6" s="21">
        <v>46065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8153</v>
      </c>
      <c r="C7" s="19">
        <v>7006582052</v>
      </c>
      <c r="D7" s="19" t="s">
        <v>8154</v>
      </c>
      <c r="E7" s="19" t="s">
        <v>7849</v>
      </c>
      <c r="F7" s="21"/>
      <c r="G7" s="21"/>
      <c r="H7" s="19"/>
    </row>
    <row r="8" spans="1:8" ht="15.75" x14ac:dyDescent="0.25">
      <c r="A8" s="19">
        <f t="shared" si="0"/>
        <v>6</v>
      </c>
      <c r="B8" s="19" t="s">
        <v>7885</v>
      </c>
      <c r="C8" s="19">
        <v>8082623899</v>
      </c>
      <c r="D8" s="19" t="s">
        <v>8155</v>
      </c>
      <c r="E8" s="19" t="s">
        <v>7878</v>
      </c>
      <c r="F8" s="21"/>
      <c r="G8" s="21"/>
      <c r="H8" s="19"/>
    </row>
    <row r="9" spans="1:8" ht="15.75" x14ac:dyDescent="0.25">
      <c r="A9" s="19">
        <f t="shared" si="0"/>
        <v>7</v>
      </c>
      <c r="B9" s="19" t="s">
        <v>7792</v>
      </c>
      <c r="C9" s="19">
        <v>7780996739</v>
      </c>
      <c r="D9" s="19" t="s">
        <v>8156</v>
      </c>
      <c r="E9" s="19" t="s">
        <v>7847</v>
      </c>
      <c r="F9" s="21"/>
      <c r="G9" s="21"/>
      <c r="H9" s="19"/>
    </row>
    <row r="10" spans="1:8" ht="15.75" x14ac:dyDescent="0.25">
      <c r="A10" s="19">
        <f t="shared" si="0"/>
        <v>8</v>
      </c>
      <c r="B10" s="19" t="s">
        <v>7877</v>
      </c>
      <c r="C10" s="19">
        <v>7889588496</v>
      </c>
      <c r="D10" s="19" t="s">
        <v>7937</v>
      </c>
      <c r="E10" s="19" t="s">
        <v>7891</v>
      </c>
      <c r="F10" s="21">
        <v>46024</v>
      </c>
      <c r="G10" s="21" t="s">
        <v>341</v>
      </c>
      <c r="H10" s="19" t="s">
        <v>6665</v>
      </c>
    </row>
    <row r="11" spans="1:8" ht="15.75" x14ac:dyDescent="0.25">
      <c r="A11" s="19">
        <f t="shared" si="0"/>
        <v>9</v>
      </c>
      <c r="B11" s="19" t="s">
        <v>7932</v>
      </c>
      <c r="C11" s="19">
        <v>7006197341</v>
      </c>
      <c r="D11" s="19" t="s">
        <v>8157</v>
      </c>
      <c r="E11" s="19" t="s">
        <v>7933</v>
      </c>
      <c r="F11" s="21"/>
      <c r="G11" s="21"/>
      <c r="H11" s="19"/>
    </row>
    <row r="12" spans="1:8" ht="15.75" x14ac:dyDescent="0.25">
      <c r="A12" s="19">
        <f t="shared" si="0"/>
        <v>10</v>
      </c>
      <c r="B12" s="19" t="s">
        <v>7921</v>
      </c>
      <c r="C12" s="19">
        <v>9906605048</v>
      </c>
      <c r="D12" s="19" t="s">
        <v>8158</v>
      </c>
      <c r="E12" s="19" t="s">
        <v>7922</v>
      </c>
      <c r="F12" s="21"/>
      <c r="G12" s="21"/>
      <c r="H12" s="19"/>
    </row>
    <row r="13" spans="1:8" ht="15.75" x14ac:dyDescent="0.25">
      <c r="A13" s="19">
        <f t="shared" si="0"/>
        <v>11</v>
      </c>
      <c r="B13" s="19" t="s">
        <v>7906</v>
      </c>
      <c r="C13" s="19">
        <v>9906473272</v>
      </c>
      <c r="D13" s="19" t="s">
        <v>8149</v>
      </c>
      <c r="E13" s="19" t="s">
        <v>7925</v>
      </c>
      <c r="F13" s="21"/>
      <c r="G13" s="21"/>
      <c r="H13" s="19"/>
    </row>
    <row r="14" spans="1:8" ht="15.75" x14ac:dyDescent="0.25">
      <c r="A14" s="19">
        <f t="shared" si="0"/>
        <v>12</v>
      </c>
      <c r="B14" s="19" t="s">
        <v>8159</v>
      </c>
      <c r="C14" s="19">
        <v>9906786675</v>
      </c>
      <c r="D14" s="19" t="s">
        <v>8160</v>
      </c>
      <c r="E14" s="19" t="s">
        <v>7924</v>
      </c>
      <c r="F14" s="21"/>
      <c r="G14" s="21"/>
      <c r="H14" s="19"/>
    </row>
    <row r="15" spans="1:8" ht="15.75" x14ac:dyDescent="0.25">
      <c r="A15" s="19">
        <f t="shared" si="0"/>
        <v>13</v>
      </c>
      <c r="B15" s="19" t="s">
        <v>7854</v>
      </c>
      <c r="C15" s="19">
        <v>9622459354</v>
      </c>
      <c r="D15" s="19" t="s">
        <v>8161</v>
      </c>
      <c r="E15" s="19" t="s">
        <v>7860</v>
      </c>
      <c r="F15" s="21"/>
      <c r="G15" s="21"/>
      <c r="H15" s="19"/>
    </row>
    <row r="16" spans="1:8" ht="15.75" x14ac:dyDescent="0.25">
      <c r="A16" s="19">
        <f t="shared" si="0"/>
        <v>14</v>
      </c>
      <c r="B16" s="19" t="s">
        <v>7890</v>
      </c>
      <c r="C16" s="19">
        <v>7006616090</v>
      </c>
      <c r="D16" s="19" t="s">
        <v>8121</v>
      </c>
      <c r="E16" s="19" t="s">
        <v>7893</v>
      </c>
      <c r="F16" s="21">
        <v>46028</v>
      </c>
      <c r="G16" s="21" t="s">
        <v>341</v>
      </c>
      <c r="H16" s="19" t="s">
        <v>6665</v>
      </c>
    </row>
    <row r="17" spans="1:13" ht="15.75" x14ac:dyDescent="0.25">
      <c r="A17" s="19">
        <f t="shared" si="0"/>
        <v>15</v>
      </c>
      <c r="B17" s="19" t="s">
        <v>8150</v>
      </c>
      <c r="C17" s="19">
        <v>9906730950</v>
      </c>
      <c r="D17" s="19" t="s">
        <v>8151</v>
      </c>
      <c r="E17" s="19" t="s">
        <v>7998</v>
      </c>
      <c r="F17" s="21"/>
      <c r="G17" s="21"/>
      <c r="H17" s="19"/>
    </row>
    <row r="18" spans="1:13" ht="15.75" x14ac:dyDescent="0.25">
      <c r="A18" s="19">
        <f t="shared" si="0"/>
        <v>16</v>
      </c>
      <c r="B18" s="19" t="s">
        <v>8162</v>
      </c>
      <c r="C18" s="19">
        <v>7006441266</v>
      </c>
      <c r="D18" s="19" t="s">
        <v>8163</v>
      </c>
      <c r="E18" s="19" t="s">
        <v>8012</v>
      </c>
      <c r="F18" s="21"/>
      <c r="G18" s="21"/>
      <c r="H18" s="19"/>
    </row>
    <row r="19" spans="1:13" ht="15.75" x14ac:dyDescent="0.25">
      <c r="A19" s="19">
        <f t="shared" si="0"/>
        <v>17</v>
      </c>
      <c r="B19" s="19" t="s">
        <v>6675</v>
      </c>
      <c r="C19" s="19">
        <v>6005348991</v>
      </c>
      <c r="D19" s="19" t="s">
        <v>6663</v>
      </c>
      <c r="E19" s="19" t="s">
        <v>6664</v>
      </c>
      <c r="F19" s="21">
        <v>45988.500694444447</v>
      </c>
      <c r="G19" s="19" t="s">
        <v>398</v>
      </c>
      <c r="H19" s="19" t="s">
        <v>6665</v>
      </c>
    </row>
    <row r="20" spans="1:13" ht="15.75" x14ac:dyDescent="0.25">
      <c r="A20" s="19">
        <f t="shared" si="0"/>
        <v>18</v>
      </c>
      <c r="B20" s="19" t="s">
        <v>6676</v>
      </c>
      <c r="C20" s="19">
        <v>9149776065</v>
      </c>
      <c r="D20" s="19" t="s">
        <v>6666</v>
      </c>
      <c r="E20" s="19" t="s">
        <v>6646</v>
      </c>
      <c r="F20" s="21">
        <v>45988</v>
      </c>
      <c r="G20" s="21" t="s">
        <v>341</v>
      </c>
      <c r="H20" s="19" t="s">
        <v>6665</v>
      </c>
    </row>
    <row r="21" spans="1:13" ht="15.75" x14ac:dyDescent="0.25">
      <c r="A21" s="19">
        <f t="shared" si="0"/>
        <v>19</v>
      </c>
      <c r="B21" s="19" t="s">
        <v>6678</v>
      </c>
      <c r="C21" s="19">
        <v>9541678338</v>
      </c>
      <c r="D21" s="19" t="s">
        <v>6667</v>
      </c>
      <c r="E21" s="19" t="s">
        <v>6647</v>
      </c>
      <c r="F21" s="21">
        <v>45988</v>
      </c>
      <c r="G21" s="21" t="s">
        <v>341</v>
      </c>
      <c r="H21" s="19" t="s">
        <v>6665</v>
      </c>
      <c r="L21" s="34"/>
      <c r="M21" s="34"/>
    </row>
    <row r="22" spans="1:13" ht="15.75" x14ac:dyDescent="0.25">
      <c r="A22" s="19">
        <f t="shared" si="0"/>
        <v>20</v>
      </c>
      <c r="B22" s="19" t="s">
        <v>6677</v>
      </c>
      <c r="C22" s="19">
        <v>7889419489</v>
      </c>
      <c r="D22" s="19" t="s">
        <v>6672</v>
      </c>
      <c r="E22" s="19" t="s">
        <v>6635</v>
      </c>
      <c r="F22" s="21">
        <v>45988</v>
      </c>
      <c r="G22" s="21" t="s">
        <v>341</v>
      </c>
      <c r="H22" s="19" t="s">
        <v>6665</v>
      </c>
      <c r="L22" s="33"/>
      <c r="M22" s="33"/>
    </row>
    <row r="23" spans="1:13" ht="15.75" x14ac:dyDescent="0.25">
      <c r="A23" s="19">
        <f t="shared" si="0"/>
        <v>21</v>
      </c>
      <c r="B23" s="43" t="s">
        <v>6673</v>
      </c>
      <c r="C23" s="43">
        <v>8492026116</v>
      </c>
      <c r="D23" s="43" t="s">
        <v>6674</v>
      </c>
      <c r="E23" s="43" t="s">
        <v>6648</v>
      </c>
      <c r="F23" s="21">
        <v>45988</v>
      </c>
      <c r="G23" s="21" t="s">
        <v>341</v>
      </c>
      <c r="H23" s="19" t="s">
        <v>6665</v>
      </c>
    </row>
    <row r="24" spans="1:13" ht="15.75" x14ac:dyDescent="0.25">
      <c r="A24" s="19">
        <f t="shared" si="0"/>
        <v>22</v>
      </c>
      <c r="B24" s="43" t="s">
        <v>6612</v>
      </c>
      <c r="C24" s="43">
        <v>9906619090</v>
      </c>
      <c r="D24" s="43" t="s">
        <v>6693</v>
      </c>
      <c r="E24" s="43" t="s">
        <v>6613</v>
      </c>
      <c r="F24" s="21">
        <v>45989</v>
      </c>
      <c r="G24" s="21" t="s">
        <v>341</v>
      </c>
      <c r="H24" s="19" t="s">
        <v>6665</v>
      </c>
    </row>
    <row r="25" spans="1:13" ht="15.75" x14ac:dyDescent="0.25">
      <c r="A25" s="19">
        <f t="shared" si="0"/>
        <v>23</v>
      </c>
      <c r="B25" s="43" t="s">
        <v>1627</v>
      </c>
      <c r="C25" s="43">
        <v>8803773117</v>
      </c>
      <c r="D25" s="43" t="s">
        <v>6700</v>
      </c>
      <c r="E25" s="43" t="s">
        <v>6699</v>
      </c>
      <c r="F25" s="21">
        <v>45990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6595</v>
      </c>
      <c r="C26" s="43">
        <v>7006164327</v>
      </c>
      <c r="D26" s="43" t="s">
        <v>6706</v>
      </c>
      <c r="E26" s="43" t="s">
        <v>6601</v>
      </c>
      <c r="F26" s="21">
        <v>45990</v>
      </c>
      <c r="G26" s="21" t="s">
        <v>342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6705</v>
      </c>
      <c r="C27" s="43">
        <v>8825050044</v>
      </c>
      <c r="D27" s="43" t="s">
        <v>6707</v>
      </c>
      <c r="E27" s="43" t="s">
        <v>6602</v>
      </c>
      <c r="F27" s="21">
        <v>45990</v>
      </c>
      <c r="G27" s="21" t="s">
        <v>342</v>
      </c>
      <c r="H27" s="21" t="s">
        <v>6665</v>
      </c>
    </row>
    <row r="28" spans="1:13" ht="15.75" x14ac:dyDescent="0.25">
      <c r="A28" s="19">
        <f t="shared" si="0"/>
        <v>26</v>
      </c>
      <c r="B28" s="43" t="s">
        <v>6579</v>
      </c>
      <c r="C28" s="43">
        <v>8825052137</v>
      </c>
      <c r="D28" s="43" t="s">
        <v>6709</v>
      </c>
      <c r="E28" s="43" t="s">
        <v>6583</v>
      </c>
      <c r="F28" s="21">
        <v>45992</v>
      </c>
      <c r="G28" s="21" t="s">
        <v>342</v>
      </c>
      <c r="H28" s="21" t="s">
        <v>6665</v>
      </c>
    </row>
    <row r="29" spans="1:13" ht="15.75" x14ac:dyDescent="0.25">
      <c r="A29" s="19">
        <f t="shared" si="0"/>
        <v>27</v>
      </c>
      <c r="B29" s="43" t="s">
        <v>6563</v>
      </c>
      <c r="C29" s="43">
        <v>9906463872</v>
      </c>
      <c r="D29" s="43" t="s">
        <v>6708</v>
      </c>
      <c r="E29" s="43" t="s">
        <v>6566</v>
      </c>
      <c r="F29" s="21">
        <v>45990</v>
      </c>
      <c r="G29" s="21" t="s">
        <v>342</v>
      </c>
      <c r="H29" s="21" t="s">
        <v>6665</v>
      </c>
    </row>
    <row r="30" spans="1:13" ht="15.75" x14ac:dyDescent="0.25">
      <c r="A30" s="19">
        <f t="shared" si="0"/>
        <v>28</v>
      </c>
      <c r="B30" s="43" t="s">
        <v>6703</v>
      </c>
      <c r="C30" s="43">
        <v>9682522876</v>
      </c>
      <c r="D30" s="43" t="s">
        <v>6714</v>
      </c>
      <c r="E30" s="43" t="s">
        <v>6715</v>
      </c>
      <c r="F30" s="21">
        <v>45992</v>
      </c>
      <c r="G30" s="21" t="s">
        <v>341</v>
      </c>
      <c r="H30" s="21" t="s">
        <v>6665</v>
      </c>
    </row>
    <row r="31" spans="1:13" ht="15.75" x14ac:dyDescent="0.25">
      <c r="A31" s="19">
        <f t="shared" si="0"/>
        <v>29</v>
      </c>
      <c r="B31" s="43" t="s">
        <v>6712</v>
      </c>
      <c r="C31" s="43">
        <v>9796997678</v>
      </c>
      <c r="D31" s="43" t="s">
        <v>6713</v>
      </c>
      <c r="E31" s="43" t="s">
        <v>4845</v>
      </c>
      <c r="F31" s="21">
        <v>45994</v>
      </c>
      <c r="G31" s="21" t="s">
        <v>341</v>
      </c>
      <c r="H31" s="21" t="s">
        <v>6665</v>
      </c>
    </row>
    <row r="32" spans="1:13" ht="15.75" x14ac:dyDescent="0.25">
      <c r="A32" s="19">
        <f t="shared" si="0"/>
        <v>30</v>
      </c>
      <c r="B32" s="43" t="s">
        <v>6725</v>
      </c>
      <c r="C32" s="43">
        <v>6005447751</v>
      </c>
      <c r="D32" s="43" t="s">
        <v>6726</v>
      </c>
      <c r="E32" s="43" t="s">
        <v>6455</v>
      </c>
      <c r="F32" s="21">
        <v>45994</v>
      </c>
      <c r="G32" s="21" t="s">
        <v>342</v>
      </c>
      <c r="H32" s="21" t="s">
        <v>6665</v>
      </c>
    </row>
    <row r="33" spans="1:14" ht="15.75" x14ac:dyDescent="0.25">
      <c r="A33" s="19">
        <f t="shared" si="0"/>
        <v>31</v>
      </c>
      <c r="B33" s="43" t="s">
        <v>4399</v>
      </c>
      <c r="C33" s="43">
        <v>9622609564</v>
      </c>
      <c r="D33" s="43" t="s">
        <v>6747</v>
      </c>
      <c r="E33" s="43" t="s">
        <v>6728</v>
      </c>
      <c r="F33" s="21">
        <v>45994</v>
      </c>
      <c r="G33" s="21" t="s">
        <v>341</v>
      </c>
      <c r="H33" s="21" t="s">
        <v>6665</v>
      </c>
    </row>
    <row r="34" spans="1:14" ht="15.75" x14ac:dyDescent="0.25">
      <c r="A34" s="19">
        <f t="shared" si="0"/>
        <v>32</v>
      </c>
      <c r="B34" s="43" t="s">
        <v>6737</v>
      </c>
      <c r="C34" s="43">
        <v>9906892680</v>
      </c>
      <c r="D34" s="43" t="s">
        <v>6745</v>
      </c>
      <c r="E34" s="43" t="s">
        <v>6734</v>
      </c>
      <c r="F34" s="21">
        <v>45994</v>
      </c>
      <c r="G34" s="21" t="s">
        <v>341</v>
      </c>
      <c r="H34" s="21" t="s">
        <v>6665</v>
      </c>
    </row>
    <row r="35" spans="1:14" ht="15.75" x14ac:dyDescent="0.25">
      <c r="A35" s="19">
        <f t="shared" si="0"/>
        <v>33</v>
      </c>
      <c r="B35" s="43" t="s">
        <v>6730</v>
      </c>
      <c r="C35" s="43">
        <v>9622839355</v>
      </c>
      <c r="D35" s="43" t="s">
        <v>6744</v>
      </c>
      <c r="E35" s="43" t="s">
        <v>6741</v>
      </c>
      <c r="F35" s="21">
        <v>45994</v>
      </c>
      <c r="G35" s="21" t="s">
        <v>341</v>
      </c>
      <c r="H35" s="21" t="s">
        <v>6665</v>
      </c>
    </row>
    <row r="36" spans="1:14" ht="15.75" x14ac:dyDescent="0.25">
      <c r="A36" s="19">
        <f t="shared" si="0"/>
        <v>34</v>
      </c>
      <c r="B36" s="43" t="s">
        <v>6626</v>
      </c>
      <c r="C36" s="43">
        <v>9906454751</v>
      </c>
      <c r="D36" s="43" t="s">
        <v>6746</v>
      </c>
      <c r="E36" s="43" t="s">
        <v>6740</v>
      </c>
      <c r="F36" s="21">
        <v>45994</v>
      </c>
      <c r="G36" s="21" t="s">
        <v>341</v>
      </c>
      <c r="H36" s="21" t="s">
        <v>6665</v>
      </c>
    </row>
    <row r="37" spans="1:14" ht="15.75" x14ac:dyDescent="0.25">
      <c r="A37" s="19">
        <f t="shared" si="0"/>
        <v>35</v>
      </c>
      <c r="B37" s="43" t="s">
        <v>6776</v>
      </c>
      <c r="C37" s="43">
        <v>7780824558</v>
      </c>
      <c r="D37" s="43" t="s">
        <v>6777</v>
      </c>
      <c r="E37" s="43" t="s">
        <v>6763</v>
      </c>
      <c r="F37" s="21">
        <v>45995</v>
      </c>
      <c r="G37" s="21" t="s">
        <v>342</v>
      </c>
      <c r="H37" s="19" t="s">
        <v>6665</v>
      </c>
    </row>
    <row r="38" spans="1:14" ht="15.75" x14ac:dyDescent="0.25">
      <c r="A38" s="19">
        <f t="shared" si="0"/>
        <v>36</v>
      </c>
      <c r="B38" s="43" t="s">
        <v>6755</v>
      </c>
      <c r="C38" s="43">
        <v>8899778092</v>
      </c>
      <c r="D38" s="43" t="s">
        <v>6775</v>
      </c>
      <c r="E38" s="43" t="s">
        <v>6762</v>
      </c>
      <c r="F38" s="21">
        <v>45995</v>
      </c>
      <c r="G38" s="21" t="s">
        <v>358</v>
      </c>
      <c r="H38" s="19" t="s">
        <v>6665</v>
      </c>
    </row>
    <row r="39" spans="1:14" ht="15.75" x14ac:dyDescent="0.25">
      <c r="A39" s="19">
        <f t="shared" si="0"/>
        <v>37</v>
      </c>
      <c r="B39" s="43" t="s">
        <v>6778</v>
      </c>
      <c r="C39" s="43">
        <v>9906337730</v>
      </c>
      <c r="D39" s="43" t="s">
        <v>6779</v>
      </c>
      <c r="E39" s="43" t="s">
        <v>6764</v>
      </c>
      <c r="F39" s="21">
        <v>45995</v>
      </c>
      <c r="G39" s="21" t="s">
        <v>341</v>
      </c>
      <c r="H39" s="19" t="s">
        <v>6665</v>
      </c>
    </row>
    <row r="40" spans="1:14" ht="15.75" x14ac:dyDescent="0.25">
      <c r="A40" s="19">
        <f t="shared" si="0"/>
        <v>38</v>
      </c>
      <c r="B40" s="43" t="s">
        <v>6768</v>
      </c>
      <c r="C40" s="43">
        <v>9606595001</v>
      </c>
      <c r="D40" s="43" t="s">
        <v>6780</v>
      </c>
      <c r="E40" s="43" t="s">
        <v>6769</v>
      </c>
      <c r="F40" s="21">
        <v>45995</v>
      </c>
      <c r="G40" s="21" t="s">
        <v>341</v>
      </c>
      <c r="H40" s="19" t="s">
        <v>6665</v>
      </c>
    </row>
    <row r="41" spans="1:14" ht="15.75" x14ac:dyDescent="0.25">
      <c r="A41" s="19">
        <f t="shared" si="0"/>
        <v>39</v>
      </c>
      <c r="B41" s="43" t="s">
        <v>6791</v>
      </c>
      <c r="C41" s="43">
        <v>7006748463</v>
      </c>
      <c r="D41" s="43" t="s">
        <v>6795</v>
      </c>
      <c r="E41" s="43" t="s">
        <v>6794</v>
      </c>
      <c r="F41" s="21">
        <v>45996</v>
      </c>
      <c r="G41" s="21" t="s">
        <v>341</v>
      </c>
      <c r="H41" s="19" t="s">
        <v>6665</v>
      </c>
    </row>
    <row r="42" spans="1:14" ht="15.75" x14ac:dyDescent="0.25">
      <c r="A42" s="19">
        <f t="shared" si="0"/>
        <v>40</v>
      </c>
      <c r="B42" s="43" t="s">
        <v>3590</v>
      </c>
      <c r="C42" s="43">
        <v>9797971835</v>
      </c>
      <c r="D42" s="43" t="s">
        <v>6796</v>
      </c>
      <c r="E42" s="43" t="s">
        <v>6788</v>
      </c>
      <c r="F42" s="21">
        <v>45996</v>
      </c>
      <c r="G42" s="21" t="s">
        <v>341</v>
      </c>
      <c r="H42" s="19" t="s">
        <v>6665</v>
      </c>
    </row>
    <row r="43" spans="1:14" ht="15.75" x14ac:dyDescent="0.25">
      <c r="A43" s="19">
        <f t="shared" si="0"/>
        <v>41</v>
      </c>
      <c r="B43" s="43" t="s">
        <v>6803</v>
      </c>
      <c r="C43" s="43">
        <v>7006009589</v>
      </c>
      <c r="D43" s="43" t="s">
        <v>6836</v>
      </c>
      <c r="E43" s="43" t="s">
        <v>6820</v>
      </c>
      <c r="F43" s="21">
        <v>45999</v>
      </c>
      <c r="G43" s="21" t="s">
        <v>341</v>
      </c>
      <c r="H43" s="19" t="s">
        <v>6665</v>
      </c>
      <c r="I43" s="34"/>
      <c r="J43" s="34"/>
      <c r="K43" s="34"/>
      <c r="L43" s="34"/>
      <c r="M43" s="34"/>
      <c r="N43" s="33"/>
    </row>
    <row r="44" spans="1:14" ht="15.75" x14ac:dyDescent="0.25">
      <c r="A44" s="19">
        <f t="shared" si="0"/>
        <v>42</v>
      </c>
      <c r="B44" s="43" t="s">
        <v>6828</v>
      </c>
      <c r="C44" s="43">
        <v>7006154383</v>
      </c>
      <c r="D44" s="43" t="s">
        <v>6879</v>
      </c>
      <c r="E44" s="43" t="s">
        <v>6841</v>
      </c>
      <c r="F44" s="21">
        <v>45999</v>
      </c>
      <c r="G44" s="21" t="s">
        <v>341</v>
      </c>
      <c r="H44" s="19" t="s">
        <v>6665</v>
      </c>
      <c r="I44" s="45"/>
      <c r="J44" s="46"/>
      <c r="K44" s="45"/>
      <c r="L44" s="45"/>
      <c r="M44" s="45"/>
    </row>
    <row r="45" spans="1:14" ht="15.75" x14ac:dyDescent="0.25">
      <c r="A45" s="19">
        <f t="shared" si="0"/>
        <v>43</v>
      </c>
      <c r="B45" s="43" t="s">
        <v>6816</v>
      </c>
      <c r="C45" s="43">
        <v>8493043123</v>
      </c>
      <c r="D45" s="43" t="s">
        <v>6878</v>
      </c>
      <c r="E45" s="43" t="s">
        <v>6821</v>
      </c>
      <c r="F45" s="21">
        <v>45999</v>
      </c>
      <c r="G45" s="21" t="s">
        <v>341</v>
      </c>
      <c r="H45" s="19" t="s">
        <v>6665</v>
      </c>
      <c r="I45" s="33"/>
      <c r="J45" s="33"/>
      <c r="K45" s="33"/>
      <c r="L45" s="33"/>
      <c r="M45" s="33"/>
    </row>
    <row r="46" spans="1:14" ht="15.75" x14ac:dyDescent="0.25">
      <c r="A46" s="19">
        <f t="shared" si="0"/>
        <v>44</v>
      </c>
      <c r="B46" s="43" t="s">
        <v>6886</v>
      </c>
      <c r="C46" s="43">
        <v>9149984428</v>
      </c>
      <c r="D46" s="43" t="s">
        <v>6887</v>
      </c>
      <c r="E46" s="43" t="s">
        <v>6888</v>
      </c>
      <c r="F46" s="21">
        <v>45999</v>
      </c>
      <c r="G46" s="21" t="s">
        <v>341</v>
      </c>
      <c r="H46" s="19" t="s">
        <v>8249</v>
      </c>
    </row>
    <row r="47" spans="1:14" ht="15.75" x14ac:dyDescent="0.25">
      <c r="A47" s="19">
        <f t="shared" si="0"/>
        <v>45</v>
      </c>
      <c r="B47" s="43" t="s">
        <v>6831</v>
      </c>
      <c r="C47" s="43">
        <v>9797004941</v>
      </c>
      <c r="D47" s="43" t="s">
        <v>6889</v>
      </c>
      <c r="E47" s="43" t="s">
        <v>6848</v>
      </c>
      <c r="F47" s="21">
        <v>45999</v>
      </c>
      <c r="G47" s="21" t="s">
        <v>341</v>
      </c>
      <c r="H47" s="19" t="s">
        <v>6665</v>
      </c>
    </row>
    <row r="48" spans="1:14" ht="15.75" x14ac:dyDescent="0.25">
      <c r="A48" s="19">
        <f t="shared" si="0"/>
        <v>46</v>
      </c>
      <c r="B48" s="43" t="s">
        <v>6528</v>
      </c>
      <c r="C48" s="43">
        <v>7006565560</v>
      </c>
      <c r="D48" s="43" t="s">
        <v>6935</v>
      </c>
      <c r="E48" s="43" t="s">
        <v>6533</v>
      </c>
      <c r="F48" s="21">
        <v>46000</v>
      </c>
      <c r="G48" s="21" t="s">
        <v>341</v>
      </c>
      <c r="H48" s="19" t="s">
        <v>6665</v>
      </c>
    </row>
    <row r="49" spans="1:8" ht="15.75" x14ac:dyDescent="0.25">
      <c r="A49" s="19">
        <f t="shared" si="0"/>
        <v>47</v>
      </c>
      <c r="B49" s="43" t="s">
        <v>6897</v>
      </c>
      <c r="C49" s="43">
        <v>9906488569</v>
      </c>
      <c r="D49" s="43" t="s">
        <v>6946</v>
      </c>
      <c r="E49" s="43" t="s">
        <v>6898</v>
      </c>
      <c r="F49" s="21">
        <v>46000</v>
      </c>
      <c r="G49" s="21" t="s">
        <v>341</v>
      </c>
      <c r="H49" s="19" t="s">
        <v>6665</v>
      </c>
    </row>
    <row r="50" spans="1:8" ht="15.75" x14ac:dyDescent="0.25">
      <c r="A50" s="19">
        <f t="shared" si="0"/>
        <v>48</v>
      </c>
      <c r="B50" s="43" t="s">
        <v>4930</v>
      </c>
      <c r="C50" s="43">
        <v>9622687856</v>
      </c>
      <c r="D50" s="43" t="s">
        <v>6948</v>
      </c>
      <c r="E50" s="43" t="s">
        <v>6940</v>
      </c>
      <c r="F50" s="21">
        <v>46000</v>
      </c>
      <c r="G50" s="21" t="s">
        <v>341</v>
      </c>
      <c r="H50" s="19" t="s">
        <v>6665</v>
      </c>
    </row>
    <row r="51" spans="1:8" ht="15.75" x14ac:dyDescent="0.25">
      <c r="A51" s="19">
        <f t="shared" si="0"/>
        <v>49</v>
      </c>
      <c r="B51" s="43" t="s">
        <v>6931</v>
      </c>
      <c r="C51" s="43">
        <v>9419052455</v>
      </c>
      <c r="D51" s="43" t="s">
        <v>6949</v>
      </c>
      <c r="E51" s="43" t="s">
        <v>6936</v>
      </c>
      <c r="F51" s="21">
        <v>46000</v>
      </c>
      <c r="G51" s="21" t="s">
        <v>341</v>
      </c>
      <c r="H51" s="19" t="s">
        <v>6665</v>
      </c>
    </row>
    <row r="52" spans="1:8" ht="15.75" x14ac:dyDescent="0.25">
      <c r="A52" s="19">
        <f t="shared" si="0"/>
        <v>50</v>
      </c>
      <c r="B52" s="43" t="s">
        <v>6839</v>
      </c>
      <c r="C52" s="43">
        <v>9682362746</v>
      </c>
      <c r="D52" s="43" t="s">
        <v>6956</v>
      </c>
      <c r="E52" s="43" t="s">
        <v>6847</v>
      </c>
      <c r="F52" s="21">
        <v>46001</v>
      </c>
      <c r="G52" s="21" t="s">
        <v>341</v>
      </c>
      <c r="H52" s="19" t="s">
        <v>6665</v>
      </c>
    </row>
    <row r="53" spans="1:8" ht="15.75" x14ac:dyDescent="0.25">
      <c r="A53" s="19">
        <f t="shared" si="0"/>
        <v>51</v>
      </c>
      <c r="B53" s="43" t="s">
        <v>6957</v>
      </c>
      <c r="C53" s="43">
        <v>7889471670</v>
      </c>
      <c r="D53" s="43" t="s">
        <v>6958</v>
      </c>
      <c r="E53" s="43" t="s">
        <v>6945</v>
      </c>
      <c r="F53" s="21">
        <v>46001</v>
      </c>
      <c r="G53" s="21" t="s">
        <v>341</v>
      </c>
      <c r="H53" s="19" t="s">
        <v>6665</v>
      </c>
    </row>
    <row r="54" spans="1:8" ht="15.75" x14ac:dyDescent="0.25">
      <c r="A54" s="19">
        <f t="shared" si="0"/>
        <v>52</v>
      </c>
      <c r="B54" s="43" t="s">
        <v>6965</v>
      </c>
      <c r="C54" s="43">
        <v>7889467793</v>
      </c>
      <c r="D54" s="43" t="s">
        <v>6977</v>
      </c>
      <c r="E54" s="43" t="s">
        <v>6973</v>
      </c>
      <c r="F54" s="21">
        <v>46001</v>
      </c>
      <c r="G54" s="21" t="s">
        <v>341</v>
      </c>
      <c r="H54" s="19" t="s">
        <v>6665</v>
      </c>
    </row>
    <row r="55" spans="1:8" ht="15.75" x14ac:dyDescent="0.25">
      <c r="A55" s="19">
        <f t="shared" si="0"/>
        <v>53</v>
      </c>
      <c r="B55" s="43" t="s">
        <v>3089</v>
      </c>
      <c r="C55" s="43">
        <v>9419381680</v>
      </c>
      <c r="D55" s="43" t="s">
        <v>6976</v>
      </c>
      <c r="E55" s="43" t="s">
        <v>6972</v>
      </c>
      <c r="F55" s="21">
        <v>46001</v>
      </c>
      <c r="G55" s="21" t="s">
        <v>341</v>
      </c>
      <c r="H55" s="19" t="s">
        <v>6665</v>
      </c>
    </row>
    <row r="56" spans="1:8" ht="15.75" x14ac:dyDescent="0.25">
      <c r="A56" s="19">
        <f t="shared" si="0"/>
        <v>54</v>
      </c>
      <c r="B56" s="43" t="s">
        <v>6961</v>
      </c>
      <c r="C56" s="43">
        <v>9103172002</v>
      </c>
      <c r="D56" s="43" t="s">
        <v>6975</v>
      </c>
      <c r="E56" s="43" t="s">
        <v>6971</v>
      </c>
      <c r="F56" s="21">
        <v>46001</v>
      </c>
      <c r="G56" s="21" t="s">
        <v>341</v>
      </c>
      <c r="H56" s="19" t="s">
        <v>6665</v>
      </c>
    </row>
    <row r="57" spans="1:8" ht="15.75" x14ac:dyDescent="0.25">
      <c r="A57" s="19">
        <f t="shared" si="0"/>
        <v>55</v>
      </c>
      <c r="B57" s="43" t="s">
        <v>6980</v>
      </c>
      <c r="C57" s="43">
        <v>9797126573</v>
      </c>
      <c r="D57" s="43" t="s">
        <v>6990</v>
      </c>
      <c r="E57" s="43" t="s">
        <v>6984</v>
      </c>
      <c r="F57" s="21">
        <v>46001</v>
      </c>
      <c r="G57" s="21" t="s">
        <v>341</v>
      </c>
      <c r="H57" s="19" t="s">
        <v>6665</v>
      </c>
    </row>
    <row r="58" spans="1:8" ht="15.75" x14ac:dyDescent="0.25">
      <c r="A58" s="19">
        <f t="shared" si="0"/>
        <v>56</v>
      </c>
      <c r="B58" s="43" t="s">
        <v>7029</v>
      </c>
      <c r="C58" s="43">
        <v>8082636745</v>
      </c>
      <c r="D58" s="43" t="s">
        <v>7033</v>
      </c>
      <c r="E58" s="43" t="s">
        <v>7027</v>
      </c>
      <c r="F58" s="21">
        <v>46003</v>
      </c>
      <c r="G58" s="21" t="s">
        <v>341</v>
      </c>
      <c r="H58" s="19" t="s">
        <v>6665</v>
      </c>
    </row>
    <row r="59" spans="1:8" ht="15.75" x14ac:dyDescent="0.25">
      <c r="A59" s="19">
        <f t="shared" si="0"/>
        <v>57</v>
      </c>
      <c r="B59" s="43" t="s">
        <v>7028</v>
      </c>
      <c r="C59" s="43">
        <v>9541537572</v>
      </c>
      <c r="D59" s="43" t="s">
        <v>7032</v>
      </c>
      <c r="E59" s="43" t="s">
        <v>7008</v>
      </c>
      <c r="F59" s="21">
        <v>46003</v>
      </c>
      <c r="G59" s="21" t="s">
        <v>341</v>
      </c>
      <c r="H59" s="19" t="s">
        <v>6665</v>
      </c>
    </row>
    <row r="60" spans="1:8" ht="15.75" x14ac:dyDescent="0.25">
      <c r="A60" s="19">
        <f t="shared" si="0"/>
        <v>58</v>
      </c>
      <c r="B60" s="43" t="s">
        <v>4399</v>
      </c>
      <c r="C60" s="43">
        <v>6006763182</v>
      </c>
      <c r="D60" s="43" t="s">
        <v>7031</v>
      </c>
      <c r="E60" s="43" t="s">
        <v>7025</v>
      </c>
      <c r="F60" s="21">
        <v>46003</v>
      </c>
      <c r="G60" s="21" t="s">
        <v>341</v>
      </c>
      <c r="H60" s="19" t="s">
        <v>6665</v>
      </c>
    </row>
    <row r="61" spans="1:8" ht="15.75" x14ac:dyDescent="0.25">
      <c r="A61" s="19">
        <f t="shared" si="0"/>
        <v>59</v>
      </c>
      <c r="B61" s="43" t="s">
        <v>7003</v>
      </c>
      <c r="C61" s="43">
        <v>9149852485</v>
      </c>
      <c r="D61" s="43" t="s">
        <v>7030</v>
      </c>
      <c r="E61" s="43" t="s">
        <v>7026</v>
      </c>
      <c r="F61" s="21">
        <v>46003</v>
      </c>
      <c r="G61" s="21" t="s">
        <v>341</v>
      </c>
      <c r="H61" s="19" t="s">
        <v>6665</v>
      </c>
    </row>
    <row r="62" spans="1:8" ht="15.75" x14ac:dyDescent="0.25">
      <c r="A62" s="19">
        <f t="shared" si="0"/>
        <v>60</v>
      </c>
      <c r="B62" s="43" t="s">
        <v>7035</v>
      </c>
      <c r="C62" s="43">
        <v>9469001234</v>
      </c>
      <c r="D62" s="43" t="s">
        <v>7036</v>
      </c>
      <c r="E62" s="43" t="s">
        <v>7037</v>
      </c>
      <c r="F62" s="21">
        <v>46003</v>
      </c>
      <c r="G62" s="21" t="s">
        <v>341</v>
      </c>
      <c r="H62" s="19" t="s">
        <v>6665</v>
      </c>
    </row>
    <row r="63" spans="1:8" ht="15.75" x14ac:dyDescent="0.25">
      <c r="A63" s="19">
        <f t="shared" si="0"/>
        <v>61</v>
      </c>
      <c r="B63" s="43" t="s">
        <v>7046</v>
      </c>
      <c r="C63" s="43">
        <v>9622901567</v>
      </c>
      <c r="D63" s="43" t="s">
        <v>7077</v>
      </c>
      <c r="E63" s="43" t="s">
        <v>7064</v>
      </c>
      <c r="F63" s="21">
        <v>46003</v>
      </c>
      <c r="G63" s="21" t="s">
        <v>341</v>
      </c>
      <c r="H63" s="19" t="s">
        <v>6665</v>
      </c>
    </row>
    <row r="64" spans="1:8" ht="15.75" x14ac:dyDescent="0.25">
      <c r="A64" s="19">
        <f t="shared" si="0"/>
        <v>62</v>
      </c>
      <c r="B64" s="43" t="s">
        <v>7078</v>
      </c>
      <c r="C64" s="43">
        <v>9419015767</v>
      </c>
      <c r="D64" s="43" t="s">
        <v>7079</v>
      </c>
      <c r="E64" s="43" t="s">
        <v>7062</v>
      </c>
      <c r="F64" s="21">
        <v>46003</v>
      </c>
      <c r="G64" s="21" t="s">
        <v>341</v>
      </c>
      <c r="H64" s="19" t="s">
        <v>6665</v>
      </c>
    </row>
    <row r="65" spans="1:8" ht="15.75" x14ac:dyDescent="0.25">
      <c r="A65" s="19">
        <f t="shared" si="0"/>
        <v>63</v>
      </c>
      <c r="B65" s="43" t="s">
        <v>7080</v>
      </c>
      <c r="C65" s="43">
        <v>9419705595</v>
      </c>
      <c r="D65" s="43" t="s">
        <v>7081</v>
      </c>
      <c r="E65" s="43" t="s">
        <v>7074</v>
      </c>
      <c r="F65" s="21">
        <v>46003</v>
      </c>
      <c r="G65" s="21" t="s">
        <v>341</v>
      </c>
      <c r="H65" s="19" t="s">
        <v>6665</v>
      </c>
    </row>
    <row r="66" spans="1:8" ht="15.75" x14ac:dyDescent="0.25">
      <c r="A66" s="19">
        <f t="shared" si="0"/>
        <v>64</v>
      </c>
      <c r="B66" s="43" t="s">
        <v>7060</v>
      </c>
      <c r="C66" s="43">
        <v>9682101195</v>
      </c>
      <c r="D66" s="43" t="s">
        <v>7082</v>
      </c>
      <c r="E66" s="43" t="s">
        <v>7075</v>
      </c>
      <c r="F66" s="21">
        <v>46003</v>
      </c>
      <c r="G66" s="21" t="s">
        <v>341</v>
      </c>
      <c r="H66" s="19" t="s">
        <v>6665</v>
      </c>
    </row>
    <row r="67" spans="1:8" ht="15.75" x14ac:dyDescent="0.25">
      <c r="A67" s="19">
        <f t="shared" si="0"/>
        <v>65</v>
      </c>
      <c r="B67" s="43" t="s">
        <v>173</v>
      </c>
      <c r="C67" s="43">
        <v>9469888011</v>
      </c>
      <c r="D67" s="43" t="s">
        <v>7086</v>
      </c>
      <c r="E67" s="43" t="s">
        <v>178</v>
      </c>
      <c r="F67" s="21">
        <v>46004</v>
      </c>
      <c r="G67" s="21" t="s">
        <v>341</v>
      </c>
      <c r="H67" s="19" t="s">
        <v>6665</v>
      </c>
    </row>
    <row r="68" spans="1:8" ht="15.75" x14ac:dyDescent="0.25">
      <c r="A68" s="19">
        <f t="shared" ref="A68:A131" si="1">ROW()-2</f>
        <v>66</v>
      </c>
      <c r="B68" s="43" t="s">
        <v>1971</v>
      </c>
      <c r="C68" s="43">
        <v>9797764631</v>
      </c>
      <c r="D68" s="43" t="s">
        <v>7087</v>
      </c>
      <c r="E68" s="43" t="s">
        <v>1972</v>
      </c>
      <c r="F68" s="21">
        <v>46004</v>
      </c>
      <c r="G68" s="21" t="s">
        <v>341</v>
      </c>
      <c r="H68" s="19" t="s">
        <v>6665</v>
      </c>
    </row>
    <row r="69" spans="1:8" ht="15.75" x14ac:dyDescent="0.25">
      <c r="A69" s="19">
        <f t="shared" si="1"/>
        <v>67</v>
      </c>
      <c r="B69" s="43" t="s">
        <v>7092</v>
      </c>
      <c r="C69" s="43">
        <v>7006296665</v>
      </c>
      <c r="D69" s="43" t="s">
        <v>7110</v>
      </c>
      <c r="E69" s="43" t="s">
        <v>7093</v>
      </c>
      <c r="F69" s="21">
        <v>46004</v>
      </c>
      <c r="G69" s="21" t="s">
        <v>341</v>
      </c>
      <c r="H69" s="19" t="s">
        <v>6665</v>
      </c>
    </row>
    <row r="70" spans="1:8" ht="15.75" x14ac:dyDescent="0.25">
      <c r="A70" s="19">
        <f t="shared" si="1"/>
        <v>68</v>
      </c>
      <c r="B70" s="43" t="s">
        <v>7101</v>
      </c>
      <c r="C70" s="43">
        <v>7006224132</v>
      </c>
      <c r="D70" s="43" t="s">
        <v>7109</v>
      </c>
      <c r="E70" s="43" t="s">
        <v>7108</v>
      </c>
      <c r="F70" s="21">
        <v>46004</v>
      </c>
      <c r="G70" s="21" t="s">
        <v>341</v>
      </c>
      <c r="H70" s="19" t="s">
        <v>6665</v>
      </c>
    </row>
    <row r="71" spans="1:8" ht="15.75" x14ac:dyDescent="0.25">
      <c r="A71" s="19">
        <f t="shared" si="1"/>
        <v>69</v>
      </c>
      <c r="B71" s="43" t="s">
        <v>6096</v>
      </c>
      <c r="C71" s="43">
        <v>7006205953</v>
      </c>
      <c r="D71" s="43" t="s">
        <v>7115</v>
      </c>
      <c r="E71" s="43" t="s">
        <v>6982</v>
      </c>
      <c r="F71" s="21">
        <v>46006</v>
      </c>
      <c r="G71" s="21" t="s">
        <v>341</v>
      </c>
      <c r="H71" s="19" t="s">
        <v>6665</v>
      </c>
    </row>
    <row r="72" spans="1:8" ht="15.75" x14ac:dyDescent="0.25">
      <c r="A72" s="19">
        <f t="shared" si="1"/>
        <v>70</v>
      </c>
      <c r="B72" s="43" t="s">
        <v>7118</v>
      </c>
      <c r="C72" s="43">
        <v>7006159140</v>
      </c>
      <c r="D72" s="43" t="s">
        <v>7136</v>
      </c>
      <c r="E72" s="43" t="s">
        <v>7120</v>
      </c>
      <c r="F72" s="21">
        <v>46006</v>
      </c>
      <c r="G72" s="21" t="s">
        <v>341</v>
      </c>
      <c r="H72" s="19" t="s">
        <v>6665</v>
      </c>
    </row>
    <row r="73" spans="1:8" ht="15.75" x14ac:dyDescent="0.25">
      <c r="A73" s="19">
        <f t="shared" si="1"/>
        <v>71</v>
      </c>
      <c r="B73" s="43" t="s">
        <v>7124</v>
      </c>
      <c r="C73" s="43">
        <v>7006417231</v>
      </c>
      <c r="D73" s="43" t="s">
        <v>7137</v>
      </c>
      <c r="E73" s="43" t="s">
        <v>7126</v>
      </c>
      <c r="F73" s="21">
        <v>46006</v>
      </c>
      <c r="G73" s="21" t="s">
        <v>341</v>
      </c>
      <c r="H73" s="19" t="s">
        <v>6665</v>
      </c>
    </row>
    <row r="74" spans="1:8" ht="15.75" x14ac:dyDescent="0.25">
      <c r="A74" s="19">
        <f t="shared" si="1"/>
        <v>72</v>
      </c>
      <c r="B74" s="43" t="s">
        <v>7133</v>
      </c>
      <c r="C74" s="43">
        <v>9419007332</v>
      </c>
      <c r="D74" s="43" t="s">
        <v>7138</v>
      </c>
      <c r="E74" s="43" t="s">
        <v>7134</v>
      </c>
      <c r="F74" s="21">
        <v>46006</v>
      </c>
      <c r="G74" s="21" t="s">
        <v>341</v>
      </c>
      <c r="H74" s="19" t="s">
        <v>6665</v>
      </c>
    </row>
    <row r="75" spans="1:8" ht="15.75" x14ac:dyDescent="0.25">
      <c r="A75" s="19">
        <f t="shared" si="1"/>
        <v>73</v>
      </c>
      <c r="B75" s="43" t="s">
        <v>7129</v>
      </c>
      <c r="C75" s="43">
        <v>6006807265</v>
      </c>
      <c r="D75" s="43" t="s">
        <v>7139</v>
      </c>
      <c r="E75" s="43" t="s">
        <v>7135</v>
      </c>
      <c r="F75" s="21">
        <v>46006</v>
      </c>
      <c r="G75" s="21" t="s">
        <v>341</v>
      </c>
      <c r="H75" s="19" t="s">
        <v>6665</v>
      </c>
    </row>
    <row r="76" spans="1:8" ht="15.75" x14ac:dyDescent="0.25">
      <c r="A76" s="19">
        <f t="shared" si="1"/>
        <v>74</v>
      </c>
      <c r="B76" s="43" t="s">
        <v>7162</v>
      </c>
      <c r="C76" s="43">
        <v>8493000467</v>
      </c>
      <c r="D76" s="43" t="s">
        <v>7175</v>
      </c>
      <c r="E76" s="43" t="s">
        <v>7169</v>
      </c>
      <c r="F76" s="21">
        <v>46007</v>
      </c>
      <c r="G76" s="21" t="s">
        <v>341</v>
      </c>
      <c r="H76" s="19" t="s">
        <v>6665</v>
      </c>
    </row>
    <row r="77" spans="1:8" ht="15.75" x14ac:dyDescent="0.25">
      <c r="A77" s="19">
        <f t="shared" si="1"/>
        <v>75</v>
      </c>
      <c r="B77" s="43" t="s">
        <v>7147</v>
      </c>
      <c r="C77" s="43">
        <v>7889821425</v>
      </c>
      <c r="D77" s="43" t="s">
        <v>7174</v>
      </c>
      <c r="E77" s="43" t="s">
        <v>7172</v>
      </c>
      <c r="F77" s="21">
        <v>46007</v>
      </c>
      <c r="G77" s="21" t="s">
        <v>341</v>
      </c>
      <c r="H77" s="19" t="s">
        <v>6665</v>
      </c>
    </row>
    <row r="78" spans="1:8" ht="15.75" x14ac:dyDescent="0.25">
      <c r="A78" s="19">
        <f t="shared" si="1"/>
        <v>76</v>
      </c>
      <c r="B78" s="43" t="s">
        <v>7179</v>
      </c>
      <c r="C78" s="43">
        <v>8825095120</v>
      </c>
      <c r="D78" s="43" t="s">
        <v>7190</v>
      </c>
      <c r="E78" s="43" t="s">
        <v>7188</v>
      </c>
      <c r="F78" s="21">
        <v>46008</v>
      </c>
      <c r="G78" s="21" t="s">
        <v>341</v>
      </c>
      <c r="H78" s="19" t="s">
        <v>6665</v>
      </c>
    </row>
    <row r="79" spans="1:8" ht="15.75" x14ac:dyDescent="0.25">
      <c r="A79" s="19">
        <f t="shared" si="1"/>
        <v>77</v>
      </c>
      <c r="B79" s="43" t="s">
        <v>7189</v>
      </c>
      <c r="C79" s="43">
        <v>9622347307</v>
      </c>
      <c r="D79" s="43" t="s">
        <v>7191</v>
      </c>
      <c r="E79" s="43" t="s">
        <v>7187</v>
      </c>
      <c r="F79" s="21">
        <v>46008</v>
      </c>
      <c r="G79" s="21" t="s">
        <v>341</v>
      </c>
      <c r="H79" s="19" t="s">
        <v>6665</v>
      </c>
    </row>
    <row r="80" spans="1:8" ht="15.75" x14ac:dyDescent="0.25">
      <c r="A80" s="19">
        <f t="shared" si="1"/>
        <v>78</v>
      </c>
      <c r="B80" s="43" t="s">
        <v>7168</v>
      </c>
      <c r="C80" s="43">
        <v>9797255546</v>
      </c>
      <c r="D80" s="43" t="s">
        <v>7192</v>
      </c>
      <c r="E80" s="43" t="s">
        <v>7186</v>
      </c>
      <c r="F80" s="21">
        <v>46008</v>
      </c>
      <c r="G80" s="21" t="s">
        <v>341</v>
      </c>
      <c r="H80" s="19" t="s">
        <v>6665</v>
      </c>
    </row>
    <row r="81" spans="1:13" ht="15.75" x14ac:dyDescent="0.25">
      <c r="A81" s="19">
        <f t="shared" si="1"/>
        <v>79</v>
      </c>
      <c r="B81" s="43" t="s">
        <v>7184</v>
      </c>
      <c r="C81" s="43">
        <v>6005890836</v>
      </c>
      <c r="D81" s="43" t="s">
        <v>7193</v>
      </c>
      <c r="E81" s="43" t="s">
        <v>7185</v>
      </c>
      <c r="F81" s="21">
        <v>46008</v>
      </c>
      <c r="G81" s="21" t="s">
        <v>341</v>
      </c>
      <c r="H81" s="19" t="s">
        <v>6665</v>
      </c>
    </row>
    <row r="82" spans="1:13" ht="15.75" x14ac:dyDescent="0.25">
      <c r="A82" s="19">
        <f t="shared" si="1"/>
        <v>80</v>
      </c>
      <c r="B82" s="43" t="s">
        <v>7255</v>
      </c>
      <c r="C82" s="43">
        <v>6005634614</v>
      </c>
      <c r="D82" s="43" t="s">
        <v>7256</v>
      </c>
      <c r="E82" s="43" t="s">
        <v>7208</v>
      </c>
      <c r="F82" s="21">
        <v>46009</v>
      </c>
      <c r="G82" s="21" t="s">
        <v>341</v>
      </c>
      <c r="H82" s="19" t="s">
        <v>6665</v>
      </c>
    </row>
    <row r="83" spans="1:13" ht="15.75" x14ac:dyDescent="0.25">
      <c r="A83" s="19">
        <f t="shared" si="1"/>
        <v>81</v>
      </c>
      <c r="B83" s="43" t="s">
        <v>7253</v>
      </c>
      <c r="C83" s="43">
        <v>9419273796</v>
      </c>
      <c r="D83" s="43" t="s">
        <v>7254</v>
      </c>
      <c r="E83" s="43" t="s">
        <v>7231</v>
      </c>
      <c r="F83" s="21">
        <v>46009</v>
      </c>
      <c r="G83" s="21" t="s">
        <v>341</v>
      </c>
      <c r="H83" s="19" t="s">
        <v>6665</v>
      </c>
    </row>
    <row r="84" spans="1:13" ht="15.75" x14ac:dyDescent="0.25">
      <c r="A84" s="19">
        <f t="shared" si="1"/>
        <v>82</v>
      </c>
      <c r="B84" s="43" t="s">
        <v>7219</v>
      </c>
      <c r="C84" s="43">
        <v>6005112387</v>
      </c>
      <c r="D84" s="43" t="s">
        <v>7251</v>
      </c>
      <c r="E84" s="43" t="s">
        <v>7229</v>
      </c>
      <c r="F84" s="21">
        <v>46009</v>
      </c>
      <c r="G84" s="21" t="s">
        <v>341</v>
      </c>
      <c r="H84" s="19" t="s">
        <v>6665</v>
      </c>
    </row>
    <row r="85" spans="1:13" ht="15.75" x14ac:dyDescent="0.25">
      <c r="A85" s="19">
        <f t="shared" si="1"/>
        <v>83</v>
      </c>
      <c r="B85" s="43" t="s">
        <v>5115</v>
      </c>
      <c r="C85" s="43">
        <v>9797187246</v>
      </c>
      <c r="D85" s="43" t="s">
        <v>7252</v>
      </c>
      <c r="E85" s="43" t="s">
        <v>7234</v>
      </c>
      <c r="F85" s="21">
        <v>46009</v>
      </c>
      <c r="G85" s="21" t="s">
        <v>341</v>
      </c>
      <c r="H85" s="19" t="s">
        <v>6665</v>
      </c>
    </row>
    <row r="86" spans="1:13" ht="15.75" x14ac:dyDescent="0.25">
      <c r="A86" s="19">
        <f t="shared" si="1"/>
        <v>84</v>
      </c>
      <c r="B86" s="43" t="s">
        <v>7203</v>
      </c>
      <c r="C86" s="43">
        <v>7006565352</v>
      </c>
      <c r="D86" s="43" t="s">
        <v>7261</v>
      </c>
      <c r="E86" s="43" t="s">
        <v>7209</v>
      </c>
      <c r="F86" s="21">
        <v>46009</v>
      </c>
      <c r="G86" s="21" t="s">
        <v>341</v>
      </c>
      <c r="H86" s="19" t="s">
        <v>6665</v>
      </c>
    </row>
    <row r="87" spans="1:13" ht="15.75" x14ac:dyDescent="0.25">
      <c r="A87" s="19">
        <f t="shared" si="1"/>
        <v>85</v>
      </c>
      <c r="B87" s="43" t="s">
        <v>7263</v>
      </c>
      <c r="C87" s="43">
        <v>7006646319</v>
      </c>
      <c r="D87" s="43" t="s">
        <v>7264</v>
      </c>
      <c r="E87" s="43" t="s">
        <v>7061</v>
      </c>
      <c r="F87" s="21">
        <v>46009</v>
      </c>
      <c r="G87" s="21" t="s">
        <v>341</v>
      </c>
      <c r="H87" s="19" t="s">
        <v>6665</v>
      </c>
    </row>
    <row r="88" spans="1:13" ht="15.75" x14ac:dyDescent="0.25">
      <c r="A88" s="19">
        <f t="shared" si="1"/>
        <v>86</v>
      </c>
      <c r="B88" s="43" t="s">
        <v>7198</v>
      </c>
      <c r="C88" s="43">
        <v>9906946331</v>
      </c>
      <c r="D88" s="43" t="s">
        <v>7271</v>
      </c>
      <c r="E88" s="43" t="s">
        <v>7230</v>
      </c>
      <c r="F88" s="21">
        <v>46009</v>
      </c>
      <c r="G88" s="21" t="s">
        <v>341</v>
      </c>
      <c r="H88" s="19" t="s">
        <v>6665</v>
      </c>
    </row>
    <row r="89" spans="1:13" ht="15.75" x14ac:dyDescent="0.25">
      <c r="A89" s="19">
        <f t="shared" si="1"/>
        <v>87</v>
      </c>
      <c r="B89" s="43" t="s">
        <v>687</v>
      </c>
      <c r="C89" s="43">
        <v>9906859364</v>
      </c>
      <c r="D89" s="43" t="s">
        <v>7272</v>
      </c>
      <c r="E89" s="43" t="s">
        <v>7257</v>
      </c>
      <c r="F89" s="21">
        <v>46009</v>
      </c>
      <c r="G89" s="21" t="s">
        <v>341</v>
      </c>
      <c r="H89" s="19" t="s">
        <v>6665</v>
      </c>
    </row>
    <row r="90" spans="1:13" ht="15.75" x14ac:dyDescent="0.25">
      <c r="A90" s="19">
        <f t="shared" si="1"/>
        <v>88</v>
      </c>
      <c r="B90" s="43" t="s">
        <v>7228</v>
      </c>
      <c r="C90" s="43">
        <v>8825002572</v>
      </c>
      <c r="D90" s="43" t="s">
        <v>7278</v>
      </c>
      <c r="E90" s="43" t="s">
        <v>7233</v>
      </c>
      <c r="F90" s="21">
        <v>46010</v>
      </c>
      <c r="G90" s="21" t="s">
        <v>341</v>
      </c>
      <c r="H90" s="19" t="s">
        <v>6665</v>
      </c>
    </row>
    <row r="91" spans="1:13" ht="15.75" x14ac:dyDescent="0.25">
      <c r="A91" s="19">
        <f t="shared" si="1"/>
        <v>89</v>
      </c>
      <c r="B91" s="43" t="s">
        <v>7297</v>
      </c>
      <c r="C91" s="43">
        <v>9797150382</v>
      </c>
      <c r="D91" s="43" t="s">
        <v>7318</v>
      </c>
      <c r="E91" s="43" t="s">
        <v>7298</v>
      </c>
      <c r="F91" s="21">
        <v>46011</v>
      </c>
      <c r="G91" s="21" t="s">
        <v>341</v>
      </c>
      <c r="H91" s="19" t="s">
        <v>6665</v>
      </c>
    </row>
    <row r="92" spans="1:13" ht="15.75" x14ac:dyDescent="0.25">
      <c r="A92" s="19">
        <f t="shared" si="1"/>
        <v>90</v>
      </c>
      <c r="B92" s="43" t="s">
        <v>7309</v>
      </c>
      <c r="C92" s="43">
        <v>9797913220</v>
      </c>
      <c r="D92" s="43" t="s">
        <v>7332</v>
      </c>
      <c r="E92" s="43" t="s">
        <v>7321</v>
      </c>
      <c r="F92" s="21">
        <v>46011</v>
      </c>
      <c r="G92" s="21" t="s">
        <v>341</v>
      </c>
      <c r="H92" s="19" t="s">
        <v>6665</v>
      </c>
    </row>
    <row r="93" spans="1:13" ht="15.75" x14ac:dyDescent="0.25">
      <c r="A93" s="19">
        <f t="shared" si="1"/>
        <v>91</v>
      </c>
      <c r="B93" s="43" t="s">
        <v>7327</v>
      </c>
      <c r="C93" s="43">
        <v>9622755213</v>
      </c>
      <c r="D93" s="43" t="s">
        <v>7333</v>
      </c>
      <c r="E93" s="43" t="s">
        <v>7328</v>
      </c>
      <c r="F93" s="21">
        <v>46011</v>
      </c>
      <c r="G93" s="21" t="s">
        <v>341</v>
      </c>
      <c r="H93" s="19" t="s">
        <v>6665</v>
      </c>
    </row>
    <row r="94" spans="1:13" ht="15.75" x14ac:dyDescent="0.25">
      <c r="A94" s="19">
        <f t="shared" si="1"/>
        <v>92</v>
      </c>
      <c r="B94" s="43" t="s">
        <v>7330</v>
      </c>
      <c r="C94" s="43">
        <v>9596209114</v>
      </c>
      <c r="D94" s="43" t="s">
        <v>7334</v>
      </c>
      <c r="E94" s="43" t="s">
        <v>7331</v>
      </c>
      <c r="F94" s="21">
        <v>46011</v>
      </c>
      <c r="G94" s="21" t="s">
        <v>341</v>
      </c>
      <c r="H94" s="19" t="s">
        <v>6665</v>
      </c>
      <c r="I94" s="34"/>
      <c r="J94" s="34"/>
      <c r="K94" s="34"/>
      <c r="L94" s="34"/>
      <c r="M94" s="34"/>
    </row>
    <row r="95" spans="1:13" ht="15.75" x14ac:dyDescent="0.25">
      <c r="A95" s="19">
        <f t="shared" si="1"/>
        <v>93</v>
      </c>
      <c r="B95" s="43" t="s">
        <v>7312</v>
      </c>
      <c r="C95" s="43">
        <v>7006878734</v>
      </c>
      <c r="D95" s="43" t="s">
        <v>7335</v>
      </c>
      <c r="E95" s="43" t="s">
        <v>7320</v>
      </c>
      <c r="F95" s="21">
        <v>46011</v>
      </c>
      <c r="G95" s="21" t="s">
        <v>341</v>
      </c>
      <c r="H95" s="19" t="s">
        <v>6665</v>
      </c>
      <c r="I95" s="33"/>
      <c r="J95" s="33"/>
      <c r="K95" s="33"/>
      <c r="L95" s="33"/>
      <c r="M95" s="33"/>
    </row>
    <row r="96" spans="1:13" ht="15.75" x14ac:dyDescent="0.25">
      <c r="A96" s="19">
        <f t="shared" si="1"/>
        <v>94</v>
      </c>
      <c r="B96" s="43" t="s">
        <v>7337</v>
      </c>
      <c r="C96" s="43">
        <v>8899903781</v>
      </c>
      <c r="D96" s="43" t="s">
        <v>7336</v>
      </c>
      <c r="E96" s="43" t="s">
        <v>1001</v>
      </c>
      <c r="F96" s="21">
        <v>46011</v>
      </c>
      <c r="G96" s="21" t="s">
        <v>341</v>
      </c>
      <c r="H96" s="19" t="s">
        <v>6665</v>
      </c>
    </row>
    <row r="97" spans="1:8" ht="15.75" x14ac:dyDescent="0.25">
      <c r="A97" s="19">
        <f t="shared" si="1"/>
        <v>95</v>
      </c>
      <c r="B97" s="43" t="s">
        <v>7290</v>
      </c>
      <c r="C97" s="43">
        <v>9018112121</v>
      </c>
      <c r="D97" s="43" t="s">
        <v>7348</v>
      </c>
      <c r="E97" s="43" t="s">
        <v>7292</v>
      </c>
      <c r="F97" s="21">
        <v>46011</v>
      </c>
      <c r="G97" s="21" t="s">
        <v>341</v>
      </c>
      <c r="H97" s="19" t="s">
        <v>6665</v>
      </c>
    </row>
    <row r="98" spans="1:8" ht="15.75" x14ac:dyDescent="0.25">
      <c r="A98" s="19">
        <f t="shared" si="1"/>
        <v>96</v>
      </c>
      <c r="B98" s="43" t="s">
        <v>6571</v>
      </c>
      <c r="C98" s="43">
        <v>9797300880</v>
      </c>
      <c r="D98" s="43" t="s">
        <v>7349</v>
      </c>
      <c r="E98" s="43" t="s">
        <v>6574</v>
      </c>
      <c r="F98" s="21">
        <v>46011</v>
      </c>
      <c r="G98" s="21" t="s">
        <v>341</v>
      </c>
      <c r="H98" s="19" t="s">
        <v>6665</v>
      </c>
    </row>
    <row r="99" spans="1:8" ht="15.75" x14ac:dyDescent="0.25">
      <c r="A99" s="19">
        <f t="shared" si="1"/>
        <v>97</v>
      </c>
      <c r="B99" s="43" t="s">
        <v>7365</v>
      </c>
      <c r="C99" s="43">
        <v>7780927793</v>
      </c>
      <c r="D99" s="43" t="s">
        <v>7387</v>
      </c>
      <c r="E99" s="43" t="s">
        <v>7376</v>
      </c>
      <c r="F99" s="21">
        <v>46013</v>
      </c>
      <c r="G99" s="21" t="s">
        <v>341</v>
      </c>
      <c r="H99" s="19" t="s">
        <v>6665</v>
      </c>
    </row>
    <row r="100" spans="1:8" ht="15.75" x14ac:dyDescent="0.25">
      <c r="A100" s="19">
        <f t="shared" si="1"/>
        <v>98</v>
      </c>
      <c r="B100" s="43" t="s">
        <v>7353</v>
      </c>
      <c r="C100" s="43">
        <v>7006028890</v>
      </c>
      <c r="D100" s="43" t="s">
        <v>7388</v>
      </c>
      <c r="E100" s="43" t="s">
        <v>7374</v>
      </c>
      <c r="F100" s="21">
        <v>46013</v>
      </c>
      <c r="G100" s="21" t="s">
        <v>341</v>
      </c>
      <c r="H100" s="19" t="s">
        <v>6665</v>
      </c>
    </row>
    <row r="101" spans="1:8" ht="15.75" x14ac:dyDescent="0.25">
      <c r="A101" s="19">
        <f t="shared" si="1"/>
        <v>99</v>
      </c>
      <c r="B101" s="43" t="s">
        <v>7416</v>
      </c>
      <c r="C101" s="43">
        <v>8491813907</v>
      </c>
      <c r="D101" s="43" t="s">
        <v>7417</v>
      </c>
      <c r="E101" s="43" t="s">
        <v>6513</v>
      </c>
      <c r="F101" s="21">
        <v>46013</v>
      </c>
      <c r="G101" s="21" t="s">
        <v>341</v>
      </c>
      <c r="H101" s="19" t="s">
        <v>6665</v>
      </c>
    </row>
    <row r="102" spans="1:8" ht="15.75" x14ac:dyDescent="0.25">
      <c r="A102" s="19">
        <f t="shared" si="1"/>
        <v>100</v>
      </c>
      <c r="B102" s="43" t="s">
        <v>7395</v>
      </c>
      <c r="C102" s="43">
        <v>7006740143</v>
      </c>
      <c r="D102" s="43" t="s">
        <v>7422</v>
      </c>
      <c r="E102" s="43" t="s">
        <v>7396</v>
      </c>
      <c r="F102" s="21">
        <v>46014</v>
      </c>
      <c r="G102" s="21" t="s">
        <v>341</v>
      </c>
      <c r="H102" s="19" t="s">
        <v>6665</v>
      </c>
    </row>
    <row r="103" spans="1:8" ht="15.75" x14ac:dyDescent="0.25">
      <c r="A103" s="19">
        <f t="shared" si="1"/>
        <v>101</v>
      </c>
      <c r="B103" s="43" t="s">
        <v>7400</v>
      </c>
      <c r="C103" s="43">
        <v>9906387311</v>
      </c>
      <c r="D103" s="43" t="s">
        <v>7421</v>
      </c>
      <c r="E103" s="43" t="s">
        <v>7404</v>
      </c>
      <c r="F103" s="21">
        <v>46014</v>
      </c>
      <c r="G103" s="21" t="s">
        <v>341</v>
      </c>
      <c r="H103" s="19" t="s">
        <v>6665</v>
      </c>
    </row>
    <row r="104" spans="1:8" ht="15.75" x14ac:dyDescent="0.25">
      <c r="A104" s="19">
        <f t="shared" si="1"/>
        <v>102</v>
      </c>
      <c r="B104" s="43" t="s">
        <v>7410</v>
      </c>
      <c r="C104" s="43">
        <v>8899080830</v>
      </c>
      <c r="D104" s="43" t="s">
        <v>7423</v>
      </c>
      <c r="E104" s="43" t="s">
        <v>7419</v>
      </c>
      <c r="F104" s="21">
        <v>46014</v>
      </c>
      <c r="G104" s="21" t="s">
        <v>341</v>
      </c>
      <c r="H104" s="19" t="s">
        <v>6665</v>
      </c>
    </row>
    <row r="105" spans="1:8" ht="15.75" x14ac:dyDescent="0.25">
      <c r="A105" s="19">
        <f t="shared" si="1"/>
        <v>103</v>
      </c>
      <c r="B105" s="43" t="s">
        <v>357</v>
      </c>
      <c r="C105" s="43">
        <v>7006804594</v>
      </c>
      <c r="D105" s="43" t="s">
        <v>7424</v>
      </c>
      <c r="E105" s="43" t="s">
        <v>7418</v>
      </c>
      <c r="F105" s="21">
        <v>46014</v>
      </c>
      <c r="G105" s="21" t="s">
        <v>341</v>
      </c>
      <c r="H105" s="19" t="s">
        <v>6665</v>
      </c>
    </row>
    <row r="106" spans="1:8" ht="15.75" x14ac:dyDescent="0.25">
      <c r="A106" s="19">
        <f t="shared" si="1"/>
        <v>104</v>
      </c>
      <c r="B106" s="43" t="s">
        <v>7414</v>
      </c>
      <c r="C106" s="43">
        <v>7780857793</v>
      </c>
      <c r="D106" s="43" t="s">
        <v>7438</v>
      </c>
      <c r="E106" s="43" t="s">
        <v>7420</v>
      </c>
      <c r="F106" s="21">
        <v>46014</v>
      </c>
      <c r="G106" s="21" t="s">
        <v>341</v>
      </c>
      <c r="H106" s="19" t="s">
        <v>6665</v>
      </c>
    </row>
    <row r="107" spans="1:8" ht="15.75" x14ac:dyDescent="0.25">
      <c r="A107" s="19">
        <f t="shared" si="1"/>
        <v>105</v>
      </c>
      <c r="B107" s="43" t="s">
        <v>7392</v>
      </c>
      <c r="C107" s="43">
        <v>9622737390</v>
      </c>
      <c r="D107" s="43" t="s">
        <v>7439</v>
      </c>
      <c r="E107" s="43" t="s">
        <v>7403</v>
      </c>
      <c r="F107" s="21">
        <v>46014</v>
      </c>
      <c r="G107" s="21" t="s">
        <v>341</v>
      </c>
      <c r="H107" s="19" t="s">
        <v>6665</v>
      </c>
    </row>
    <row r="108" spans="1:8" ht="15.75" x14ac:dyDescent="0.25">
      <c r="A108" s="19">
        <f t="shared" si="1"/>
        <v>106</v>
      </c>
      <c r="B108" s="43" t="s">
        <v>7436</v>
      </c>
      <c r="C108" s="43">
        <v>9906998728</v>
      </c>
      <c r="D108" s="43" t="s">
        <v>7441</v>
      </c>
      <c r="E108" s="43" t="s">
        <v>7440</v>
      </c>
      <c r="F108" s="21">
        <v>46014</v>
      </c>
      <c r="G108" s="21" t="s">
        <v>341</v>
      </c>
      <c r="H108" s="19" t="s">
        <v>6665</v>
      </c>
    </row>
    <row r="109" spans="1:8" ht="15.75" x14ac:dyDescent="0.25">
      <c r="A109" s="19">
        <f t="shared" si="1"/>
        <v>107</v>
      </c>
      <c r="B109" s="43" t="s">
        <v>7431</v>
      </c>
      <c r="C109" s="43">
        <v>7889474847</v>
      </c>
      <c r="D109" s="43" t="s">
        <v>7451</v>
      </c>
      <c r="E109" s="43" t="s">
        <v>7375</v>
      </c>
      <c r="F109" s="21">
        <v>46015</v>
      </c>
      <c r="G109" s="21" t="s">
        <v>341</v>
      </c>
      <c r="H109" s="19" t="s">
        <v>6665</v>
      </c>
    </row>
    <row r="110" spans="1:8" ht="15.75" x14ac:dyDescent="0.25">
      <c r="A110" s="19">
        <f t="shared" si="1"/>
        <v>108</v>
      </c>
      <c r="B110" s="43" t="s">
        <v>7246</v>
      </c>
      <c r="C110" s="43">
        <v>7889801873</v>
      </c>
      <c r="D110" s="43" t="s">
        <v>7552</v>
      </c>
      <c r="E110" s="43" t="s">
        <v>7260</v>
      </c>
      <c r="F110" s="21">
        <v>46016</v>
      </c>
      <c r="G110" s="21" t="s">
        <v>341</v>
      </c>
      <c r="H110" s="19" t="s">
        <v>6665</v>
      </c>
    </row>
    <row r="111" spans="1:8" ht="15.75" x14ac:dyDescent="0.25">
      <c r="A111" s="19">
        <f t="shared" si="1"/>
        <v>109</v>
      </c>
      <c r="B111" s="43" t="s">
        <v>7356</v>
      </c>
      <c r="C111" s="43">
        <v>8491929306</v>
      </c>
      <c r="D111" s="43" t="s">
        <v>7452</v>
      </c>
      <c r="E111" s="43" t="s">
        <v>7437</v>
      </c>
      <c r="F111" s="21">
        <v>46015</v>
      </c>
      <c r="G111" s="21" t="s">
        <v>341</v>
      </c>
      <c r="H111" s="19" t="s">
        <v>6665</v>
      </c>
    </row>
    <row r="112" spans="1:8" ht="15.75" x14ac:dyDescent="0.25">
      <c r="A112" s="19">
        <f t="shared" si="1"/>
        <v>110</v>
      </c>
      <c r="B112" s="43" t="s">
        <v>7463</v>
      </c>
      <c r="C112" s="43">
        <v>7889383674</v>
      </c>
      <c r="D112" s="43" t="s">
        <v>7550</v>
      </c>
      <c r="E112" s="43" t="s">
        <v>7489</v>
      </c>
      <c r="F112" s="21">
        <v>46016</v>
      </c>
      <c r="G112" s="21" t="s">
        <v>341</v>
      </c>
      <c r="H112" s="19" t="s">
        <v>6665</v>
      </c>
    </row>
    <row r="113" spans="1:8" ht="15.75" x14ac:dyDescent="0.25">
      <c r="A113" s="19">
        <f t="shared" si="1"/>
        <v>111</v>
      </c>
      <c r="B113" s="43" t="s">
        <v>7467</v>
      </c>
      <c r="C113" s="43">
        <v>9541622336</v>
      </c>
      <c r="D113" s="43" t="s">
        <v>7549</v>
      </c>
      <c r="E113" s="43" t="s">
        <v>7493</v>
      </c>
      <c r="F113" s="21">
        <v>46016</v>
      </c>
      <c r="G113" s="21" t="s">
        <v>341</v>
      </c>
      <c r="H113" s="19" t="s">
        <v>6665</v>
      </c>
    </row>
    <row r="114" spans="1:8" ht="15.75" x14ac:dyDescent="0.25">
      <c r="A114" s="19">
        <f t="shared" si="1"/>
        <v>112</v>
      </c>
      <c r="B114" s="43" t="s">
        <v>7345</v>
      </c>
      <c r="C114" s="43">
        <v>7006565342</v>
      </c>
      <c r="D114" s="43" t="s">
        <v>7547</v>
      </c>
      <c r="E114" s="43" t="s">
        <v>7347</v>
      </c>
      <c r="F114" s="21">
        <v>46016</v>
      </c>
      <c r="G114" s="21" t="s">
        <v>341</v>
      </c>
      <c r="H114" s="19" t="s">
        <v>6665</v>
      </c>
    </row>
    <row r="115" spans="1:8" ht="15.75" x14ac:dyDescent="0.25">
      <c r="A115" s="19">
        <f t="shared" si="1"/>
        <v>113</v>
      </c>
      <c r="B115" s="43" t="s">
        <v>7545</v>
      </c>
      <c r="C115" s="43">
        <v>7889605207</v>
      </c>
      <c r="D115" s="43" t="s">
        <v>7546</v>
      </c>
      <c r="E115" s="43" t="s">
        <v>7346</v>
      </c>
      <c r="F115" s="21">
        <v>46016</v>
      </c>
      <c r="G115" s="21" t="s">
        <v>341</v>
      </c>
      <c r="H115" s="19" t="s">
        <v>6665</v>
      </c>
    </row>
    <row r="116" spans="1:8" ht="15.75" x14ac:dyDescent="0.25">
      <c r="A116" s="19">
        <f t="shared" si="1"/>
        <v>114</v>
      </c>
      <c r="B116" s="43" t="s">
        <v>7462</v>
      </c>
      <c r="C116" s="43">
        <v>9018754974</v>
      </c>
      <c r="D116" s="43" t="s">
        <v>7548</v>
      </c>
      <c r="E116" s="43" t="s">
        <v>7488</v>
      </c>
      <c r="F116" s="21">
        <v>46016</v>
      </c>
      <c r="G116" s="21" t="s">
        <v>341</v>
      </c>
      <c r="H116" s="19" t="s">
        <v>6665</v>
      </c>
    </row>
    <row r="117" spans="1:8" ht="15.75" x14ac:dyDescent="0.25">
      <c r="A117" s="19">
        <f t="shared" si="1"/>
        <v>115</v>
      </c>
      <c r="B117" s="43" t="s">
        <v>6499</v>
      </c>
      <c r="C117" s="43">
        <v>7006084104</v>
      </c>
      <c r="D117" s="43" t="s">
        <v>7571</v>
      </c>
      <c r="E117" s="43" t="s">
        <v>6500</v>
      </c>
      <c r="F117" s="21"/>
      <c r="G117" s="21"/>
      <c r="H117" s="19" t="s">
        <v>7572</v>
      </c>
    </row>
    <row r="118" spans="1:8" ht="15.75" x14ac:dyDescent="0.25">
      <c r="A118" s="19">
        <f t="shared" si="1"/>
        <v>116</v>
      </c>
      <c r="B118" s="43" t="s">
        <v>7502</v>
      </c>
      <c r="C118" s="43">
        <v>6005068829</v>
      </c>
      <c r="D118" s="43" t="s">
        <v>7551</v>
      </c>
      <c r="E118" s="43" t="s">
        <v>7516</v>
      </c>
      <c r="F118" s="21">
        <v>46016</v>
      </c>
      <c r="G118" s="21" t="s">
        <v>341</v>
      </c>
      <c r="H118" s="19" t="s">
        <v>6665</v>
      </c>
    </row>
    <row r="119" spans="1:8" ht="15.75" x14ac:dyDescent="0.25">
      <c r="A119" s="19">
        <f t="shared" si="1"/>
        <v>117</v>
      </c>
      <c r="B119" s="43" t="s">
        <v>7569</v>
      </c>
      <c r="C119" s="43">
        <v>7889559968</v>
      </c>
      <c r="D119" s="43" t="s">
        <v>7570</v>
      </c>
      <c r="E119" s="43" t="s">
        <v>7553</v>
      </c>
      <c r="F119" s="21">
        <v>46017</v>
      </c>
      <c r="G119" s="21" t="s">
        <v>341</v>
      </c>
      <c r="H119" s="19" t="s">
        <v>6665</v>
      </c>
    </row>
    <row r="120" spans="1:8" ht="15.75" x14ac:dyDescent="0.25">
      <c r="A120" s="19">
        <f t="shared" si="1"/>
        <v>118</v>
      </c>
      <c r="B120" s="43" t="s">
        <v>6433</v>
      </c>
      <c r="C120" s="43">
        <v>9858321757</v>
      </c>
      <c r="D120" s="43" t="s">
        <v>7568</v>
      </c>
      <c r="E120" s="43" t="s">
        <v>7554</v>
      </c>
      <c r="F120" s="21">
        <v>46017</v>
      </c>
      <c r="G120" s="21" t="s">
        <v>341</v>
      </c>
      <c r="H120" s="19" t="s">
        <v>6665</v>
      </c>
    </row>
    <row r="121" spans="1:8" ht="15.75" x14ac:dyDescent="0.25">
      <c r="A121" s="19">
        <f t="shared" si="1"/>
        <v>119</v>
      </c>
      <c r="B121" s="43" t="s">
        <v>7450</v>
      </c>
      <c r="C121" s="43">
        <v>7298772174</v>
      </c>
      <c r="D121" s="43" t="s">
        <v>7566</v>
      </c>
      <c r="E121" s="43" t="s">
        <v>7457</v>
      </c>
      <c r="F121" s="21">
        <v>46017</v>
      </c>
      <c r="G121" s="21" t="s">
        <v>341</v>
      </c>
      <c r="H121" s="19" t="s">
        <v>6665</v>
      </c>
    </row>
    <row r="122" spans="1:8" ht="15.75" x14ac:dyDescent="0.25">
      <c r="A122" s="19">
        <f t="shared" si="1"/>
        <v>120</v>
      </c>
      <c r="B122" s="43" t="s">
        <v>7461</v>
      </c>
      <c r="C122" s="43">
        <v>9906539681</v>
      </c>
      <c r="D122" s="43" t="s">
        <v>7567</v>
      </c>
      <c r="E122" s="43" t="s">
        <v>7487</v>
      </c>
      <c r="F122" s="21">
        <v>46017</v>
      </c>
      <c r="G122" s="21" t="s">
        <v>341</v>
      </c>
      <c r="H122" s="19" t="s">
        <v>6665</v>
      </c>
    </row>
    <row r="123" spans="1:8" ht="15.75" x14ac:dyDescent="0.25">
      <c r="A123" s="19">
        <f t="shared" si="1"/>
        <v>121</v>
      </c>
      <c r="B123" s="43" t="s">
        <v>7543</v>
      </c>
      <c r="C123" s="43">
        <v>8825061187</v>
      </c>
      <c r="D123" s="43" t="s">
        <v>7623</v>
      </c>
      <c r="E123" s="43" t="s">
        <v>7555</v>
      </c>
      <c r="F123" s="21">
        <v>46017</v>
      </c>
      <c r="G123" s="21" t="s">
        <v>341</v>
      </c>
      <c r="H123" s="19" t="s">
        <v>6665</v>
      </c>
    </row>
    <row r="124" spans="1:8" ht="15.75" x14ac:dyDescent="0.25">
      <c r="A124" s="19">
        <f t="shared" si="1"/>
        <v>122</v>
      </c>
      <c r="B124" s="43" t="s">
        <v>7621</v>
      </c>
      <c r="C124" s="43">
        <v>7889773670</v>
      </c>
      <c r="D124" s="43" t="s">
        <v>7622</v>
      </c>
      <c r="E124" s="43" t="s">
        <v>7593</v>
      </c>
      <c r="F124" s="21">
        <v>46017</v>
      </c>
      <c r="G124" s="21" t="s">
        <v>341</v>
      </c>
      <c r="H124" s="19" t="s">
        <v>6665</v>
      </c>
    </row>
    <row r="125" spans="1:8" ht="15.75" x14ac:dyDescent="0.25">
      <c r="A125" s="19">
        <f t="shared" si="1"/>
        <v>123</v>
      </c>
      <c r="B125" s="43" t="s">
        <v>7574</v>
      </c>
      <c r="C125" s="43">
        <v>9419002237</v>
      </c>
      <c r="D125" s="43" t="s">
        <v>7613</v>
      </c>
      <c r="E125" s="43" t="s">
        <v>7591</v>
      </c>
      <c r="F125" s="21">
        <v>46017</v>
      </c>
      <c r="G125" s="21" t="s">
        <v>341</v>
      </c>
      <c r="H125" s="19" t="s">
        <v>6665</v>
      </c>
    </row>
    <row r="126" spans="1:8" ht="15.75" x14ac:dyDescent="0.25">
      <c r="A126" s="19">
        <f t="shared" si="1"/>
        <v>124</v>
      </c>
      <c r="B126" s="43" t="s">
        <v>7608</v>
      </c>
      <c r="C126" s="43">
        <v>9149416177</v>
      </c>
      <c r="D126" s="43" t="s">
        <v>7620</v>
      </c>
      <c r="E126" s="43" t="s">
        <v>7609</v>
      </c>
      <c r="F126" s="21">
        <v>46017</v>
      </c>
      <c r="G126" s="21" t="s">
        <v>341</v>
      </c>
      <c r="H126" s="19" t="s">
        <v>6665</v>
      </c>
    </row>
    <row r="127" spans="1:8" ht="15.75" x14ac:dyDescent="0.25">
      <c r="A127" s="19">
        <f t="shared" si="1"/>
        <v>125</v>
      </c>
      <c r="B127" s="43" t="s">
        <v>6864</v>
      </c>
      <c r="C127" s="43">
        <v>9596341802</v>
      </c>
      <c r="D127" s="43" t="s">
        <v>7618</v>
      </c>
      <c r="E127" s="43" t="s">
        <v>6872</v>
      </c>
      <c r="F127" s="21">
        <v>46017</v>
      </c>
      <c r="G127" s="21" t="s">
        <v>341</v>
      </c>
      <c r="H127" s="19" t="s">
        <v>6665</v>
      </c>
    </row>
    <row r="128" spans="1:8" ht="15.75" x14ac:dyDescent="0.25">
      <c r="A128" s="19">
        <f t="shared" si="1"/>
        <v>126</v>
      </c>
      <c r="B128" s="43" t="s">
        <v>7564</v>
      </c>
      <c r="C128" s="43">
        <v>9906918176</v>
      </c>
      <c r="D128" s="43" t="s">
        <v>7619</v>
      </c>
      <c r="E128" s="43" t="s">
        <v>7590</v>
      </c>
      <c r="F128" s="21">
        <v>46017</v>
      </c>
      <c r="G128" s="21" t="s">
        <v>341</v>
      </c>
      <c r="H128" s="19" t="s">
        <v>6665</v>
      </c>
    </row>
    <row r="129" spans="1:8" ht="15.75" x14ac:dyDescent="0.25">
      <c r="A129" s="19">
        <f t="shared" si="1"/>
        <v>127</v>
      </c>
      <c r="B129" s="43" t="s">
        <v>7600</v>
      </c>
      <c r="C129" s="43">
        <v>9797222635</v>
      </c>
      <c r="D129" s="43" t="s">
        <v>7685</v>
      </c>
      <c r="E129" s="43" t="s">
        <v>7611</v>
      </c>
      <c r="F129" s="21"/>
      <c r="G129" s="21" t="s">
        <v>341</v>
      </c>
      <c r="H129" s="19" t="s">
        <v>7777</v>
      </c>
    </row>
    <row r="130" spans="1:8" ht="15.75" x14ac:dyDescent="0.25">
      <c r="A130" s="19">
        <f t="shared" si="1"/>
        <v>128</v>
      </c>
      <c r="B130" s="43" t="s">
        <v>7581</v>
      </c>
      <c r="C130" s="43">
        <v>7006907205</v>
      </c>
      <c r="D130" s="43" t="s">
        <v>7637</v>
      </c>
      <c r="E130" s="43" t="s">
        <v>7592</v>
      </c>
      <c r="F130" s="21">
        <v>46018</v>
      </c>
      <c r="G130" s="21" t="s">
        <v>341</v>
      </c>
      <c r="H130" s="19" t="s">
        <v>6665</v>
      </c>
    </row>
    <row r="131" spans="1:8" ht="15.75" x14ac:dyDescent="0.25">
      <c r="A131" s="19">
        <f t="shared" si="1"/>
        <v>129</v>
      </c>
      <c r="B131" s="43" t="s">
        <v>6517</v>
      </c>
      <c r="C131" s="43">
        <v>7006812581</v>
      </c>
      <c r="D131" s="43" t="s">
        <v>7632</v>
      </c>
      <c r="E131" s="43" t="s">
        <v>6522</v>
      </c>
      <c r="F131" s="21">
        <v>46018</v>
      </c>
      <c r="G131" s="21" t="s">
        <v>341</v>
      </c>
      <c r="H131" s="19" t="s">
        <v>6665</v>
      </c>
    </row>
    <row r="132" spans="1:8" ht="15.75" x14ac:dyDescent="0.25">
      <c r="A132" s="19">
        <f t="shared" ref="A132:A195" si="2">ROW()-2</f>
        <v>130</v>
      </c>
      <c r="B132" s="43" t="s">
        <v>6486</v>
      </c>
      <c r="C132" s="43">
        <v>7051606206</v>
      </c>
      <c r="D132" s="43" t="s">
        <v>7634</v>
      </c>
      <c r="E132" s="43" t="s">
        <v>6495</v>
      </c>
      <c r="F132" s="21">
        <v>46018</v>
      </c>
      <c r="G132" s="21" t="s">
        <v>341</v>
      </c>
      <c r="H132" s="19" t="s">
        <v>6665</v>
      </c>
    </row>
    <row r="133" spans="1:8" ht="15.75" x14ac:dyDescent="0.25">
      <c r="A133" s="19">
        <f t="shared" si="2"/>
        <v>131</v>
      </c>
      <c r="B133" s="43" t="s">
        <v>7466</v>
      </c>
      <c r="C133" s="43">
        <v>9205000009</v>
      </c>
      <c r="D133" s="43" t="s">
        <v>7673</v>
      </c>
      <c r="E133" s="43" t="s">
        <v>7492</v>
      </c>
      <c r="F133" s="21">
        <v>46019</v>
      </c>
      <c r="G133" s="21" t="s">
        <v>341</v>
      </c>
      <c r="H133" s="19" t="s">
        <v>6665</v>
      </c>
    </row>
    <row r="134" spans="1:8" ht="15.75" x14ac:dyDescent="0.25">
      <c r="A134" s="19">
        <f t="shared" si="2"/>
        <v>132</v>
      </c>
      <c r="B134" s="43" t="s">
        <v>7428</v>
      </c>
      <c r="C134" s="43">
        <v>9797999350</v>
      </c>
      <c r="D134" s="43" t="s">
        <v>7675</v>
      </c>
      <c r="E134" s="43" t="s">
        <v>7442</v>
      </c>
      <c r="F134" s="21">
        <v>46019</v>
      </c>
      <c r="G134" s="21" t="s">
        <v>341</v>
      </c>
      <c r="H134" s="19" t="s">
        <v>6665</v>
      </c>
    </row>
    <row r="135" spans="1:8" ht="15.75" x14ac:dyDescent="0.25">
      <c r="A135" s="19">
        <f t="shared" si="2"/>
        <v>133</v>
      </c>
      <c r="B135" s="43" t="s">
        <v>7506</v>
      </c>
      <c r="C135" s="43">
        <v>9858727429</v>
      </c>
      <c r="D135" s="43" t="s">
        <v>7674</v>
      </c>
      <c r="E135" s="43" t="s">
        <v>7517</v>
      </c>
      <c r="F135" s="21">
        <v>46019</v>
      </c>
      <c r="G135" s="21" t="s">
        <v>341</v>
      </c>
      <c r="H135" s="19" t="s">
        <v>6665</v>
      </c>
    </row>
    <row r="136" spans="1:8" ht="15.75" x14ac:dyDescent="0.25">
      <c r="A136" s="19">
        <f t="shared" si="2"/>
        <v>134</v>
      </c>
      <c r="B136" s="43" t="s">
        <v>3775</v>
      </c>
      <c r="C136" s="43">
        <v>9697226470</v>
      </c>
      <c r="D136" s="43" t="s">
        <v>7684</v>
      </c>
      <c r="E136" s="43" t="s">
        <v>3776</v>
      </c>
      <c r="F136" s="21">
        <v>46051</v>
      </c>
      <c r="G136" s="21" t="s">
        <v>341</v>
      </c>
      <c r="H136" s="19" t="s">
        <v>6665</v>
      </c>
    </row>
    <row r="137" spans="1:8" ht="15.75" x14ac:dyDescent="0.25">
      <c r="A137" s="19">
        <f t="shared" si="2"/>
        <v>135</v>
      </c>
      <c r="B137" s="43" t="s">
        <v>7627</v>
      </c>
      <c r="C137" s="43">
        <v>9596366782</v>
      </c>
      <c r="D137" s="43" t="s">
        <v>7678</v>
      </c>
      <c r="E137" s="43" t="s">
        <v>7635</v>
      </c>
      <c r="F137" s="21">
        <v>46019</v>
      </c>
      <c r="G137" s="21" t="s">
        <v>341</v>
      </c>
      <c r="H137" s="19" t="s">
        <v>6665</v>
      </c>
    </row>
    <row r="138" spans="1:8" ht="15.75" x14ac:dyDescent="0.25">
      <c r="A138" s="19">
        <f t="shared" si="2"/>
        <v>136</v>
      </c>
      <c r="B138" s="43" t="s">
        <v>7361</v>
      </c>
      <c r="C138" s="43">
        <v>6005579912</v>
      </c>
      <c r="D138" s="43" t="s">
        <v>7676</v>
      </c>
      <c r="E138" s="43" t="s">
        <v>7379</v>
      </c>
      <c r="F138" s="21">
        <v>46019</v>
      </c>
      <c r="G138" s="21" t="s">
        <v>341</v>
      </c>
      <c r="H138" s="19" t="s">
        <v>6665</v>
      </c>
    </row>
    <row r="139" spans="1:8" ht="15.75" x14ac:dyDescent="0.25">
      <c r="A139" s="19">
        <f t="shared" si="2"/>
        <v>137</v>
      </c>
      <c r="B139" s="43" t="s">
        <v>7679</v>
      </c>
      <c r="C139" s="43">
        <v>9906687592</v>
      </c>
      <c r="D139" s="43" t="s">
        <v>7680</v>
      </c>
      <c r="E139" s="43" t="s">
        <v>7636</v>
      </c>
      <c r="F139" s="21">
        <v>46019</v>
      </c>
      <c r="G139" s="21" t="s">
        <v>341</v>
      </c>
      <c r="H139" s="19" t="s">
        <v>6665</v>
      </c>
    </row>
    <row r="140" spans="1:8" ht="15.75" x14ac:dyDescent="0.25">
      <c r="A140" s="19">
        <f t="shared" si="2"/>
        <v>138</v>
      </c>
      <c r="B140" s="43" t="s">
        <v>7641</v>
      </c>
      <c r="C140" s="43">
        <v>7006141977</v>
      </c>
      <c r="D140" s="43" t="s">
        <v>7677</v>
      </c>
      <c r="E140" s="43" t="s">
        <v>7651</v>
      </c>
      <c r="F140" s="21">
        <v>46019</v>
      </c>
      <c r="G140" s="21" t="s">
        <v>341</v>
      </c>
      <c r="H140" s="19" t="s">
        <v>6665</v>
      </c>
    </row>
    <row r="141" spans="1:8" ht="15.75" x14ac:dyDescent="0.25">
      <c r="A141" s="19">
        <f t="shared" si="2"/>
        <v>139</v>
      </c>
      <c r="B141" s="43" t="s">
        <v>7681</v>
      </c>
      <c r="C141" s="43">
        <v>9622531795</v>
      </c>
      <c r="D141" s="43" t="s">
        <v>7682</v>
      </c>
      <c r="E141" s="43" t="s">
        <v>7661</v>
      </c>
      <c r="F141" s="21">
        <v>46019</v>
      </c>
      <c r="G141" s="21" t="s">
        <v>341</v>
      </c>
      <c r="H141" s="19" t="s">
        <v>6665</v>
      </c>
    </row>
    <row r="142" spans="1:8" ht="15.75" x14ac:dyDescent="0.25">
      <c r="A142" s="19">
        <f t="shared" si="2"/>
        <v>140</v>
      </c>
      <c r="B142" s="43" t="s">
        <v>7655</v>
      </c>
      <c r="C142" s="43">
        <v>8715929114</v>
      </c>
      <c r="D142" s="43" t="s">
        <v>7707</v>
      </c>
      <c r="E142" s="43" t="s">
        <v>7657</v>
      </c>
      <c r="F142" s="21">
        <v>46020</v>
      </c>
      <c r="G142" s="21" t="s">
        <v>341</v>
      </c>
      <c r="H142" s="19" t="s">
        <v>6665</v>
      </c>
    </row>
    <row r="143" spans="1:8" ht="15.75" x14ac:dyDescent="0.25">
      <c r="A143" s="19">
        <f t="shared" si="2"/>
        <v>141</v>
      </c>
      <c r="B143" s="43" t="s">
        <v>7692</v>
      </c>
      <c r="C143" s="43">
        <v>9622716592</v>
      </c>
      <c r="D143" s="43" t="s">
        <v>7706</v>
      </c>
      <c r="E143" s="43" t="s">
        <v>7703</v>
      </c>
      <c r="F143" s="21">
        <v>46020</v>
      </c>
      <c r="G143" s="21" t="s">
        <v>341</v>
      </c>
      <c r="H143" s="19" t="s">
        <v>6665</v>
      </c>
    </row>
    <row r="144" spans="1:8" ht="15.75" x14ac:dyDescent="0.25">
      <c r="A144" s="19">
        <f t="shared" si="2"/>
        <v>142</v>
      </c>
      <c r="B144" s="43" t="s">
        <v>7728</v>
      </c>
      <c r="C144" s="43">
        <v>9541083744</v>
      </c>
      <c r="D144" s="43" t="s">
        <v>7785</v>
      </c>
      <c r="E144" s="43" t="s">
        <v>7747</v>
      </c>
      <c r="F144" s="21">
        <v>46022</v>
      </c>
      <c r="G144" s="21" t="s">
        <v>341</v>
      </c>
      <c r="H144" s="19" t="s">
        <v>6665</v>
      </c>
    </row>
    <row r="145" spans="1:8" ht="15.75" x14ac:dyDescent="0.25">
      <c r="A145" s="19">
        <f t="shared" si="2"/>
        <v>143</v>
      </c>
      <c r="B145" s="43" t="s">
        <v>7771</v>
      </c>
      <c r="C145" s="43">
        <v>9596336858</v>
      </c>
      <c r="D145" s="43" t="s">
        <v>8175</v>
      </c>
      <c r="E145" s="43" t="s">
        <v>7774</v>
      </c>
      <c r="F145" s="21"/>
      <c r="G145" s="21"/>
      <c r="H145" s="19" t="s">
        <v>8167</v>
      </c>
    </row>
    <row r="146" spans="1:8" ht="15.75" x14ac:dyDescent="0.25">
      <c r="A146" s="19">
        <f t="shared" si="2"/>
        <v>144</v>
      </c>
      <c r="B146" s="43" t="s">
        <v>7742</v>
      </c>
      <c r="C146" s="43">
        <v>7006409005</v>
      </c>
      <c r="D146" s="43" t="s">
        <v>7784</v>
      </c>
      <c r="E146" s="43" t="s">
        <v>7750</v>
      </c>
      <c r="F146" s="21">
        <v>46021</v>
      </c>
      <c r="G146" s="21" t="s">
        <v>341</v>
      </c>
      <c r="H146" s="19" t="s">
        <v>6665</v>
      </c>
    </row>
    <row r="147" spans="1:8" ht="15.75" x14ac:dyDescent="0.25">
      <c r="A147" s="19">
        <f t="shared" si="2"/>
        <v>145</v>
      </c>
      <c r="B147" s="43" t="s">
        <v>7765</v>
      </c>
      <c r="C147" s="43">
        <v>9622775800</v>
      </c>
      <c r="D147" s="43" t="s">
        <v>7815</v>
      </c>
      <c r="E147" s="43" t="s">
        <v>7767</v>
      </c>
      <c r="F147" s="21">
        <v>46022</v>
      </c>
      <c r="G147" s="21" t="s">
        <v>341</v>
      </c>
      <c r="H147" s="19" t="s">
        <v>6665</v>
      </c>
    </row>
    <row r="148" spans="1:8" ht="15.75" x14ac:dyDescent="0.25">
      <c r="A148" s="19">
        <f t="shared" si="2"/>
        <v>146</v>
      </c>
      <c r="B148" s="43" t="s">
        <v>2915</v>
      </c>
      <c r="C148" s="43">
        <v>9906625047</v>
      </c>
      <c r="D148" s="43" t="s">
        <v>7816</v>
      </c>
      <c r="E148" s="43" t="s">
        <v>7748</v>
      </c>
      <c r="F148" s="21">
        <v>46022</v>
      </c>
      <c r="G148" s="21" t="s">
        <v>341</v>
      </c>
      <c r="H148" s="19" t="s">
        <v>6665</v>
      </c>
    </row>
    <row r="149" spans="1:8" ht="15.75" x14ac:dyDescent="0.25">
      <c r="A149" s="19">
        <f t="shared" si="2"/>
        <v>147</v>
      </c>
      <c r="B149" s="43" t="s">
        <v>6391</v>
      </c>
      <c r="C149" s="43">
        <v>8493055195</v>
      </c>
      <c r="D149" s="43" t="s">
        <v>7812</v>
      </c>
      <c r="E149" s="43" t="s">
        <v>6393</v>
      </c>
      <c r="F149" s="21">
        <v>46022</v>
      </c>
      <c r="G149" s="21" t="s">
        <v>341</v>
      </c>
      <c r="H149" s="19" t="s">
        <v>6665</v>
      </c>
    </row>
    <row r="150" spans="1:8" ht="15.75" x14ac:dyDescent="0.25">
      <c r="A150" s="19">
        <f t="shared" si="2"/>
        <v>148</v>
      </c>
      <c r="B150" s="43" t="s">
        <v>7789</v>
      </c>
      <c r="C150" s="43">
        <v>9419070393</v>
      </c>
      <c r="D150" s="43" t="s">
        <v>7813</v>
      </c>
      <c r="E150" s="43" t="s">
        <v>7794</v>
      </c>
      <c r="F150" s="21">
        <v>46022</v>
      </c>
      <c r="G150" s="21" t="s">
        <v>341</v>
      </c>
      <c r="H150" s="19" t="s">
        <v>6665</v>
      </c>
    </row>
    <row r="151" spans="1:8" ht="15.75" x14ac:dyDescent="0.25">
      <c r="A151" s="19">
        <f t="shared" si="2"/>
        <v>149</v>
      </c>
      <c r="B151" s="43" t="s">
        <v>658</v>
      </c>
      <c r="C151" s="43">
        <v>7006898324</v>
      </c>
      <c r="D151" s="43" t="s">
        <v>8144</v>
      </c>
      <c r="E151" s="43" t="s">
        <v>7926</v>
      </c>
      <c r="F151" s="21">
        <v>46029</v>
      </c>
      <c r="G151" s="21" t="s">
        <v>341</v>
      </c>
      <c r="H151" s="19" t="s">
        <v>6665</v>
      </c>
    </row>
    <row r="152" spans="1:8" ht="15.75" x14ac:dyDescent="0.25">
      <c r="A152" s="19">
        <f t="shared" si="2"/>
        <v>150</v>
      </c>
      <c r="B152" s="43" t="s">
        <v>3624</v>
      </c>
      <c r="C152" s="43">
        <v>7006928931</v>
      </c>
      <c r="D152" s="43" t="s">
        <v>8143</v>
      </c>
      <c r="E152" s="43" t="s">
        <v>7749</v>
      </c>
      <c r="F152" s="21">
        <v>46029</v>
      </c>
      <c r="G152" s="21" t="s">
        <v>341</v>
      </c>
      <c r="H152" s="19" t="s">
        <v>6665</v>
      </c>
    </row>
    <row r="153" spans="1:8" ht="15.75" x14ac:dyDescent="0.25">
      <c r="A153" s="19">
        <f t="shared" si="2"/>
        <v>151</v>
      </c>
      <c r="B153" s="43" t="s">
        <v>8062</v>
      </c>
      <c r="C153" s="43">
        <v>9070599346</v>
      </c>
      <c r="D153" s="43" t="s">
        <v>8091</v>
      </c>
      <c r="E153" s="43" t="s">
        <v>8086</v>
      </c>
      <c r="F153" s="21">
        <v>46027</v>
      </c>
      <c r="G153" s="21" t="s">
        <v>341</v>
      </c>
      <c r="H153" s="19" t="s">
        <v>6665</v>
      </c>
    </row>
    <row r="154" spans="1:8" ht="15.75" x14ac:dyDescent="0.25">
      <c r="A154" s="19">
        <f t="shared" si="2"/>
        <v>152</v>
      </c>
      <c r="B154" s="43" t="s">
        <v>8049</v>
      </c>
      <c r="C154" s="43">
        <v>9070111588</v>
      </c>
      <c r="D154" s="43" t="s">
        <v>8147</v>
      </c>
      <c r="E154" s="43" t="s">
        <v>8090</v>
      </c>
      <c r="F154" s="21">
        <v>46028</v>
      </c>
      <c r="G154" s="21" t="s">
        <v>341</v>
      </c>
      <c r="H154" s="19" t="s">
        <v>6665</v>
      </c>
    </row>
    <row r="155" spans="1:8" ht="15.75" x14ac:dyDescent="0.25">
      <c r="A155" s="19">
        <f t="shared" si="2"/>
        <v>153</v>
      </c>
      <c r="B155" s="19" t="s">
        <v>8074</v>
      </c>
      <c r="C155" s="19">
        <v>6005254071</v>
      </c>
      <c r="D155" s="19" t="s">
        <v>8120</v>
      </c>
      <c r="E155" s="19" t="s">
        <v>8087</v>
      </c>
      <c r="F155" s="21">
        <v>46028</v>
      </c>
      <c r="G155" s="21" t="s">
        <v>341</v>
      </c>
      <c r="H155" s="19" t="s">
        <v>6665</v>
      </c>
    </row>
    <row r="156" spans="1:8" ht="15.75" x14ac:dyDescent="0.25">
      <c r="A156" s="19">
        <f t="shared" si="2"/>
        <v>154</v>
      </c>
      <c r="B156" s="19" t="s">
        <v>8066</v>
      </c>
      <c r="C156" s="19">
        <v>9797071432</v>
      </c>
      <c r="D156" s="19" t="s">
        <v>8122</v>
      </c>
      <c r="E156" s="19" t="s">
        <v>8088</v>
      </c>
      <c r="F156" s="21">
        <v>46028</v>
      </c>
      <c r="G156" s="21" t="s">
        <v>341</v>
      </c>
      <c r="H156" s="19" t="s">
        <v>6665</v>
      </c>
    </row>
    <row r="157" spans="1:8" ht="15.75" x14ac:dyDescent="0.25">
      <c r="A157" s="19">
        <f t="shared" si="2"/>
        <v>155</v>
      </c>
      <c r="B157" s="19" t="s">
        <v>8140</v>
      </c>
      <c r="C157" s="19">
        <v>7780804850</v>
      </c>
      <c r="D157" s="19" t="s">
        <v>8141</v>
      </c>
      <c r="E157" s="19" t="s">
        <v>8118</v>
      </c>
      <c r="F157" s="21">
        <v>46029</v>
      </c>
      <c r="G157" s="21" t="s">
        <v>341</v>
      </c>
      <c r="H157" s="19" t="s">
        <v>6665</v>
      </c>
    </row>
    <row r="158" spans="1:8" ht="15.75" x14ac:dyDescent="0.25">
      <c r="A158" s="19">
        <f t="shared" si="2"/>
        <v>156</v>
      </c>
      <c r="B158" s="19" t="s">
        <v>7710</v>
      </c>
      <c r="C158" s="19">
        <v>9622020576</v>
      </c>
      <c r="D158" s="19" t="s">
        <v>8146</v>
      </c>
      <c r="E158" s="19" t="s">
        <v>8810</v>
      </c>
      <c r="F158" s="21">
        <v>46028</v>
      </c>
      <c r="G158" s="21" t="s">
        <v>341</v>
      </c>
      <c r="H158" s="19" t="s">
        <v>6665</v>
      </c>
    </row>
    <row r="159" spans="1:8" ht="15.75" x14ac:dyDescent="0.25">
      <c r="A159" s="19">
        <f t="shared" si="2"/>
        <v>157</v>
      </c>
      <c r="B159" s="19" t="s">
        <v>2915</v>
      </c>
      <c r="C159" s="19">
        <v>9596187640</v>
      </c>
      <c r="D159" s="19" t="s">
        <v>8145</v>
      </c>
      <c r="E159" s="19" t="s">
        <v>7861</v>
      </c>
      <c r="F159" s="21">
        <v>46029</v>
      </c>
      <c r="G159" s="21" t="s">
        <v>341</v>
      </c>
      <c r="H159" s="19" t="s">
        <v>6665</v>
      </c>
    </row>
    <row r="160" spans="1:8" ht="15.75" x14ac:dyDescent="0.25">
      <c r="A160" s="19">
        <f t="shared" si="2"/>
        <v>158</v>
      </c>
      <c r="B160" s="19" t="s">
        <v>8132</v>
      </c>
      <c r="C160" s="19">
        <v>7889666298</v>
      </c>
      <c r="D160" s="19" t="s">
        <v>8133</v>
      </c>
      <c r="E160" s="19" t="s">
        <v>7456</v>
      </c>
      <c r="F160" s="21">
        <v>46029</v>
      </c>
      <c r="G160" s="21" t="s">
        <v>341</v>
      </c>
      <c r="H160" s="19" t="s">
        <v>6665</v>
      </c>
    </row>
    <row r="161" spans="1:8" ht="15.75" x14ac:dyDescent="0.25">
      <c r="A161" s="19">
        <f t="shared" si="2"/>
        <v>159</v>
      </c>
      <c r="B161" s="19" t="s">
        <v>8044</v>
      </c>
      <c r="C161" s="19">
        <v>9906284454</v>
      </c>
      <c r="D161" s="19" t="s">
        <v>8134</v>
      </c>
      <c r="E161" s="19" t="s">
        <v>8085</v>
      </c>
      <c r="F161" s="21">
        <v>46029</v>
      </c>
      <c r="G161" s="21" t="s">
        <v>341</v>
      </c>
      <c r="H161" s="19" t="s">
        <v>6665</v>
      </c>
    </row>
    <row r="162" spans="1:8" ht="15.75" x14ac:dyDescent="0.25">
      <c r="A162" s="19">
        <f t="shared" si="2"/>
        <v>160</v>
      </c>
      <c r="B162" s="19" t="s">
        <v>6772</v>
      </c>
      <c r="C162" s="19">
        <v>7006274587</v>
      </c>
      <c r="D162" s="19" t="s">
        <v>8174</v>
      </c>
      <c r="E162" s="19" t="s">
        <v>7729</v>
      </c>
      <c r="F162" s="21">
        <v>46029</v>
      </c>
      <c r="G162" s="21" t="s">
        <v>341</v>
      </c>
      <c r="H162" s="19" t="s">
        <v>6665</v>
      </c>
    </row>
    <row r="163" spans="1:8" ht="15.75" x14ac:dyDescent="0.25">
      <c r="A163" s="19">
        <f t="shared" si="2"/>
        <v>161</v>
      </c>
      <c r="B163" s="19" t="s">
        <v>8176</v>
      </c>
      <c r="C163" s="19">
        <v>9018734100</v>
      </c>
      <c r="D163" s="19" t="s">
        <v>8177</v>
      </c>
      <c r="E163" s="19" t="s">
        <v>8166</v>
      </c>
      <c r="F163" s="21">
        <v>46029</v>
      </c>
      <c r="G163" s="21" t="s">
        <v>341</v>
      </c>
      <c r="H163" s="19" t="s">
        <v>6665</v>
      </c>
    </row>
    <row r="164" spans="1:8" ht="15.75" x14ac:dyDescent="0.25">
      <c r="A164" s="19">
        <f t="shared" si="2"/>
        <v>162</v>
      </c>
      <c r="B164" s="19" t="s">
        <v>2303</v>
      </c>
      <c r="C164" s="19">
        <v>9797443009</v>
      </c>
      <c r="D164" s="19" t="s">
        <v>8210</v>
      </c>
      <c r="E164" s="19" t="s">
        <v>8116</v>
      </c>
      <c r="F164" s="21">
        <v>46030</v>
      </c>
      <c r="G164" s="21" t="s">
        <v>341</v>
      </c>
      <c r="H164" s="19" t="s">
        <v>8167</v>
      </c>
    </row>
    <row r="165" spans="1:8" ht="15.75" x14ac:dyDescent="0.25">
      <c r="A165" s="19">
        <f t="shared" si="2"/>
        <v>163</v>
      </c>
      <c r="B165" s="19" t="s">
        <v>8170</v>
      </c>
      <c r="C165" s="19">
        <v>9596443329</v>
      </c>
      <c r="D165" s="19" t="s">
        <v>8209</v>
      </c>
      <c r="E165" s="19" t="s">
        <v>8172</v>
      </c>
      <c r="F165" s="21">
        <v>46030</v>
      </c>
      <c r="G165" s="21" t="s">
        <v>341</v>
      </c>
      <c r="H165" s="19" t="s">
        <v>6665</v>
      </c>
    </row>
    <row r="166" spans="1:8" ht="15.75" x14ac:dyDescent="0.25">
      <c r="A166" s="19">
        <f t="shared" si="2"/>
        <v>164</v>
      </c>
      <c r="B166" s="19" t="s">
        <v>8107</v>
      </c>
      <c r="C166" s="19">
        <v>8899110779</v>
      </c>
      <c r="D166" s="19" t="s">
        <v>8212</v>
      </c>
      <c r="E166" s="19" t="s">
        <v>8119</v>
      </c>
      <c r="F166" s="21">
        <v>46030</v>
      </c>
      <c r="G166" s="21" t="s">
        <v>341</v>
      </c>
      <c r="H166" s="19" t="s">
        <v>6665</v>
      </c>
    </row>
    <row r="167" spans="1:8" ht="15.75" x14ac:dyDescent="0.25">
      <c r="A167" s="19">
        <f t="shared" si="2"/>
        <v>165</v>
      </c>
      <c r="B167" s="19" t="s">
        <v>8184</v>
      </c>
      <c r="C167" s="19">
        <v>7889664350</v>
      </c>
      <c r="D167" s="19" t="s">
        <v>8222</v>
      </c>
      <c r="E167" s="19" t="s">
        <v>8186</v>
      </c>
      <c r="F167" s="21">
        <v>46030</v>
      </c>
      <c r="G167" s="21" t="s">
        <v>341</v>
      </c>
      <c r="H167" s="19" t="s">
        <v>6665</v>
      </c>
    </row>
    <row r="168" spans="1:8" ht="15.75" x14ac:dyDescent="0.25">
      <c r="A168" s="19">
        <f t="shared" si="2"/>
        <v>166</v>
      </c>
      <c r="B168" s="19" t="s">
        <v>8219</v>
      </c>
      <c r="C168" s="19">
        <v>6006052436</v>
      </c>
      <c r="D168" s="19" t="s">
        <v>8220</v>
      </c>
      <c r="E168" s="19" t="s">
        <v>7783</v>
      </c>
      <c r="F168" s="21">
        <v>46030</v>
      </c>
      <c r="G168" s="21" t="s">
        <v>341</v>
      </c>
      <c r="H168" s="19" t="s">
        <v>6665</v>
      </c>
    </row>
    <row r="169" spans="1:8" ht="15.75" x14ac:dyDescent="0.25">
      <c r="A169" s="19">
        <f t="shared" si="2"/>
        <v>167</v>
      </c>
      <c r="B169" s="19" t="s">
        <v>8216</v>
      </c>
      <c r="C169" s="19">
        <v>6005379500</v>
      </c>
      <c r="D169" s="19" t="s">
        <v>8225</v>
      </c>
      <c r="E169" s="19"/>
      <c r="F169" s="21">
        <v>46030</v>
      </c>
      <c r="G169" s="21" t="s">
        <v>341</v>
      </c>
      <c r="H169" s="19" t="s">
        <v>8167</v>
      </c>
    </row>
    <row r="170" spans="1:8" ht="15.75" x14ac:dyDescent="0.25">
      <c r="A170" s="19">
        <f t="shared" si="2"/>
        <v>168</v>
      </c>
      <c r="B170" s="19" t="s">
        <v>8181</v>
      </c>
      <c r="C170" s="19">
        <v>9906409906</v>
      </c>
      <c r="D170" s="19" t="s">
        <v>8224</v>
      </c>
      <c r="E170" s="19" t="s">
        <v>8193</v>
      </c>
      <c r="F170" s="21">
        <v>46030</v>
      </c>
      <c r="G170" s="21" t="s">
        <v>341</v>
      </c>
      <c r="H170" s="19" t="s">
        <v>6665</v>
      </c>
    </row>
    <row r="171" spans="1:8" ht="15.75" x14ac:dyDescent="0.25">
      <c r="A171" s="19">
        <f t="shared" si="2"/>
        <v>169</v>
      </c>
      <c r="B171" s="19" t="s">
        <v>8201</v>
      </c>
      <c r="C171" s="19">
        <v>8491882203</v>
      </c>
      <c r="D171" s="19" t="s">
        <v>8226</v>
      </c>
      <c r="E171" s="19" t="s">
        <v>8208</v>
      </c>
      <c r="F171" s="21">
        <v>46031</v>
      </c>
      <c r="G171" s="21" t="s">
        <v>341</v>
      </c>
      <c r="H171" s="19" t="s">
        <v>6665</v>
      </c>
    </row>
    <row r="172" spans="1:8" ht="15.75" x14ac:dyDescent="0.25">
      <c r="A172" s="19">
        <f t="shared" si="2"/>
        <v>170</v>
      </c>
      <c r="B172" s="19" t="s">
        <v>8204</v>
      </c>
      <c r="C172" s="19">
        <v>7780867070</v>
      </c>
      <c r="D172" s="19" t="s">
        <v>8230</v>
      </c>
      <c r="E172" s="19" t="s">
        <v>8207</v>
      </c>
      <c r="F172" s="21">
        <v>46031</v>
      </c>
      <c r="G172" s="21" t="s">
        <v>341</v>
      </c>
      <c r="H172" s="19" t="s">
        <v>6665</v>
      </c>
    </row>
    <row r="173" spans="1:8" ht="15.75" x14ac:dyDescent="0.25">
      <c r="A173" s="19">
        <f t="shared" si="2"/>
        <v>171</v>
      </c>
      <c r="B173" s="19" t="s">
        <v>8102</v>
      </c>
      <c r="C173" s="19">
        <v>9622595048</v>
      </c>
      <c r="D173" s="19" t="s">
        <v>8231</v>
      </c>
      <c r="E173" s="19" t="s">
        <v>8117</v>
      </c>
      <c r="F173" s="21">
        <v>46031</v>
      </c>
      <c r="G173" s="21" t="s">
        <v>341</v>
      </c>
      <c r="H173" s="19" t="s">
        <v>6665</v>
      </c>
    </row>
    <row r="174" spans="1:8" ht="15.75" x14ac:dyDescent="0.25">
      <c r="A174" s="19">
        <f t="shared" si="2"/>
        <v>172</v>
      </c>
      <c r="B174" s="19" t="s">
        <v>5986</v>
      </c>
      <c r="C174" s="19">
        <v>9149483760</v>
      </c>
      <c r="D174" s="19" t="s">
        <v>8237</v>
      </c>
      <c r="E174" s="19" t="s">
        <v>5987</v>
      </c>
      <c r="F174" s="21">
        <v>46032</v>
      </c>
      <c r="G174" s="21" t="s">
        <v>398</v>
      </c>
      <c r="H174" s="19" t="s">
        <v>6665</v>
      </c>
    </row>
    <row r="175" spans="1:8" ht="15.75" x14ac:dyDescent="0.25">
      <c r="A175" s="19">
        <f t="shared" si="2"/>
        <v>173</v>
      </c>
      <c r="B175" s="19" t="s">
        <v>8245</v>
      </c>
      <c r="C175" s="19">
        <v>9797723564</v>
      </c>
      <c r="D175" s="19" t="s">
        <v>8246</v>
      </c>
      <c r="E175" s="19" t="s">
        <v>8247</v>
      </c>
      <c r="F175" s="21">
        <v>46034</v>
      </c>
      <c r="G175" s="21" t="s">
        <v>8248</v>
      </c>
      <c r="H175" s="19" t="s">
        <v>6665</v>
      </c>
    </row>
    <row r="176" spans="1:8" ht="15.75" x14ac:dyDescent="0.25">
      <c r="A176" s="19">
        <f t="shared" si="2"/>
        <v>174</v>
      </c>
      <c r="B176" s="19" t="s">
        <v>8808</v>
      </c>
      <c r="C176" s="19">
        <v>7006357015</v>
      </c>
      <c r="D176" s="19" t="s">
        <v>8254</v>
      </c>
      <c r="E176" s="19" t="s">
        <v>8809</v>
      </c>
      <c r="F176" s="21">
        <v>46063</v>
      </c>
      <c r="G176" s="21" t="s">
        <v>342</v>
      </c>
      <c r="H176" s="19" t="s">
        <v>6665</v>
      </c>
    </row>
    <row r="177" spans="1:8" ht="15.75" x14ac:dyDescent="0.25">
      <c r="A177" s="19">
        <f t="shared" si="2"/>
        <v>175</v>
      </c>
      <c r="B177" s="19"/>
      <c r="C177" s="19"/>
      <c r="D177" s="19" t="s">
        <v>8255</v>
      </c>
      <c r="E177" s="19"/>
      <c r="F177" s="21"/>
      <c r="G177" s="21" t="s">
        <v>342</v>
      </c>
      <c r="H177" s="19" t="s">
        <v>8167</v>
      </c>
    </row>
    <row r="178" spans="1:8" ht="15.75" x14ac:dyDescent="0.25">
      <c r="A178" s="19">
        <f t="shared" si="2"/>
        <v>176</v>
      </c>
      <c r="B178" s="19" t="s">
        <v>7841</v>
      </c>
      <c r="C178" s="19">
        <v>7006176206</v>
      </c>
      <c r="D178" s="19" t="s">
        <v>8256</v>
      </c>
      <c r="E178" s="19" t="s">
        <v>7859</v>
      </c>
      <c r="F178" s="21">
        <v>46058</v>
      </c>
      <c r="G178" s="21" t="s">
        <v>342</v>
      </c>
      <c r="H178" s="19" t="s">
        <v>8167</v>
      </c>
    </row>
    <row r="179" spans="1:8" ht="15.75" x14ac:dyDescent="0.25">
      <c r="A179" s="19">
        <f t="shared" si="2"/>
        <v>177</v>
      </c>
      <c r="B179" s="19" t="s">
        <v>8557</v>
      </c>
      <c r="C179" s="19">
        <v>7006175754</v>
      </c>
      <c r="D179" s="19" t="s">
        <v>8257</v>
      </c>
      <c r="E179" s="19" t="s">
        <v>8473</v>
      </c>
      <c r="F179" s="21">
        <v>46055</v>
      </c>
      <c r="G179" s="21" t="s">
        <v>342</v>
      </c>
      <c r="H179" s="19" t="s">
        <v>8167</v>
      </c>
    </row>
    <row r="180" spans="1:8" ht="15.75" x14ac:dyDescent="0.25">
      <c r="A180" s="19">
        <f t="shared" si="2"/>
        <v>178</v>
      </c>
      <c r="B180" s="19" t="s">
        <v>8361</v>
      </c>
      <c r="C180" s="19">
        <v>9797013003</v>
      </c>
      <c r="D180" s="19" t="s">
        <v>8258</v>
      </c>
      <c r="E180" s="19" t="s">
        <v>8362</v>
      </c>
      <c r="F180" s="21">
        <v>46043</v>
      </c>
      <c r="G180" s="21" t="s">
        <v>342</v>
      </c>
      <c r="H180" s="19" t="s">
        <v>6665</v>
      </c>
    </row>
    <row r="181" spans="1:8" ht="15.75" x14ac:dyDescent="0.25">
      <c r="A181" s="19">
        <f t="shared" si="2"/>
        <v>179</v>
      </c>
      <c r="B181" s="19" t="s">
        <v>8363</v>
      </c>
      <c r="C181" s="19">
        <v>7006747731</v>
      </c>
      <c r="D181" s="19" t="s">
        <v>8259</v>
      </c>
      <c r="E181" s="19" t="s">
        <v>8364</v>
      </c>
      <c r="F181" s="21">
        <v>46041</v>
      </c>
      <c r="G181" s="21" t="s">
        <v>342</v>
      </c>
      <c r="H181" s="19" t="s">
        <v>6665</v>
      </c>
    </row>
    <row r="182" spans="1:8" ht="15.75" x14ac:dyDescent="0.25">
      <c r="A182" s="19">
        <f t="shared" si="2"/>
        <v>180</v>
      </c>
      <c r="B182" s="19" t="s">
        <v>7958</v>
      </c>
      <c r="C182" s="19">
        <v>9682505719</v>
      </c>
      <c r="D182" s="19" t="s">
        <v>8260</v>
      </c>
      <c r="E182" s="19" t="s">
        <v>7960</v>
      </c>
      <c r="F182" s="21">
        <v>46035</v>
      </c>
      <c r="G182" s="21" t="s">
        <v>342</v>
      </c>
      <c r="H182" s="19" t="s">
        <v>6665</v>
      </c>
    </row>
    <row r="183" spans="1:8" ht="15.75" x14ac:dyDescent="0.25">
      <c r="A183" s="19">
        <f t="shared" si="2"/>
        <v>181</v>
      </c>
      <c r="B183" s="19" t="s">
        <v>8250</v>
      </c>
      <c r="C183" s="19">
        <v>9596935377</v>
      </c>
      <c r="D183" s="19" t="s">
        <v>8251</v>
      </c>
      <c r="E183" s="19" t="s">
        <v>8252</v>
      </c>
      <c r="F183" s="21">
        <v>46035</v>
      </c>
      <c r="G183" s="21" t="s">
        <v>8253</v>
      </c>
      <c r="H183" s="19" t="s">
        <v>6665</v>
      </c>
    </row>
    <row r="184" spans="1:8" ht="15.75" x14ac:dyDescent="0.25">
      <c r="A184" s="19">
        <f t="shared" si="2"/>
        <v>182</v>
      </c>
      <c r="B184" s="19" t="s">
        <v>6433</v>
      </c>
      <c r="C184" s="19">
        <v>7298545112</v>
      </c>
      <c r="D184" s="19" t="s">
        <v>8262</v>
      </c>
      <c r="E184" s="19" t="s">
        <v>8080</v>
      </c>
      <c r="F184" s="21">
        <v>46036</v>
      </c>
      <c r="G184" s="21" t="s">
        <v>341</v>
      </c>
      <c r="H184" s="19" t="s">
        <v>6665</v>
      </c>
    </row>
    <row r="185" spans="1:8" ht="15.75" x14ac:dyDescent="0.25">
      <c r="A185" s="19">
        <f t="shared" si="2"/>
        <v>183</v>
      </c>
      <c r="B185" s="19" t="s">
        <v>8282</v>
      </c>
      <c r="C185" s="19">
        <v>9622544857</v>
      </c>
      <c r="D185" s="19" t="s">
        <v>8283</v>
      </c>
      <c r="E185" s="19" t="s">
        <v>8278</v>
      </c>
      <c r="F185" s="21">
        <v>46038</v>
      </c>
      <c r="G185" s="21" t="s">
        <v>341</v>
      </c>
      <c r="H185" s="19" t="s">
        <v>6665</v>
      </c>
    </row>
    <row r="186" spans="1:8" ht="15.75" x14ac:dyDescent="0.25">
      <c r="A186" s="19">
        <f t="shared" si="2"/>
        <v>184</v>
      </c>
      <c r="B186" s="19" t="s">
        <v>3244</v>
      </c>
      <c r="C186" s="19">
        <v>6006475366</v>
      </c>
      <c r="D186" s="19" t="s">
        <v>8293</v>
      </c>
      <c r="E186" s="19" t="s">
        <v>8292</v>
      </c>
      <c r="F186" s="21">
        <v>46041</v>
      </c>
      <c r="G186" s="21" t="s">
        <v>341</v>
      </c>
      <c r="H186" s="19" t="s">
        <v>6665</v>
      </c>
    </row>
    <row r="187" spans="1:8" ht="15.75" x14ac:dyDescent="0.25">
      <c r="A187" s="19">
        <f t="shared" si="2"/>
        <v>185</v>
      </c>
      <c r="B187" s="19" t="s">
        <v>8306</v>
      </c>
      <c r="C187" s="19">
        <v>9797811436</v>
      </c>
      <c r="D187" s="19" t="s">
        <v>8305</v>
      </c>
      <c r="E187" s="19" t="s">
        <v>8294</v>
      </c>
      <c r="F187" s="21">
        <v>46041</v>
      </c>
      <c r="G187" s="21" t="s">
        <v>341</v>
      </c>
      <c r="H187" s="19" t="s">
        <v>6665</v>
      </c>
    </row>
    <row r="188" spans="1:8" ht="15.75" x14ac:dyDescent="0.25">
      <c r="A188" s="19">
        <f t="shared" si="2"/>
        <v>186</v>
      </c>
      <c r="B188" s="19" t="s">
        <v>8302</v>
      </c>
      <c r="C188" s="19">
        <v>9797865646</v>
      </c>
      <c r="D188" s="19" t="s">
        <v>8324</v>
      </c>
      <c r="E188" s="19" t="s">
        <v>8304</v>
      </c>
      <c r="F188" s="21">
        <v>46042</v>
      </c>
      <c r="G188" s="21" t="s">
        <v>341</v>
      </c>
      <c r="H188" s="19" t="s">
        <v>6665</v>
      </c>
    </row>
    <row r="189" spans="1:8" ht="15.75" x14ac:dyDescent="0.25">
      <c r="A189" s="19">
        <f t="shared" si="2"/>
        <v>187</v>
      </c>
      <c r="B189" s="19" t="s">
        <v>8280</v>
      </c>
      <c r="C189" s="19">
        <v>7022282286</v>
      </c>
      <c r="D189" s="19" t="s">
        <v>8325</v>
      </c>
      <c r="E189" s="19" t="s">
        <v>8307</v>
      </c>
      <c r="F189" s="21">
        <v>46042</v>
      </c>
      <c r="G189" s="21" t="s">
        <v>341</v>
      </c>
      <c r="H189" s="19" t="s">
        <v>6665</v>
      </c>
    </row>
    <row r="190" spans="1:8" ht="15.75" x14ac:dyDescent="0.25">
      <c r="A190" s="19">
        <f t="shared" si="2"/>
        <v>188</v>
      </c>
      <c r="B190" s="19" t="s">
        <v>410</v>
      </c>
      <c r="C190" s="19">
        <v>9906774785</v>
      </c>
      <c r="D190" s="19" t="s">
        <v>8356</v>
      </c>
      <c r="E190" s="19" t="s">
        <v>8303</v>
      </c>
      <c r="F190" s="21">
        <v>46043</v>
      </c>
      <c r="G190" s="21" t="s">
        <v>341</v>
      </c>
      <c r="H190" s="19" t="s">
        <v>6665</v>
      </c>
    </row>
    <row r="191" spans="1:8" ht="15.75" x14ac:dyDescent="0.25">
      <c r="A191" s="19">
        <f t="shared" si="2"/>
        <v>189</v>
      </c>
      <c r="B191" s="19" t="s">
        <v>3155</v>
      </c>
      <c r="C191" s="19">
        <v>9906655656</v>
      </c>
      <c r="D191" s="19" t="s">
        <v>8358</v>
      </c>
      <c r="E191" s="19" t="s">
        <v>8320</v>
      </c>
      <c r="F191" s="21">
        <v>46043</v>
      </c>
      <c r="G191" s="21" t="s">
        <v>341</v>
      </c>
      <c r="H191" s="19" t="s">
        <v>6665</v>
      </c>
    </row>
    <row r="192" spans="1:8" ht="15.75" x14ac:dyDescent="0.25">
      <c r="A192" s="19">
        <f t="shared" si="2"/>
        <v>190</v>
      </c>
      <c r="B192" s="19" t="s">
        <v>8346</v>
      </c>
      <c r="C192" s="19">
        <v>8899953394</v>
      </c>
      <c r="D192" s="19" t="s">
        <v>8357</v>
      </c>
      <c r="E192" s="19" t="s">
        <v>8348</v>
      </c>
      <c r="F192" s="21">
        <v>46043</v>
      </c>
      <c r="G192" s="21" t="s">
        <v>341</v>
      </c>
      <c r="H192" s="19" t="s">
        <v>6665</v>
      </c>
    </row>
    <row r="193" spans="1:8" ht="15.75" x14ac:dyDescent="0.25">
      <c r="A193" s="19">
        <f t="shared" si="2"/>
        <v>191</v>
      </c>
      <c r="B193" s="19" t="s">
        <v>8329</v>
      </c>
      <c r="C193" s="19">
        <v>7006287562</v>
      </c>
      <c r="D193" s="19" t="s">
        <v>8355</v>
      </c>
      <c r="E193" s="19" t="s">
        <v>8349</v>
      </c>
      <c r="F193" s="21">
        <v>46043</v>
      </c>
      <c r="G193" s="21" t="s">
        <v>341</v>
      </c>
      <c r="H193" s="19" t="s">
        <v>6665</v>
      </c>
    </row>
    <row r="194" spans="1:8" ht="15.75" x14ac:dyDescent="0.25">
      <c r="A194" s="19">
        <f t="shared" si="2"/>
        <v>192</v>
      </c>
      <c r="B194" s="19" t="s">
        <v>8698</v>
      </c>
      <c r="C194" s="19">
        <v>9622700982</v>
      </c>
      <c r="D194" s="19" t="s">
        <v>8359</v>
      </c>
      <c r="E194" s="19" t="s">
        <v>8699</v>
      </c>
      <c r="F194" s="21">
        <v>46043</v>
      </c>
      <c r="G194" s="21" t="s">
        <v>342</v>
      </c>
      <c r="H194" s="19" t="s">
        <v>8167</v>
      </c>
    </row>
    <row r="195" spans="1:8" ht="15.75" x14ac:dyDescent="0.25">
      <c r="A195" s="19">
        <f t="shared" si="2"/>
        <v>193</v>
      </c>
      <c r="B195" s="19" t="s">
        <v>8270</v>
      </c>
      <c r="C195" s="19">
        <v>7006595403</v>
      </c>
      <c r="D195" s="19" t="s">
        <v>8360</v>
      </c>
      <c r="E195" s="19" t="s">
        <v>8273</v>
      </c>
      <c r="F195" s="21">
        <v>46062</v>
      </c>
      <c r="G195" s="21" t="s">
        <v>342</v>
      </c>
      <c r="H195" s="19" t="s">
        <v>6665</v>
      </c>
    </row>
    <row r="196" spans="1:8" ht="15.75" x14ac:dyDescent="0.25">
      <c r="A196" s="19">
        <f t="shared" ref="A196:A259" si="3">ROW()-2</f>
        <v>194</v>
      </c>
      <c r="B196" s="19" t="s">
        <v>8368</v>
      </c>
      <c r="C196" s="19">
        <v>7889670084</v>
      </c>
      <c r="D196" s="19" t="s">
        <v>8377</v>
      </c>
      <c r="E196" s="19" t="s">
        <v>8369</v>
      </c>
      <c r="F196" s="21">
        <v>46044</v>
      </c>
      <c r="G196" s="21" t="s">
        <v>341</v>
      </c>
      <c r="H196" s="19" t="s">
        <v>6665</v>
      </c>
    </row>
    <row r="197" spans="1:8" ht="15.75" x14ac:dyDescent="0.25">
      <c r="A197" s="19">
        <f t="shared" si="3"/>
        <v>195</v>
      </c>
      <c r="B197" s="19" t="s">
        <v>8380</v>
      </c>
      <c r="C197" s="19">
        <v>7889538703</v>
      </c>
      <c r="D197" s="19" t="s">
        <v>8383</v>
      </c>
      <c r="E197" s="19" t="s">
        <v>8381</v>
      </c>
      <c r="F197" s="21">
        <v>46049</v>
      </c>
      <c r="G197" s="21" t="s">
        <v>341</v>
      </c>
      <c r="H197" s="19" t="s">
        <v>6665</v>
      </c>
    </row>
    <row r="198" spans="1:8" ht="15.75" x14ac:dyDescent="0.25">
      <c r="A198" s="19">
        <f t="shared" si="3"/>
        <v>196</v>
      </c>
      <c r="B198" s="19" t="s">
        <v>8176</v>
      </c>
      <c r="C198" s="19">
        <v>7006154741</v>
      </c>
      <c r="D198" s="19" t="s">
        <v>8408</v>
      </c>
      <c r="E198" s="19" t="s">
        <v>8397</v>
      </c>
      <c r="F198" s="21">
        <v>46050</v>
      </c>
      <c r="G198" s="21" t="s">
        <v>341</v>
      </c>
      <c r="H198" s="19" t="s">
        <v>6665</v>
      </c>
    </row>
    <row r="199" spans="1:8" ht="15.75" x14ac:dyDescent="0.25">
      <c r="A199" s="19">
        <f t="shared" si="3"/>
        <v>197</v>
      </c>
      <c r="B199" s="19" t="s">
        <v>8390</v>
      </c>
      <c r="C199" s="19">
        <v>7889844675</v>
      </c>
      <c r="D199" s="19" t="s">
        <v>8409</v>
      </c>
      <c r="E199" s="19" t="s">
        <v>8396</v>
      </c>
      <c r="F199" s="21">
        <v>46050</v>
      </c>
      <c r="G199" s="21" t="s">
        <v>341</v>
      </c>
      <c r="H199" s="19" t="s">
        <v>6665</v>
      </c>
    </row>
    <row r="200" spans="1:8" ht="15.75" x14ac:dyDescent="0.25">
      <c r="A200" s="19">
        <f t="shared" si="3"/>
        <v>198</v>
      </c>
      <c r="B200" s="19" t="s">
        <v>3561</v>
      </c>
      <c r="C200" s="19"/>
      <c r="D200" s="19" t="s">
        <v>8458</v>
      </c>
      <c r="E200" s="19" t="s">
        <v>8415</v>
      </c>
      <c r="F200" s="21">
        <v>46051</v>
      </c>
      <c r="G200" s="21" t="s">
        <v>341</v>
      </c>
      <c r="H200" s="19" t="s">
        <v>6665</v>
      </c>
    </row>
    <row r="201" spans="1:8" ht="15.75" x14ac:dyDescent="0.25">
      <c r="A201" s="19">
        <f t="shared" si="3"/>
        <v>199</v>
      </c>
      <c r="B201" s="19" t="s">
        <v>8413</v>
      </c>
      <c r="C201" s="19">
        <v>9596194280</v>
      </c>
      <c r="D201" s="19" t="s">
        <v>8459</v>
      </c>
      <c r="E201" s="19" t="s">
        <v>8433</v>
      </c>
      <c r="F201" s="21">
        <v>46051</v>
      </c>
      <c r="G201" s="21" t="s">
        <v>341</v>
      </c>
      <c r="H201" s="19" t="s">
        <v>6665</v>
      </c>
    </row>
    <row r="202" spans="1:8" ht="15.75" x14ac:dyDescent="0.25">
      <c r="A202" s="19">
        <f t="shared" si="3"/>
        <v>200</v>
      </c>
      <c r="B202" s="19" t="s">
        <v>8445</v>
      </c>
      <c r="C202" s="19">
        <v>9055007706</v>
      </c>
      <c r="D202" s="19" t="s">
        <v>8460</v>
      </c>
      <c r="E202" s="19" t="s">
        <v>8448</v>
      </c>
      <c r="F202" s="21">
        <v>46051</v>
      </c>
      <c r="G202" s="21" t="s">
        <v>341</v>
      </c>
      <c r="H202" s="19" t="s">
        <v>6665</v>
      </c>
    </row>
    <row r="203" spans="1:8" ht="15.75" x14ac:dyDescent="0.25">
      <c r="A203" s="19">
        <f t="shared" si="3"/>
        <v>201</v>
      </c>
      <c r="B203" s="19" t="s">
        <v>4781</v>
      </c>
      <c r="C203" s="19">
        <v>7006788825</v>
      </c>
      <c r="D203" s="19" t="s">
        <v>8463</v>
      </c>
      <c r="E203" s="19" t="s">
        <v>8447</v>
      </c>
      <c r="F203" s="21">
        <v>46052</v>
      </c>
      <c r="G203" s="21" t="s">
        <v>341</v>
      </c>
      <c r="H203" s="19" t="s">
        <v>6665</v>
      </c>
    </row>
    <row r="204" spans="1:8" ht="15.75" x14ac:dyDescent="0.25">
      <c r="A204" s="19">
        <f t="shared" si="3"/>
        <v>202</v>
      </c>
      <c r="B204" s="19" t="s">
        <v>8474</v>
      </c>
      <c r="C204" s="19">
        <v>9149943016</v>
      </c>
      <c r="D204" s="19" t="s">
        <v>8475</v>
      </c>
      <c r="E204" s="19" t="s">
        <v>8446</v>
      </c>
      <c r="F204" s="21">
        <v>46052</v>
      </c>
      <c r="G204" s="21" t="s">
        <v>341</v>
      </c>
      <c r="H204" s="19" t="s">
        <v>6665</v>
      </c>
    </row>
    <row r="205" spans="1:8" ht="15.75" x14ac:dyDescent="0.25">
      <c r="A205" s="19">
        <f t="shared" si="3"/>
        <v>203</v>
      </c>
      <c r="B205" s="19" t="s">
        <v>8471</v>
      </c>
      <c r="C205" s="19">
        <v>9541545355</v>
      </c>
      <c r="D205" s="19" t="s">
        <v>8498</v>
      </c>
      <c r="E205" s="19" t="s">
        <v>8472</v>
      </c>
      <c r="F205" s="21">
        <v>46052</v>
      </c>
      <c r="G205" s="21" t="s">
        <v>341</v>
      </c>
      <c r="H205" s="19" t="s">
        <v>6665</v>
      </c>
    </row>
    <row r="206" spans="1:8" ht="15.75" x14ac:dyDescent="0.25">
      <c r="A206" s="19">
        <f t="shared" si="3"/>
        <v>204</v>
      </c>
      <c r="B206" s="19" t="s">
        <v>8452</v>
      </c>
      <c r="C206" s="19">
        <v>9622217999</v>
      </c>
      <c r="D206" s="19" t="s">
        <v>8497</v>
      </c>
      <c r="E206" s="19" t="s">
        <v>8461</v>
      </c>
      <c r="F206" s="21">
        <v>46052</v>
      </c>
      <c r="G206" s="21" t="s">
        <v>341</v>
      </c>
      <c r="H206" s="19" t="s">
        <v>6665</v>
      </c>
    </row>
    <row r="207" spans="1:8" ht="15.75" x14ac:dyDescent="0.25">
      <c r="A207" s="19">
        <f t="shared" si="3"/>
        <v>205</v>
      </c>
      <c r="B207" s="19" t="s">
        <v>8456</v>
      </c>
      <c r="C207" s="19">
        <v>7006896658</v>
      </c>
      <c r="D207" s="19" t="s">
        <v>8519</v>
      </c>
      <c r="E207" s="19" t="s">
        <v>8462</v>
      </c>
      <c r="F207" s="21">
        <v>46053</v>
      </c>
      <c r="G207" s="21" t="s">
        <v>341</v>
      </c>
      <c r="H207" s="19" t="s">
        <v>6665</v>
      </c>
    </row>
    <row r="208" spans="1:8" ht="15.75" x14ac:dyDescent="0.25">
      <c r="A208" s="19">
        <f t="shared" si="3"/>
        <v>206</v>
      </c>
      <c r="B208" s="19" t="s">
        <v>3610</v>
      </c>
      <c r="C208" s="19">
        <v>9596498016</v>
      </c>
      <c r="D208" s="19" t="s">
        <v>8533</v>
      </c>
      <c r="E208" s="19" t="s">
        <v>8487</v>
      </c>
      <c r="F208" s="21">
        <v>46053</v>
      </c>
      <c r="G208" s="21" t="s">
        <v>341</v>
      </c>
      <c r="H208" s="19" t="s">
        <v>6665</v>
      </c>
    </row>
    <row r="209" spans="1:8" ht="15.75" x14ac:dyDescent="0.25">
      <c r="A209" s="19">
        <f t="shared" si="3"/>
        <v>207</v>
      </c>
      <c r="B209" s="19" t="s">
        <v>8508</v>
      </c>
      <c r="C209" s="19">
        <v>9541399468</v>
      </c>
      <c r="D209" s="19" t="s">
        <v>8532</v>
      </c>
      <c r="E209" s="19" t="s">
        <v>8517</v>
      </c>
      <c r="F209" s="21">
        <v>46053</v>
      </c>
      <c r="G209" s="21" t="s">
        <v>341</v>
      </c>
      <c r="H209" s="19" t="s">
        <v>6665</v>
      </c>
    </row>
    <row r="210" spans="1:8" ht="15.75" x14ac:dyDescent="0.25">
      <c r="A210" s="19">
        <f t="shared" si="3"/>
        <v>208</v>
      </c>
      <c r="B210" s="19" t="s">
        <v>4947</v>
      </c>
      <c r="C210" s="19">
        <v>6006480663</v>
      </c>
      <c r="D210" s="19" t="s">
        <v>8531</v>
      </c>
      <c r="E210" s="19" t="s">
        <v>8518</v>
      </c>
      <c r="F210" s="21">
        <v>46053</v>
      </c>
      <c r="G210" s="21" t="s">
        <v>341</v>
      </c>
      <c r="H210" s="19" t="s">
        <v>6665</v>
      </c>
    </row>
    <row r="211" spans="1:8" ht="15.75" x14ac:dyDescent="0.25">
      <c r="A211" s="19">
        <f t="shared" si="3"/>
        <v>209</v>
      </c>
      <c r="B211" s="19" t="s">
        <v>8386</v>
      </c>
      <c r="C211" s="19">
        <v>6006516082</v>
      </c>
      <c r="D211" s="19" t="s">
        <v>8555</v>
      </c>
      <c r="E211" s="19" t="s">
        <v>8395</v>
      </c>
      <c r="F211" s="21">
        <v>46055</v>
      </c>
      <c r="G211" s="21" t="s">
        <v>341</v>
      </c>
      <c r="H211" s="19" t="s">
        <v>6665</v>
      </c>
    </row>
    <row r="212" spans="1:8" ht="15.75" x14ac:dyDescent="0.25">
      <c r="A212" s="19">
        <f t="shared" si="3"/>
        <v>210</v>
      </c>
      <c r="B212" s="19" t="s">
        <v>1959</v>
      </c>
      <c r="C212" s="19">
        <v>9906410003</v>
      </c>
      <c r="D212" s="19" t="s">
        <v>8556</v>
      </c>
      <c r="E212" s="19" t="s">
        <v>8511</v>
      </c>
      <c r="F212" s="21">
        <v>46055</v>
      </c>
      <c r="G212" s="21" t="s">
        <v>341</v>
      </c>
      <c r="H212" s="19" t="s">
        <v>6665</v>
      </c>
    </row>
    <row r="213" spans="1:8" ht="15.75" x14ac:dyDescent="0.25">
      <c r="A213" s="19">
        <f t="shared" si="3"/>
        <v>211</v>
      </c>
      <c r="B213" s="19" t="s">
        <v>8542</v>
      </c>
      <c r="C213" s="19">
        <v>7006565735</v>
      </c>
      <c r="D213" s="19" t="s">
        <v>8565</v>
      </c>
      <c r="E213" s="19" t="s">
        <v>8543</v>
      </c>
      <c r="F213" s="21">
        <v>46055</v>
      </c>
      <c r="G213" s="21" t="s">
        <v>341</v>
      </c>
      <c r="H213" s="19" t="s">
        <v>6665</v>
      </c>
    </row>
    <row r="214" spans="1:8" ht="15.75" x14ac:dyDescent="0.25">
      <c r="A214" s="19">
        <f t="shared" si="3"/>
        <v>212</v>
      </c>
      <c r="B214" s="19" t="s">
        <v>8558</v>
      </c>
      <c r="C214" s="19">
        <v>7006407965</v>
      </c>
      <c r="D214" s="19" t="s">
        <v>8559</v>
      </c>
      <c r="E214" s="19" t="s">
        <v>8488</v>
      </c>
      <c r="F214" s="21">
        <v>46055</v>
      </c>
      <c r="G214" s="21" t="s">
        <v>341</v>
      </c>
      <c r="H214" s="19" t="s">
        <v>6665</v>
      </c>
    </row>
    <row r="215" spans="1:8" ht="15.75" x14ac:dyDescent="0.25">
      <c r="A215" s="19">
        <f t="shared" si="3"/>
        <v>213</v>
      </c>
      <c r="B215" s="19" t="s">
        <v>8548</v>
      </c>
      <c r="C215" s="19">
        <v>8491846904</v>
      </c>
      <c r="D215" s="19" t="s">
        <v>8560</v>
      </c>
      <c r="E215" s="19" t="s">
        <v>8553</v>
      </c>
      <c r="F215" s="21">
        <v>46055</v>
      </c>
      <c r="G215" s="21" t="s">
        <v>341</v>
      </c>
      <c r="H215" s="19" t="s">
        <v>6665</v>
      </c>
    </row>
    <row r="216" spans="1:8" ht="15.75" x14ac:dyDescent="0.25">
      <c r="A216" s="19">
        <f t="shared" si="3"/>
        <v>214</v>
      </c>
      <c r="B216" s="19" t="s">
        <v>8551</v>
      </c>
      <c r="C216" s="19">
        <v>7006454352</v>
      </c>
      <c r="D216" s="19" t="s">
        <v>8635</v>
      </c>
      <c r="E216" s="19" t="s">
        <v>8554</v>
      </c>
      <c r="F216" s="21">
        <v>46056</v>
      </c>
      <c r="G216" s="21" t="s">
        <v>341</v>
      </c>
      <c r="H216" s="19" t="s">
        <v>6665</v>
      </c>
    </row>
    <row r="217" spans="1:8" ht="15.75" x14ac:dyDescent="0.25">
      <c r="A217" s="19">
        <f t="shared" si="3"/>
        <v>215</v>
      </c>
      <c r="B217" s="19" t="s">
        <v>7980</v>
      </c>
      <c r="C217" s="19">
        <v>9149592772</v>
      </c>
      <c r="D217" s="19" t="s">
        <v>8564</v>
      </c>
      <c r="E217" s="19" t="s">
        <v>7982</v>
      </c>
      <c r="F217" s="21">
        <v>46055</v>
      </c>
      <c r="G217" s="21" t="s">
        <v>341</v>
      </c>
      <c r="H217" s="19" t="s">
        <v>6665</v>
      </c>
    </row>
    <row r="218" spans="1:8" ht="15.75" x14ac:dyDescent="0.25">
      <c r="A218" s="19">
        <f t="shared" si="3"/>
        <v>216</v>
      </c>
      <c r="B218" s="19" t="s">
        <v>8569</v>
      </c>
      <c r="C218" s="19">
        <v>7006303640</v>
      </c>
      <c r="D218" s="19" t="s">
        <v>8575</v>
      </c>
      <c r="E218" s="19" t="s">
        <v>8570</v>
      </c>
      <c r="F218" s="21">
        <v>46055</v>
      </c>
      <c r="G218" s="21" t="s">
        <v>341</v>
      </c>
      <c r="H218" s="19" t="s">
        <v>6665</v>
      </c>
    </row>
    <row r="219" spans="1:8" ht="15.75" x14ac:dyDescent="0.25">
      <c r="A219" s="19">
        <f t="shared" si="3"/>
        <v>217</v>
      </c>
      <c r="B219" s="19" t="s">
        <v>1535</v>
      </c>
      <c r="C219" s="19">
        <v>7006437389</v>
      </c>
      <c r="D219" s="19" t="s">
        <v>8573</v>
      </c>
      <c r="E219" s="19" t="s">
        <v>8574</v>
      </c>
      <c r="F219" s="21">
        <v>46055</v>
      </c>
      <c r="G219" s="21" t="s">
        <v>341</v>
      </c>
      <c r="H219" s="19" t="s">
        <v>6665</v>
      </c>
    </row>
    <row r="220" spans="1:8" ht="15.75" x14ac:dyDescent="0.25">
      <c r="A220" s="19">
        <f t="shared" si="3"/>
        <v>218</v>
      </c>
      <c r="B220" s="19" t="s">
        <v>8505</v>
      </c>
      <c r="C220" s="19">
        <v>6005635173</v>
      </c>
      <c r="D220" s="19" t="s">
        <v>8572</v>
      </c>
      <c r="E220" s="19" t="s">
        <v>8510</v>
      </c>
      <c r="F220" s="21">
        <v>46055</v>
      </c>
      <c r="G220" s="21" t="s">
        <v>341</v>
      </c>
      <c r="H220" s="19" t="s">
        <v>6665</v>
      </c>
    </row>
    <row r="221" spans="1:8" ht="15.75" x14ac:dyDescent="0.25">
      <c r="A221" s="19">
        <f t="shared" si="3"/>
        <v>219</v>
      </c>
      <c r="B221" s="19" t="s">
        <v>8579</v>
      </c>
      <c r="C221" s="19">
        <v>9596163347</v>
      </c>
      <c r="D221" s="19" t="s">
        <v>8614</v>
      </c>
      <c r="E221" s="19" t="s">
        <v>8590</v>
      </c>
      <c r="F221" s="21">
        <v>46056</v>
      </c>
      <c r="G221" s="21" t="s">
        <v>341</v>
      </c>
      <c r="H221" s="19" t="s">
        <v>6665</v>
      </c>
    </row>
    <row r="222" spans="1:8" ht="15.75" x14ac:dyDescent="0.25">
      <c r="A222" s="19">
        <f t="shared" si="3"/>
        <v>220</v>
      </c>
      <c r="B222" s="19" t="s">
        <v>8593</v>
      </c>
      <c r="C222" s="19">
        <v>9596131756</v>
      </c>
      <c r="D222" s="19" t="s">
        <v>8633</v>
      </c>
      <c r="E222" s="19" t="s">
        <v>8606</v>
      </c>
      <c r="F222" s="21">
        <v>46056</v>
      </c>
      <c r="G222" s="21" t="s">
        <v>341</v>
      </c>
      <c r="H222" s="19" t="s">
        <v>6665</v>
      </c>
    </row>
    <row r="223" spans="1:8" ht="15.75" x14ac:dyDescent="0.25">
      <c r="A223" s="19">
        <f t="shared" si="3"/>
        <v>221</v>
      </c>
      <c r="B223" s="19" t="s">
        <v>8586</v>
      </c>
      <c r="C223" s="19">
        <v>7006430337</v>
      </c>
      <c r="D223" s="19" t="s">
        <v>8634</v>
      </c>
      <c r="E223" s="19" t="s">
        <v>8587</v>
      </c>
      <c r="F223" s="21">
        <v>46056</v>
      </c>
      <c r="G223" s="21" t="s">
        <v>341</v>
      </c>
      <c r="H223" s="19" t="s">
        <v>6665</v>
      </c>
    </row>
    <row r="224" spans="1:8" ht="15.75" x14ac:dyDescent="0.25">
      <c r="A224" s="19">
        <f t="shared" si="3"/>
        <v>222</v>
      </c>
      <c r="B224" s="19" t="s">
        <v>8636</v>
      </c>
      <c r="C224" s="19">
        <v>7006035930</v>
      </c>
      <c r="D224" s="19" t="s">
        <v>8637</v>
      </c>
      <c r="E224" s="19" t="s">
        <v>8616</v>
      </c>
      <c r="F224" s="21">
        <v>46056</v>
      </c>
      <c r="G224" s="21" t="s">
        <v>341</v>
      </c>
      <c r="H224" s="19" t="s">
        <v>6665</v>
      </c>
    </row>
    <row r="225" spans="1:8" ht="15.75" x14ac:dyDescent="0.25">
      <c r="A225" s="19">
        <f t="shared" si="3"/>
        <v>223</v>
      </c>
      <c r="B225" s="19" t="s">
        <v>8631</v>
      </c>
      <c r="C225" s="19">
        <v>9149805099</v>
      </c>
      <c r="D225" s="19" t="s">
        <v>8632</v>
      </c>
      <c r="E225" s="19" t="s">
        <v>8589</v>
      </c>
      <c r="F225" s="21">
        <v>46056</v>
      </c>
      <c r="G225" s="21" t="s">
        <v>341</v>
      </c>
      <c r="H225" s="19" t="s">
        <v>6665</v>
      </c>
    </row>
    <row r="226" spans="1:8" ht="15.75" x14ac:dyDescent="0.25">
      <c r="A226" s="19">
        <f t="shared" si="3"/>
        <v>224</v>
      </c>
      <c r="B226" s="19" t="s">
        <v>8599</v>
      </c>
      <c r="C226" s="19">
        <v>9906560855</v>
      </c>
      <c r="D226" s="19" t="s">
        <v>8630</v>
      </c>
      <c r="E226" s="19" t="s">
        <v>8600</v>
      </c>
      <c r="F226" s="21">
        <v>46056</v>
      </c>
      <c r="G226" s="21" t="s">
        <v>341</v>
      </c>
      <c r="H226" s="19" t="s">
        <v>6665</v>
      </c>
    </row>
    <row r="227" spans="1:8" ht="15.75" x14ac:dyDescent="0.25">
      <c r="A227" s="19">
        <f t="shared" si="3"/>
        <v>225</v>
      </c>
      <c r="B227" s="19" t="s">
        <v>8620</v>
      </c>
      <c r="C227" s="19">
        <v>9419066721</v>
      </c>
      <c r="D227" s="19" t="s">
        <v>8646</v>
      </c>
      <c r="E227" s="19" t="s">
        <v>8628</v>
      </c>
      <c r="F227" s="21">
        <v>46057</v>
      </c>
      <c r="G227" s="21" t="s">
        <v>341</v>
      </c>
      <c r="H227" s="19" t="s">
        <v>6665</v>
      </c>
    </row>
    <row r="228" spans="1:8" ht="15.75" x14ac:dyDescent="0.25">
      <c r="A228" s="19">
        <f t="shared" si="3"/>
        <v>226</v>
      </c>
      <c r="B228" s="19" t="s">
        <v>8620</v>
      </c>
      <c r="C228" s="19">
        <v>9419066721</v>
      </c>
      <c r="D228" s="19" t="s">
        <v>8646</v>
      </c>
      <c r="E228" s="19" t="s">
        <v>8628</v>
      </c>
      <c r="F228" s="21">
        <v>46057</v>
      </c>
      <c r="G228" s="21" t="s">
        <v>341</v>
      </c>
      <c r="H228" s="19" t="s">
        <v>6665</v>
      </c>
    </row>
    <row r="229" spans="1:8" ht="15.75" x14ac:dyDescent="0.25">
      <c r="A229" s="19">
        <f t="shared" si="3"/>
        <v>227</v>
      </c>
      <c r="B229" s="19" t="s">
        <v>8626</v>
      </c>
      <c r="C229" s="19">
        <v>9682506898</v>
      </c>
      <c r="D229" s="19" t="s">
        <v>8647</v>
      </c>
      <c r="E229" s="19" t="s">
        <v>8629</v>
      </c>
      <c r="F229" s="21">
        <v>46057</v>
      </c>
      <c r="G229" s="21" t="s">
        <v>341</v>
      </c>
      <c r="H229" s="19" t="s">
        <v>6665</v>
      </c>
    </row>
    <row r="230" spans="1:8" ht="15.75" x14ac:dyDescent="0.25">
      <c r="A230" s="19">
        <f t="shared" si="3"/>
        <v>228</v>
      </c>
      <c r="B230" s="19" t="s">
        <v>8644</v>
      </c>
      <c r="C230" s="19">
        <v>7889568261</v>
      </c>
      <c r="D230" s="19" t="s">
        <v>8665</v>
      </c>
      <c r="E230" s="19" t="s">
        <v>8648</v>
      </c>
      <c r="F230" s="21">
        <v>46057</v>
      </c>
      <c r="G230" s="21" t="s">
        <v>341</v>
      </c>
      <c r="H230" s="19" t="s">
        <v>6665</v>
      </c>
    </row>
    <row r="231" spans="1:8" ht="15.75" x14ac:dyDescent="0.25">
      <c r="A231" s="19">
        <f t="shared" si="3"/>
        <v>229</v>
      </c>
      <c r="B231" s="19" t="s">
        <v>8176</v>
      </c>
      <c r="C231" s="19">
        <v>8803618337</v>
      </c>
      <c r="D231" s="19" t="s">
        <v>8664</v>
      </c>
      <c r="E231" s="19" t="s">
        <v>8655</v>
      </c>
      <c r="F231" s="21">
        <v>46057</v>
      </c>
      <c r="G231" s="21" t="s">
        <v>341</v>
      </c>
      <c r="H231" s="19" t="s">
        <v>6665</v>
      </c>
    </row>
    <row r="232" spans="1:8" ht="15.75" x14ac:dyDescent="0.25">
      <c r="A232" s="19">
        <f t="shared" si="3"/>
        <v>230</v>
      </c>
      <c r="B232" s="19" t="s">
        <v>8603</v>
      </c>
      <c r="C232" s="19">
        <v>7051726656</v>
      </c>
      <c r="D232" s="19" t="s">
        <v>8663</v>
      </c>
      <c r="E232" s="19" t="s">
        <v>8607</v>
      </c>
      <c r="F232" s="21">
        <v>46057</v>
      </c>
      <c r="G232" s="21" t="s">
        <v>341</v>
      </c>
      <c r="H232" s="19" t="s">
        <v>6665</v>
      </c>
    </row>
    <row r="233" spans="1:8" ht="15.75" x14ac:dyDescent="0.25">
      <c r="A233" s="19">
        <f t="shared" si="3"/>
        <v>231</v>
      </c>
      <c r="B233" s="19" t="s">
        <v>217</v>
      </c>
      <c r="C233" s="19">
        <v>7006540198</v>
      </c>
      <c r="D233" s="19" t="s">
        <v>8661</v>
      </c>
      <c r="E233" s="19" t="s">
        <v>235</v>
      </c>
      <c r="F233" s="21">
        <v>46057</v>
      </c>
      <c r="G233" s="21" t="s">
        <v>341</v>
      </c>
      <c r="H233" s="19" t="s">
        <v>6665</v>
      </c>
    </row>
    <row r="234" spans="1:8" ht="15.75" x14ac:dyDescent="0.25">
      <c r="A234" s="19">
        <f t="shared" si="3"/>
        <v>232</v>
      </c>
      <c r="B234" s="19" t="s">
        <v>7949</v>
      </c>
      <c r="C234" s="19">
        <v>9419004025</v>
      </c>
      <c r="D234" s="19" t="s">
        <v>8148</v>
      </c>
      <c r="E234" s="19" t="s">
        <v>8015</v>
      </c>
      <c r="F234" s="21">
        <v>46026</v>
      </c>
      <c r="G234" s="21" t="s">
        <v>341</v>
      </c>
      <c r="H234" s="19" t="s">
        <v>6665</v>
      </c>
    </row>
    <row r="235" spans="1:8" ht="15.75" x14ac:dyDescent="0.25">
      <c r="A235" s="19">
        <f t="shared" si="3"/>
        <v>233</v>
      </c>
      <c r="B235" s="19" t="s">
        <v>8006</v>
      </c>
      <c r="C235" s="19">
        <v>7889441591</v>
      </c>
      <c r="D235" s="19" t="s">
        <v>8142</v>
      </c>
      <c r="E235" s="19" t="s">
        <v>8007</v>
      </c>
      <c r="F235" s="21">
        <v>46029</v>
      </c>
      <c r="G235" s="21" t="s">
        <v>341</v>
      </c>
      <c r="H235" s="19" t="s">
        <v>6665</v>
      </c>
    </row>
    <row r="236" spans="1:8" ht="15.75" x14ac:dyDescent="0.25">
      <c r="A236" s="19">
        <f t="shared" si="3"/>
        <v>234</v>
      </c>
      <c r="B236" s="19" t="s">
        <v>2841</v>
      </c>
      <c r="C236" s="19">
        <v>7006960324</v>
      </c>
      <c r="D236" s="19" t="s">
        <v>8139</v>
      </c>
      <c r="E236" s="19" t="s">
        <v>7866</v>
      </c>
      <c r="F236" s="21">
        <v>46029</v>
      </c>
      <c r="G236" s="21" t="s">
        <v>341</v>
      </c>
      <c r="H236" s="19" t="s">
        <v>6665</v>
      </c>
    </row>
    <row r="237" spans="1:8" ht="15.75" x14ac:dyDescent="0.25">
      <c r="A237" s="19">
        <f t="shared" si="3"/>
        <v>235</v>
      </c>
      <c r="B237" s="19" t="s">
        <v>7865</v>
      </c>
      <c r="C237" s="19">
        <v>9906759399</v>
      </c>
      <c r="D237" s="19" t="s">
        <v>8138</v>
      </c>
      <c r="E237" s="19" t="s">
        <v>7867</v>
      </c>
      <c r="F237" s="21">
        <v>46029</v>
      </c>
      <c r="G237" s="21" t="s">
        <v>341</v>
      </c>
      <c r="H237" s="19" t="s">
        <v>6665</v>
      </c>
    </row>
    <row r="238" spans="1:8" ht="15.75" x14ac:dyDescent="0.25">
      <c r="A238" s="19">
        <f t="shared" si="3"/>
        <v>236</v>
      </c>
      <c r="B238" s="19" t="s">
        <v>7973</v>
      </c>
      <c r="C238" s="19">
        <v>9149592772</v>
      </c>
      <c r="D238" s="19" t="s">
        <v>8137</v>
      </c>
      <c r="E238" s="19" t="s">
        <v>7975</v>
      </c>
      <c r="F238" s="21">
        <v>46029</v>
      </c>
      <c r="G238" s="21" t="s">
        <v>341</v>
      </c>
      <c r="H238" s="19" t="s">
        <v>6665</v>
      </c>
    </row>
    <row r="239" spans="1:8" ht="15.75" x14ac:dyDescent="0.25">
      <c r="A239" s="19">
        <f t="shared" si="3"/>
        <v>237</v>
      </c>
      <c r="B239" s="19" t="s">
        <v>7989</v>
      </c>
      <c r="C239" s="47">
        <v>9596382727</v>
      </c>
      <c r="D239" s="47" t="s">
        <v>8136</v>
      </c>
      <c r="E239" s="47" t="s">
        <v>7991</v>
      </c>
      <c r="F239" s="21">
        <v>46029</v>
      </c>
      <c r="G239" s="21" t="s">
        <v>341</v>
      </c>
      <c r="H239" s="19" t="s">
        <v>6665</v>
      </c>
    </row>
    <row r="240" spans="1:8" ht="15.75" x14ac:dyDescent="0.25">
      <c r="A240" s="19">
        <f t="shared" si="3"/>
        <v>238</v>
      </c>
      <c r="B240" s="19" t="s">
        <v>4284</v>
      </c>
      <c r="C240" s="47">
        <v>8899926488</v>
      </c>
      <c r="D240" s="47" t="s">
        <v>8135</v>
      </c>
      <c r="E240" s="47" t="s">
        <v>7986</v>
      </c>
      <c r="F240" s="21">
        <v>46029</v>
      </c>
      <c r="G240" s="21" t="s">
        <v>341</v>
      </c>
      <c r="H240" s="19" t="s">
        <v>6665</v>
      </c>
    </row>
    <row r="241" spans="1:8" ht="15.75" x14ac:dyDescent="0.25">
      <c r="A241" s="19">
        <f t="shared" si="3"/>
        <v>239</v>
      </c>
      <c r="B241" s="19" t="s">
        <v>7797</v>
      </c>
      <c r="C241" s="47">
        <v>8899294356</v>
      </c>
      <c r="D241" s="47" t="s">
        <v>8662</v>
      </c>
      <c r="E241" s="47" t="s">
        <v>7809</v>
      </c>
      <c r="F241" s="21">
        <v>46057</v>
      </c>
      <c r="G241" s="21" t="s">
        <v>341</v>
      </c>
      <c r="H241" s="19" t="s">
        <v>6665</v>
      </c>
    </row>
    <row r="242" spans="1:8" ht="15.75" x14ac:dyDescent="0.25">
      <c r="A242" s="19">
        <f t="shared" si="3"/>
        <v>240</v>
      </c>
      <c r="B242" s="19" t="s">
        <v>1635</v>
      </c>
      <c r="C242" s="47">
        <v>7006730627</v>
      </c>
      <c r="D242" s="47" t="s">
        <v>8667</v>
      </c>
      <c r="E242" s="47" t="s">
        <v>8650</v>
      </c>
      <c r="F242" s="21">
        <v>46057</v>
      </c>
      <c r="G242" s="21" t="s">
        <v>341</v>
      </c>
      <c r="H242" s="19" t="s">
        <v>6665</v>
      </c>
    </row>
    <row r="243" spans="1:8" ht="15.75" x14ac:dyDescent="0.25">
      <c r="A243" s="19">
        <f t="shared" si="3"/>
        <v>241</v>
      </c>
      <c r="B243" s="19" t="s">
        <v>1959</v>
      </c>
      <c r="C243" s="47">
        <v>7780875890</v>
      </c>
      <c r="D243" s="47" t="s">
        <v>8669</v>
      </c>
      <c r="E243" s="47" t="s">
        <v>8615</v>
      </c>
      <c r="F243" s="21">
        <v>46057</v>
      </c>
      <c r="G243" s="21" t="s">
        <v>341</v>
      </c>
      <c r="H243" s="19" t="s">
        <v>8674</v>
      </c>
    </row>
    <row r="244" spans="1:8" ht="15.75" x14ac:dyDescent="0.25">
      <c r="A244" s="19">
        <f t="shared" si="3"/>
        <v>242</v>
      </c>
      <c r="B244" s="19" t="s">
        <v>8676</v>
      </c>
      <c r="C244" s="47">
        <v>8899903781</v>
      </c>
      <c r="D244" s="47" t="s">
        <v>8675</v>
      </c>
      <c r="E244" s="47" t="s">
        <v>8370</v>
      </c>
      <c r="F244" s="21">
        <v>46058</v>
      </c>
      <c r="G244" s="21" t="s">
        <v>341</v>
      </c>
      <c r="H244" s="19" t="s">
        <v>6665</v>
      </c>
    </row>
    <row r="245" spans="1:8" ht="15.75" x14ac:dyDescent="0.25">
      <c r="A245" s="19">
        <f t="shared" si="3"/>
        <v>243</v>
      </c>
      <c r="B245" s="19" t="s">
        <v>8491</v>
      </c>
      <c r="C245" s="47">
        <v>9541509928</v>
      </c>
      <c r="D245" s="47" t="s">
        <v>8683</v>
      </c>
      <c r="E245" s="47" t="s">
        <v>8513</v>
      </c>
      <c r="F245" s="21">
        <v>46058</v>
      </c>
      <c r="G245" s="21" t="s">
        <v>341</v>
      </c>
      <c r="H245" s="19" t="s">
        <v>6665</v>
      </c>
    </row>
    <row r="246" spans="1:8" ht="15.75" x14ac:dyDescent="0.25">
      <c r="A246" s="19">
        <f t="shared" si="3"/>
        <v>244</v>
      </c>
      <c r="B246" s="19" t="s">
        <v>5322</v>
      </c>
      <c r="C246" s="47">
        <v>9682353782</v>
      </c>
      <c r="D246" s="47" t="s">
        <v>8694</v>
      </c>
      <c r="E246" s="47" t="s">
        <v>5323</v>
      </c>
      <c r="F246" s="21">
        <v>46059</v>
      </c>
      <c r="G246" s="21" t="s">
        <v>341</v>
      </c>
      <c r="H246" s="19" t="s">
        <v>6665</v>
      </c>
    </row>
    <row r="247" spans="1:8" ht="15.75" x14ac:dyDescent="0.25">
      <c r="A247" s="19">
        <f t="shared" si="3"/>
        <v>245</v>
      </c>
      <c r="B247" s="19"/>
      <c r="C247" s="47"/>
      <c r="D247" s="47" t="s">
        <v>8696</v>
      </c>
      <c r="E247" s="47"/>
      <c r="F247" s="21">
        <v>46059</v>
      </c>
      <c r="G247" s="21" t="s">
        <v>342</v>
      </c>
      <c r="H247" s="19"/>
    </row>
    <row r="248" spans="1:8" ht="15.75" x14ac:dyDescent="0.25">
      <c r="A248" s="19">
        <f t="shared" si="3"/>
        <v>246</v>
      </c>
      <c r="B248" s="19"/>
      <c r="C248" s="47"/>
      <c r="D248" s="47" t="s">
        <v>8697</v>
      </c>
      <c r="E248" s="47"/>
      <c r="F248" s="21">
        <v>46059</v>
      </c>
      <c r="G248" s="21" t="s">
        <v>342</v>
      </c>
      <c r="H248" s="19"/>
    </row>
    <row r="249" spans="1:8" ht="15.75" x14ac:dyDescent="0.25">
      <c r="A249" s="19">
        <f t="shared" si="3"/>
        <v>247</v>
      </c>
      <c r="B249" s="19" t="s">
        <v>8703</v>
      </c>
      <c r="C249" s="47">
        <v>7006790581</v>
      </c>
      <c r="D249" s="47" t="s">
        <v>8707</v>
      </c>
      <c r="E249" s="47" t="s">
        <v>8705</v>
      </c>
      <c r="F249" s="21">
        <v>46059</v>
      </c>
      <c r="G249" s="21" t="s">
        <v>341</v>
      </c>
      <c r="H249" s="19" t="s">
        <v>6665</v>
      </c>
    </row>
    <row r="250" spans="1:8" ht="15.75" x14ac:dyDescent="0.25">
      <c r="A250" s="19">
        <f t="shared" si="3"/>
        <v>248</v>
      </c>
      <c r="B250" s="47" t="s">
        <v>8422</v>
      </c>
      <c r="C250" s="47">
        <v>8491887577</v>
      </c>
      <c r="D250" s="47" t="s">
        <v>8708</v>
      </c>
      <c r="E250" s="47" t="s">
        <v>8431</v>
      </c>
      <c r="F250" s="21">
        <v>46062</v>
      </c>
      <c r="G250" s="21" t="s">
        <v>341</v>
      </c>
      <c r="H250" s="19" t="s">
        <v>6665</v>
      </c>
    </row>
    <row r="251" spans="1:8" ht="15.75" x14ac:dyDescent="0.25">
      <c r="A251" s="19">
        <f t="shared" si="3"/>
        <v>249</v>
      </c>
      <c r="B251" s="47" t="s">
        <v>8427</v>
      </c>
      <c r="C251" s="47">
        <v>7006260958</v>
      </c>
      <c r="D251" s="47" t="s">
        <v>8709</v>
      </c>
      <c r="E251" s="47" t="s">
        <v>8432</v>
      </c>
      <c r="F251" s="21">
        <v>46062</v>
      </c>
      <c r="G251" s="21" t="s">
        <v>341</v>
      </c>
      <c r="H251" s="19" t="s">
        <v>6665</v>
      </c>
    </row>
    <row r="252" spans="1:8" ht="15.75" x14ac:dyDescent="0.25">
      <c r="A252" s="19">
        <f t="shared" si="3"/>
        <v>250</v>
      </c>
      <c r="B252" s="47" t="s">
        <v>8767</v>
      </c>
      <c r="C252" s="47">
        <v>9797992962</v>
      </c>
      <c r="D252" s="47" t="s">
        <v>8772</v>
      </c>
      <c r="E252" s="47" t="s">
        <v>8769</v>
      </c>
      <c r="F252" s="21">
        <v>46064</v>
      </c>
      <c r="G252" s="21" t="s">
        <v>341</v>
      </c>
      <c r="H252" s="19" t="s">
        <v>6665</v>
      </c>
    </row>
    <row r="253" spans="1:8" ht="15.75" x14ac:dyDescent="0.25">
      <c r="A253" s="19">
        <f t="shared" si="3"/>
        <v>251</v>
      </c>
      <c r="B253" s="47" t="s">
        <v>8756</v>
      </c>
      <c r="C253" s="47">
        <v>7006077188</v>
      </c>
      <c r="D253" s="47" t="s">
        <v>8787</v>
      </c>
      <c r="E253" s="47" t="s">
        <v>8758</v>
      </c>
      <c r="F253" s="21">
        <v>46065</v>
      </c>
      <c r="G253" s="21" t="s">
        <v>341</v>
      </c>
      <c r="H253" s="19" t="s">
        <v>6665</v>
      </c>
    </row>
    <row r="254" spans="1:8" ht="15.75" x14ac:dyDescent="0.25">
      <c r="A254" s="19">
        <f t="shared" si="3"/>
        <v>252</v>
      </c>
      <c r="B254" s="47" t="s">
        <v>8794</v>
      </c>
      <c r="C254" s="47">
        <v>9419002798</v>
      </c>
      <c r="D254" s="47" t="s">
        <v>8812</v>
      </c>
      <c r="E254" s="47" t="s">
        <v>8799</v>
      </c>
      <c r="F254" s="21">
        <v>46065</v>
      </c>
      <c r="G254" s="21" t="s">
        <v>341</v>
      </c>
      <c r="H254" s="19" t="s">
        <v>6665</v>
      </c>
    </row>
    <row r="255" spans="1:8" ht="15.75" x14ac:dyDescent="0.25">
      <c r="A255" s="19">
        <f t="shared" si="3"/>
        <v>253</v>
      </c>
      <c r="B255" s="19"/>
      <c r="C255" s="47"/>
      <c r="D255" s="47"/>
      <c r="E255" s="47"/>
      <c r="F255" s="21"/>
      <c r="G255" s="21"/>
      <c r="H255" s="19"/>
    </row>
    <row r="256" spans="1:8" ht="15.75" x14ac:dyDescent="0.25">
      <c r="A256" s="19">
        <f t="shared" si="3"/>
        <v>254</v>
      </c>
      <c r="B256" s="19"/>
      <c r="C256" s="19"/>
      <c r="D256" s="19"/>
      <c r="E256" s="19"/>
      <c r="F256" s="21"/>
      <c r="G256" s="21"/>
      <c r="H256" s="19"/>
    </row>
    <row r="257" spans="1:8" ht="15.75" x14ac:dyDescent="0.25">
      <c r="A257" s="19">
        <f t="shared" si="3"/>
        <v>255</v>
      </c>
      <c r="B257" s="19"/>
      <c r="C257" s="19"/>
      <c r="D257" s="19"/>
      <c r="E257" s="19"/>
      <c r="F257" s="21"/>
      <c r="G257" s="21"/>
      <c r="H257" s="19"/>
    </row>
    <row r="258" spans="1:8" ht="15.75" x14ac:dyDescent="0.25">
      <c r="A258" s="19">
        <f t="shared" si="3"/>
        <v>256</v>
      </c>
      <c r="B258" s="19"/>
      <c r="C258" s="19"/>
      <c r="D258" s="19"/>
      <c r="E258" s="19"/>
      <c r="F258" s="21"/>
      <c r="G258" s="21"/>
      <c r="H258" s="19"/>
    </row>
    <row r="259" spans="1:8" ht="15.75" x14ac:dyDescent="0.25">
      <c r="A259" s="19">
        <f t="shared" si="3"/>
        <v>257</v>
      </c>
      <c r="B259" s="19"/>
      <c r="C259" s="19"/>
      <c r="D259" s="19"/>
      <c r="E259" s="19"/>
      <c r="F259" s="21"/>
      <c r="G259" s="21"/>
      <c r="H259" s="19"/>
    </row>
    <row r="260" spans="1:8" ht="15.75" x14ac:dyDescent="0.25">
      <c r="A260" s="19">
        <f t="shared" ref="A260:A305" si="4">ROW()-2</f>
        <v>258</v>
      </c>
      <c r="B260" s="19"/>
      <c r="C260" s="19"/>
      <c r="D260" s="19"/>
      <c r="E260" s="19"/>
      <c r="F260" s="21"/>
      <c r="G260" s="21"/>
      <c r="H260" s="19"/>
    </row>
    <row r="261" spans="1:8" ht="15.75" x14ac:dyDescent="0.25">
      <c r="A261" s="19">
        <f t="shared" si="4"/>
        <v>259</v>
      </c>
      <c r="B261" s="19"/>
      <c r="C261" s="19"/>
      <c r="D261" s="19"/>
      <c r="E261" s="19"/>
      <c r="F261" s="21"/>
      <c r="G261" s="21"/>
      <c r="H261" s="19"/>
    </row>
    <row r="262" spans="1:8" ht="15.75" x14ac:dyDescent="0.25">
      <c r="A262" s="19">
        <f t="shared" si="4"/>
        <v>260</v>
      </c>
      <c r="B262" s="19"/>
      <c r="C262" s="19"/>
      <c r="D262" s="19"/>
      <c r="E262" s="19"/>
      <c r="F262" s="21"/>
      <c r="G262" s="21"/>
      <c r="H262" s="19"/>
    </row>
    <row r="263" spans="1:8" ht="15.75" x14ac:dyDescent="0.25">
      <c r="A263" s="19">
        <f t="shared" si="4"/>
        <v>261</v>
      </c>
      <c r="B263" s="19"/>
      <c r="C263" s="19"/>
      <c r="D263" s="19"/>
      <c r="E263" s="19"/>
      <c r="F263" s="21"/>
      <c r="G263" s="21"/>
      <c r="H263" s="19"/>
    </row>
    <row r="264" spans="1:8" ht="15.75" x14ac:dyDescent="0.25">
      <c r="A264" s="19">
        <f t="shared" si="4"/>
        <v>262</v>
      </c>
      <c r="B264" s="19"/>
      <c r="C264" s="19"/>
      <c r="D264" s="19"/>
      <c r="E264" s="19"/>
      <c r="F264" s="21"/>
      <c r="G264" s="21"/>
      <c r="H264" s="19"/>
    </row>
    <row r="265" spans="1:8" ht="15.75" x14ac:dyDescent="0.25">
      <c r="A265" s="19">
        <f t="shared" si="4"/>
        <v>263</v>
      </c>
      <c r="B265" s="19"/>
      <c r="C265" s="19"/>
      <c r="D265" s="19"/>
      <c r="E265" s="19"/>
      <c r="F265" s="21"/>
      <c r="G265" s="21"/>
      <c r="H265" s="19"/>
    </row>
    <row r="266" spans="1:8" ht="15.75" x14ac:dyDescent="0.25">
      <c r="A266" s="19">
        <f t="shared" si="4"/>
        <v>264</v>
      </c>
      <c r="B266" s="19"/>
      <c r="C266" s="19"/>
      <c r="D266" s="19"/>
      <c r="E266" s="19"/>
      <c r="F266" s="21"/>
      <c r="G266" s="21"/>
      <c r="H266" s="19"/>
    </row>
    <row r="267" spans="1:8" ht="15.75" x14ac:dyDescent="0.25">
      <c r="A267" s="19">
        <f t="shared" si="4"/>
        <v>265</v>
      </c>
      <c r="B267" s="19"/>
      <c r="C267" s="19"/>
      <c r="D267" s="19"/>
      <c r="E267" s="19"/>
      <c r="F267" s="21"/>
      <c r="G267" s="21"/>
      <c r="H267" s="19"/>
    </row>
    <row r="268" spans="1:8" ht="15.75" x14ac:dyDescent="0.25">
      <c r="A268" s="19">
        <f t="shared" si="4"/>
        <v>266</v>
      </c>
      <c r="B268" s="19"/>
      <c r="C268" s="19"/>
      <c r="D268" s="19"/>
      <c r="E268" s="19"/>
      <c r="F268" s="21"/>
      <c r="G268" s="21"/>
      <c r="H268" s="19"/>
    </row>
    <row r="269" spans="1:8" ht="15.75" x14ac:dyDescent="0.25">
      <c r="A269" s="19">
        <f t="shared" si="4"/>
        <v>267</v>
      </c>
      <c r="B269" s="19"/>
      <c r="C269" s="19"/>
      <c r="D269" s="19"/>
      <c r="E269" s="19"/>
      <c r="F269" s="21"/>
      <c r="G269" s="21"/>
      <c r="H269" s="19"/>
    </row>
    <row r="270" spans="1:8" ht="15.75" x14ac:dyDescent="0.25">
      <c r="A270" s="19">
        <f t="shared" si="4"/>
        <v>268</v>
      </c>
      <c r="B270" s="19"/>
      <c r="C270" s="19"/>
      <c r="D270" s="19"/>
      <c r="E270" s="19"/>
      <c r="F270" s="21"/>
      <c r="G270" s="21"/>
      <c r="H270" s="19"/>
    </row>
    <row r="271" spans="1:8" ht="15.75" x14ac:dyDescent="0.25">
      <c r="A271" s="19">
        <f t="shared" si="4"/>
        <v>269</v>
      </c>
      <c r="B271" s="19"/>
      <c r="C271" s="19"/>
      <c r="D271" s="19"/>
      <c r="E271" s="19"/>
      <c r="F271" s="21"/>
      <c r="G271" s="21"/>
      <c r="H271" s="19"/>
    </row>
    <row r="272" spans="1:8" ht="15.75" x14ac:dyDescent="0.25">
      <c r="A272" s="19">
        <f t="shared" si="4"/>
        <v>270</v>
      </c>
      <c r="B272" s="19"/>
      <c r="C272" s="19"/>
      <c r="D272" s="19"/>
      <c r="E272" s="19"/>
      <c r="F272" s="21"/>
      <c r="G272" s="21"/>
      <c r="H272" s="19"/>
    </row>
    <row r="273" spans="1:8" ht="15.75" x14ac:dyDescent="0.25">
      <c r="A273" s="19">
        <f t="shared" si="4"/>
        <v>271</v>
      </c>
      <c r="B273" s="19"/>
      <c r="C273" s="19"/>
      <c r="D273" s="19"/>
      <c r="E273" s="19"/>
      <c r="F273" s="21"/>
      <c r="G273" s="21"/>
      <c r="H273" s="19"/>
    </row>
    <row r="274" spans="1:8" ht="15.75" x14ac:dyDescent="0.25">
      <c r="A274" s="19">
        <f t="shared" si="4"/>
        <v>272</v>
      </c>
      <c r="B274" s="19"/>
      <c r="C274" s="19"/>
      <c r="D274" s="19"/>
      <c r="E274" s="19"/>
      <c r="F274" s="21"/>
      <c r="G274" s="21"/>
      <c r="H274" s="19"/>
    </row>
    <row r="275" spans="1:8" ht="15.75" x14ac:dyDescent="0.25">
      <c r="A275" s="19">
        <f t="shared" si="4"/>
        <v>273</v>
      </c>
      <c r="B275" s="19"/>
      <c r="C275" s="19"/>
      <c r="D275" s="19"/>
      <c r="E275" s="19"/>
      <c r="F275" s="21"/>
      <c r="G275" s="21"/>
      <c r="H275" s="19"/>
    </row>
    <row r="276" spans="1:8" ht="15.75" x14ac:dyDescent="0.25">
      <c r="A276" s="19">
        <f t="shared" si="4"/>
        <v>274</v>
      </c>
      <c r="B276" s="19"/>
      <c r="C276" s="19"/>
      <c r="D276" s="19"/>
      <c r="E276" s="19"/>
      <c r="F276" s="21"/>
      <c r="G276" s="21"/>
      <c r="H276" s="19"/>
    </row>
    <row r="277" spans="1:8" ht="15.75" x14ac:dyDescent="0.25">
      <c r="A277" s="19">
        <f t="shared" si="4"/>
        <v>275</v>
      </c>
      <c r="B277" s="19"/>
      <c r="C277" s="19"/>
      <c r="D277" s="19"/>
      <c r="E277" s="19"/>
      <c r="F277" s="21"/>
      <c r="G277" s="21"/>
      <c r="H277" s="19"/>
    </row>
    <row r="278" spans="1:8" ht="15.75" x14ac:dyDescent="0.25">
      <c r="A278" s="19">
        <f t="shared" si="4"/>
        <v>276</v>
      </c>
      <c r="B278" s="19"/>
      <c r="C278" s="19"/>
      <c r="D278" s="19"/>
      <c r="E278" s="19"/>
      <c r="F278" s="21"/>
      <c r="G278" s="21"/>
      <c r="H278" s="19"/>
    </row>
    <row r="279" spans="1:8" ht="15.75" x14ac:dyDescent="0.25">
      <c r="A279" s="19">
        <f t="shared" si="4"/>
        <v>277</v>
      </c>
      <c r="B279" s="19"/>
      <c r="C279" s="19"/>
      <c r="D279" s="19"/>
      <c r="E279" s="19"/>
      <c r="F279" s="21"/>
      <c r="G279" s="21"/>
      <c r="H279" s="19"/>
    </row>
    <row r="280" spans="1:8" ht="15.75" x14ac:dyDescent="0.25">
      <c r="A280" s="19">
        <f t="shared" si="4"/>
        <v>278</v>
      </c>
      <c r="B280" s="19"/>
      <c r="C280" s="19"/>
      <c r="D280" s="19"/>
      <c r="E280" s="19"/>
      <c r="F280" s="21"/>
      <c r="G280" s="21"/>
      <c r="H280" s="19"/>
    </row>
    <row r="281" spans="1:8" ht="15.75" x14ac:dyDescent="0.25">
      <c r="A281" s="19">
        <f t="shared" si="4"/>
        <v>279</v>
      </c>
      <c r="B281" s="19"/>
      <c r="C281" s="19"/>
      <c r="D281" s="19"/>
      <c r="E281" s="19"/>
      <c r="F281" s="21"/>
      <c r="G281" s="21"/>
      <c r="H281" s="19"/>
    </row>
    <row r="282" spans="1:8" ht="15.75" x14ac:dyDescent="0.25">
      <c r="A282" s="19">
        <f t="shared" si="4"/>
        <v>280</v>
      </c>
      <c r="B282" s="19"/>
      <c r="C282" s="19"/>
      <c r="D282" s="19"/>
      <c r="E282" s="19"/>
      <c r="F282" s="21"/>
      <c r="G282" s="21"/>
      <c r="H282" s="19"/>
    </row>
    <row r="283" spans="1:8" ht="15.75" x14ac:dyDescent="0.25">
      <c r="A283" s="19">
        <f t="shared" si="4"/>
        <v>281</v>
      </c>
      <c r="B283" s="19"/>
      <c r="C283" s="19"/>
      <c r="D283" s="19"/>
      <c r="E283" s="19"/>
      <c r="F283" s="21"/>
      <c r="G283" s="21"/>
      <c r="H283" s="19"/>
    </row>
    <row r="284" spans="1:8" ht="15.75" x14ac:dyDescent="0.25">
      <c r="A284" s="19">
        <f t="shared" si="4"/>
        <v>282</v>
      </c>
      <c r="B284" s="19"/>
      <c r="C284" s="19"/>
      <c r="D284" s="19"/>
      <c r="E284" s="19"/>
      <c r="F284" s="21"/>
      <c r="G284" s="21"/>
      <c r="H284" s="19"/>
    </row>
    <row r="285" spans="1:8" ht="15.75" x14ac:dyDescent="0.25">
      <c r="A285" s="19">
        <f t="shared" si="4"/>
        <v>283</v>
      </c>
      <c r="B285" s="19"/>
      <c r="C285" s="19"/>
      <c r="D285" s="19"/>
      <c r="E285" s="19"/>
      <c r="F285" s="21"/>
      <c r="G285" s="21"/>
      <c r="H285" s="19"/>
    </row>
    <row r="286" spans="1:8" ht="15.75" x14ac:dyDescent="0.25">
      <c r="A286" s="19">
        <f t="shared" si="4"/>
        <v>284</v>
      </c>
      <c r="B286" s="19"/>
      <c r="C286" s="19"/>
      <c r="D286" s="19"/>
      <c r="E286" s="19"/>
      <c r="F286" s="21"/>
      <c r="G286" s="21"/>
      <c r="H286" s="19"/>
    </row>
    <row r="287" spans="1:8" ht="15.75" x14ac:dyDescent="0.25">
      <c r="A287" s="19">
        <f t="shared" si="4"/>
        <v>285</v>
      </c>
      <c r="B287" s="19"/>
      <c r="C287" s="19"/>
      <c r="D287" s="19"/>
      <c r="E287" s="19"/>
      <c r="F287" s="21"/>
      <c r="G287" s="21"/>
      <c r="H287" s="19"/>
    </row>
    <row r="288" spans="1:8" ht="15.75" x14ac:dyDescent="0.25">
      <c r="A288" s="19">
        <f t="shared" si="4"/>
        <v>286</v>
      </c>
      <c r="B288" s="19"/>
      <c r="C288" s="19"/>
      <c r="D288" s="19"/>
      <c r="E288" s="19"/>
      <c r="F288" s="21"/>
      <c r="G288" s="21"/>
      <c r="H288" s="19"/>
    </row>
    <row r="289" spans="1:8" ht="15.75" x14ac:dyDescent="0.25">
      <c r="A289" s="19">
        <f t="shared" si="4"/>
        <v>287</v>
      </c>
      <c r="B289" s="19"/>
      <c r="C289" s="19"/>
      <c r="D289" s="19"/>
      <c r="E289" s="19"/>
      <c r="F289" s="21"/>
      <c r="G289" s="21"/>
      <c r="H289" s="19"/>
    </row>
    <row r="290" spans="1:8" ht="15.75" x14ac:dyDescent="0.25">
      <c r="A290" s="19">
        <f t="shared" si="4"/>
        <v>288</v>
      </c>
      <c r="B290" s="19"/>
      <c r="C290" s="19"/>
      <c r="D290" s="19"/>
      <c r="E290" s="19"/>
      <c r="F290" s="21"/>
      <c r="G290" s="21"/>
      <c r="H290" s="19"/>
    </row>
    <row r="291" spans="1:8" ht="15.75" x14ac:dyDescent="0.25">
      <c r="A291" s="19">
        <f t="shared" si="4"/>
        <v>289</v>
      </c>
      <c r="B291" s="19"/>
      <c r="C291" s="19"/>
      <c r="D291" s="19"/>
      <c r="E291" s="19"/>
      <c r="F291" s="21"/>
      <c r="G291" s="21"/>
      <c r="H291" s="19"/>
    </row>
    <row r="292" spans="1:8" ht="15.75" x14ac:dyDescent="0.25">
      <c r="A292" s="19">
        <f t="shared" si="4"/>
        <v>290</v>
      </c>
      <c r="B292" s="19"/>
      <c r="C292" s="19"/>
      <c r="D292" s="19"/>
      <c r="E292" s="19"/>
      <c r="F292" s="21"/>
      <c r="G292" s="21"/>
      <c r="H292" s="19"/>
    </row>
    <row r="293" spans="1:8" ht="15.75" x14ac:dyDescent="0.25">
      <c r="A293" s="19">
        <f t="shared" si="4"/>
        <v>291</v>
      </c>
      <c r="B293" s="19"/>
      <c r="C293" s="19"/>
      <c r="D293" s="19"/>
      <c r="E293" s="19"/>
      <c r="F293" s="21"/>
      <c r="G293" s="21"/>
      <c r="H293" s="19"/>
    </row>
    <row r="294" spans="1:8" ht="15.75" x14ac:dyDescent="0.25">
      <c r="A294" s="19">
        <f t="shared" si="4"/>
        <v>292</v>
      </c>
      <c r="B294" s="19"/>
      <c r="C294" s="19"/>
      <c r="D294" s="19"/>
      <c r="E294" s="19"/>
      <c r="F294" s="21"/>
      <c r="G294" s="21"/>
      <c r="H294" s="19"/>
    </row>
    <row r="295" spans="1:8" ht="15.75" x14ac:dyDescent="0.25">
      <c r="A295" s="19">
        <f t="shared" si="4"/>
        <v>293</v>
      </c>
      <c r="B295" s="19"/>
      <c r="C295" s="19"/>
      <c r="D295" s="19"/>
      <c r="E295" s="19"/>
      <c r="F295" s="21"/>
      <c r="G295" s="21"/>
      <c r="H295" s="19"/>
    </row>
    <row r="296" spans="1:8" ht="15.75" x14ac:dyDescent="0.25">
      <c r="A296" s="19">
        <f t="shared" si="4"/>
        <v>294</v>
      </c>
      <c r="B296" s="19"/>
      <c r="C296" s="19"/>
      <c r="D296" s="19"/>
      <c r="E296" s="19"/>
      <c r="F296" s="21"/>
      <c r="G296" s="21"/>
      <c r="H296" s="19"/>
    </row>
    <row r="297" spans="1:8" ht="15.75" x14ac:dyDescent="0.25">
      <c r="A297" s="19">
        <f t="shared" si="4"/>
        <v>295</v>
      </c>
      <c r="B297" s="19"/>
      <c r="C297" s="19"/>
      <c r="D297" s="19"/>
      <c r="E297" s="19"/>
      <c r="F297" s="21"/>
      <c r="G297" s="21"/>
      <c r="H297" s="19"/>
    </row>
    <row r="298" spans="1:8" ht="15.75" x14ac:dyDescent="0.25">
      <c r="A298" s="19">
        <f t="shared" si="4"/>
        <v>296</v>
      </c>
      <c r="B298" s="19"/>
      <c r="C298" s="19"/>
      <c r="D298" s="19"/>
      <c r="E298" s="19"/>
      <c r="F298" s="21"/>
      <c r="G298" s="21"/>
      <c r="H298" s="19"/>
    </row>
    <row r="299" spans="1:8" ht="15.75" x14ac:dyDescent="0.25">
      <c r="A299" s="19">
        <f t="shared" si="4"/>
        <v>297</v>
      </c>
      <c r="B299" s="19"/>
      <c r="C299" s="19"/>
      <c r="D299" s="19"/>
      <c r="E299" s="19"/>
      <c r="F299" s="21"/>
      <c r="G299" s="21"/>
      <c r="H299" s="19"/>
    </row>
    <row r="300" spans="1:8" ht="15.75" x14ac:dyDescent="0.25">
      <c r="A300" s="19">
        <f t="shared" si="4"/>
        <v>298</v>
      </c>
      <c r="B300" s="19"/>
      <c r="C300" s="19"/>
      <c r="D300" s="19"/>
      <c r="E300" s="19"/>
      <c r="F300" s="21"/>
      <c r="G300" s="21"/>
      <c r="H300" s="19"/>
    </row>
    <row r="301" spans="1:8" ht="15.75" x14ac:dyDescent="0.25">
      <c r="A301" s="19">
        <f t="shared" si="4"/>
        <v>299</v>
      </c>
      <c r="B301" s="19"/>
      <c r="C301" s="19"/>
      <c r="D301" s="19"/>
      <c r="E301" s="19"/>
      <c r="F301" s="21"/>
      <c r="G301" s="21"/>
      <c r="H301" s="19"/>
    </row>
    <row r="302" spans="1:8" ht="15.75" x14ac:dyDescent="0.25">
      <c r="A302" s="19">
        <f t="shared" si="4"/>
        <v>300</v>
      </c>
      <c r="B302" s="19"/>
      <c r="C302" s="19"/>
      <c r="D302" s="19"/>
      <c r="E302" s="19"/>
      <c r="F302" s="21"/>
      <c r="G302" s="21"/>
      <c r="H302" s="19"/>
    </row>
    <row r="303" spans="1:8" ht="15.75" x14ac:dyDescent="0.25">
      <c r="A303" s="19">
        <f t="shared" si="4"/>
        <v>301</v>
      </c>
      <c r="B303" s="19"/>
      <c r="C303" s="19"/>
      <c r="D303" s="19"/>
      <c r="E303" s="19"/>
      <c r="F303" s="21"/>
      <c r="G303" s="21"/>
      <c r="H303" s="19"/>
    </row>
    <row r="304" spans="1:8" ht="15.75" x14ac:dyDescent="0.25">
      <c r="A304" s="19">
        <f t="shared" si="4"/>
        <v>302</v>
      </c>
      <c r="B304" s="19"/>
      <c r="C304" s="19"/>
      <c r="D304" s="19"/>
      <c r="E304" s="19"/>
      <c r="F304" s="21"/>
      <c r="G304" s="21"/>
      <c r="H304" s="19"/>
    </row>
    <row r="305" spans="1:8" ht="15.75" x14ac:dyDescent="0.25">
      <c r="A305" s="19">
        <f t="shared" si="4"/>
        <v>303</v>
      </c>
      <c r="B305" s="19"/>
      <c r="C305" s="19"/>
      <c r="D305" s="19"/>
      <c r="E305" s="19"/>
      <c r="F305" s="21"/>
      <c r="G305" s="21"/>
      <c r="H305" s="19"/>
    </row>
    <row r="306" spans="1:8" ht="15.75" x14ac:dyDescent="0.25">
      <c r="B306" s="19"/>
      <c r="C306" s="19"/>
      <c r="D306" s="19"/>
      <c r="E306" s="19"/>
    </row>
    <row r="307" spans="1:8" ht="15.75" x14ac:dyDescent="0.25">
      <c r="B307" s="19"/>
      <c r="C307" s="19"/>
      <c r="D307" s="19"/>
      <c r="E307" s="19"/>
    </row>
    <row r="308" spans="1:8" ht="15.75" x14ac:dyDescent="0.25">
      <c r="B308" s="19"/>
      <c r="C308" s="19"/>
      <c r="D308" s="19"/>
      <c r="E308" s="19"/>
    </row>
  </sheetData>
  <mergeCells count="1">
    <mergeCell ref="A1:H1"/>
  </mergeCells>
  <phoneticPr fontId="31" type="noConversion"/>
  <conditionalFormatting sqref="B104 E104 B122:E155 D178 D179:E179 D250:D251 B255:E308 B180:E249 B177:C179 E177:E185 D177:E177 B170:E176 D254">
    <cfRule type="expression" dxfId="11" priority="33">
      <formula>CELL("row")=ROW()</formula>
    </cfRule>
  </conditionalFormatting>
  <conditionalFormatting sqref="B250:B251 B251:C252 B252:E253 D254">
    <cfRule type="expression" dxfId="10" priority="6">
      <formula>CELL("row")=ROW()</formula>
    </cfRule>
  </conditionalFormatting>
  <conditionalFormatting sqref="B192:D193 B196:D211 D194:D195">
    <cfRule type="expression" dxfId="9" priority="12">
      <formula>CELL("row")=ROW()</formula>
    </cfRule>
  </conditionalFormatting>
  <conditionalFormatting sqref="C104">
    <cfRule type="expression" dxfId="8" priority="32">
      <formula>CELL("row")=ROW()</formula>
    </cfRule>
  </conditionalFormatting>
  <conditionalFormatting sqref="C123">
    <cfRule type="expression" dxfId="7" priority="29">
      <formula>CELL("row")=ROW()</formula>
    </cfRule>
  </conditionalFormatting>
  <conditionalFormatting sqref="C208:C209">
    <cfRule type="expression" dxfId="6" priority="10">
      <formula>CELL("row")=ROW()</formula>
    </cfRule>
  </conditionalFormatting>
  <conditionalFormatting sqref="C239:E252 C255:E255 D254">
    <cfRule type="expression" dxfId="5" priority="4">
      <formula>CELL("row")=ROW()</formula>
    </cfRule>
  </conditionalFormatting>
  <conditionalFormatting sqref="E123">
    <cfRule type="expression" dxfId="4" priority="30">
      <formula>CELL("row")=ROW()</formula>
    </cfRule>
  </conditionalFormatting>
  <conditionalFormatting sqref="E250:E251">
    <cfRule type="expression" dxfId="3" priority="5">
      <formula>CELL("row")=ROW()</formula>
    </cfRule>
  </conditionalFormatting>
  <conditionalFormatting sqref="B254">
    <cfRule type="expression" dxfId="2" priority="3">
      <formula>CELL("row")=ROW()</formula>
    </cfRule>
  </conditionalFormatting>
  <conditionalFormatting sqref="E254">
    <cfRule type="expression" dxfId="1" priority="2">
      <formula>CELL("row")=ROW()</formula>
    </cfRule>
  </conditionalFormatting>
  <conditionalFormatting sqref="C254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D36" sqref="D36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2026-02-12T11:57:51Z</dcterms:modified>
</cp:coreProperties>
</file>