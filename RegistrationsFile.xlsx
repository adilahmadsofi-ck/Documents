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780134A-FD5C-475F-B9D3-C7E76CF7FB05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256" i="4"/>
  <c r="H9" i="4"/>
  <c r="H10" i="4"/>
  <c r="H45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11" i="4"/>
  <c r="H44" i="4"/>
  <c r="H46" i="4"/>
  <c r="H47" i="4"/>
  <c r="H48" i="4"/>
  <c r="H8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238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236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73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49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62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115" i="4"/>
  <c r="H225" i="4"/>
  <c r="H226" i="4"/>
  <c r="H227" i="4"/>
  <c r="H228" i="4"/>
  <c r="H229" i="4"/>
  <c r="H230" i="4"/>
  <c r="H231" i="4"/>
  <c r="H232" i="4"/>
  <c r="H233" i="4"/>
  <c r="H234" i="4"/>
  <c r="H235" i="4"/>
  <c r="H141" i="4"/>
  <c r="H237" i="4"/>
  <c r="H284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347" i="4"/>
  <c r="H257" i="4"/>
  <c r="H258" i="4"/>
  <c r="H259" i="4"/>
  <c r="H260" i="4"/>
  <c r="H261" i="4"/>
  <c r="H364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371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16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200" i="4"/>
  <c r="H365" i="4"/>
  <c r="H366" i="4"/>
  <c r="H367" i="4"/>
  <c r="H368" i="4"/>
  <c r="H369" i="4"/>
  <c r="H370" i="4"/>
  <c r="H224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380" i="4"/>
  <c r="A381" i="4"/>
  <c r="A382" i="4"/>
  <c r="A383" i="4"/>
  <c r="A384" i="4"/>
  <c r="A385" i="4"/>
  <c r="A386" i="4"/>
  <c r="A387" i="4"/>
  <c r="A388" i="4"/>
  <c r="A181" i="7"/>
  <c r="A182" i="7"/>
  <c r="A183" i="7"/>
  <c r="A184" i="7"/>
  <c r="A185" i="7"/>
  <c r="A169" i="7"/>
  <c r="A168" i="7"/>
  <c r="A177" i="7"/>
  <c r="A178" i="7"/>
  <c r="A179" i="7"/>
  <c r="A180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70" i="7"/>
  <c r="A171" i="7"/>
  <c r="A172" i="7"/>
  <c r="A173" i="7"/>
  <c r="A174" i="7"/>
  <c r="A175" i="7"/>
  <c r="A176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27" i="4"/>
  <c r="A328" i="4"/>
  <c r="A357" i="4"/>
  <c r="A330" i="4"/>
  <c r="A331" i="4"/>
  <c r="A332" i="4"/>
  <c r="A333" i="4"/>
  <c r="A334" i="4"/>
  <c r="A201" i="4"/>
  <c r="A336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370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12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285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255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227" i="4"/>
  <c r="A228" i="4"/>
  <c r="A133" i="4"/>
  <c r="A230" i="4"/>
  <c r="A231" i="4"/>
  <c r="A232" i="4"/>
  <c r="A216" i="4"/>
  <c r="A217" i="4"/>
  <c r="A218" i="4"/>
  <c r="A187" i="4"/>
  <c r="A220" i="4"/>
  <c r="A165" i="4"/>
  <c r="A132" i="4"/>
  <c r="A212" i="4"/>
  <c r="A213" i="4"/>
  <c r="A214" i="4"/>
  <c r="A21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106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<sst xmlns="http://schemas.openxmlformats.org/spreadsheetml/2006/main" count="21164" uniqueCount="8271">
  <si>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</si>
  <si>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</si>
  <si>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</si>
  <si>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</si>
  <si>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</si>
  <si>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</si>
  <si>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</si>
  <si>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</si>
  <si>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</si>
  <si>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</si>
  <si>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</si>
  <si>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</si>
  <si>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</si>
  <si>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</si>
  <si>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</si>
  <si>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</si>
  <si>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</si>
  <si>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</si>
  <si>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</si>
  <si>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</si>
  <si>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</si>
  <si>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</si>
  <si>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</si>
  <si>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</si>
  <si>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</si>
  <si>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</si>
  <si>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</si>
  <si>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</si>
  <si>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</si>
  <si>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</si>
  <si>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</si>
  <si>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</si>
  <si>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</si>
  <si>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</si>
  <si>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</si>
  <si>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</si>
  <si>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</si>
  <si>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</si>
  <si>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</si>
  <si>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</si>
  <si>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</si>
  <si>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</si>
  <si>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</si>
  <si>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</si>
  <si>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</si>
  <si>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</si>
  <si>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</si>
  <si>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</si>
  <si>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</si>
  <si>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</si>
  <si>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</si>
  <si>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</si>
  <si>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</si>
  <si>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</si>
  <si>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</si>
  <si>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</si>
  <si>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</si>
  <si>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</si>
  <si>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</si>
  <si>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</si>
  <si>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</si>
  <si>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</si>
  <si>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</si>
  <si>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</si>
  <si>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</si>
  <si>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</si>
  <si>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</si>
  <si>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</si>
  <si>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</si>
  <si>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</si>
  <si>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</si>
  <si>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</si>
  <si>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</si>
  <si>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</si>
  <si>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</si>
  <si>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</si>
  <si>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</si>
  <si>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</si>
  <si>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</si>
  <si>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</si>
  <si>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</si>
  <si>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</si>
  <si>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</si>
  <si>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</si>
  <si>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</si>
  <si>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</si>
  <si>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</si>
  <si>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</si>
  <si>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</si>
  <si>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</si>
  <si>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</si>
  <si>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</si>
  <si>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</si>
  <si>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</si>
  <si>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</si>
  <si>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</si>
  <si>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</si>
  <si>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</si>
  <si>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</si>
  <si>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</si>
  <si>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</si>
  <si>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</si>
  <si>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</si>
  <si>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</si>
  <si>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</si>
  <si>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</si>
  <si>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</si>
  <si>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</si>
  <si>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</si>
  <si>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</si>
  <si>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</si>
  <si>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</si>
  <si>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</si>
  <si>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</si>
  <si>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</si>
  <si>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</si>
  <si>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</si>
  <si>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</si>
  <si>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</si>
  <si>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</si>
  <si>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</si>
  <si>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</si>
  <si>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</si>
  <si>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</si>
  <si>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</si>
  <si>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</si>
  <si>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</si>
  <si>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</si>
  <si>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</si>
  <si>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</si>
  <si>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</si>
  <si>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</si>
  <si>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</si>
  <si>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</si>
  <si>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</si>
  <si>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</si>
  <si>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</si>
  <si>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</si>
  <si>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</si>
  <si>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</si>
  <si>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</si>
  <si>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</si>
  <si>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</si>
  <si>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</si>
  <si>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</si>
  <si>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</si>
  <si>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</si>
  <si>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</si>
  <si>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</si>
  <si>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</si>
  <si>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</si>
  <si>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</si>
  <si>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</si>
  <si>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</si>
  <si>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</si>
  <si>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</si>
  <si>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</si>
  <si>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</si>
  <si>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</si>
  <si>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</si>
  <si>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</si>
  <si>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</si>
  <si>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</si>
  <si>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</si>
  <si>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</si>
  <si>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</si>
  <si>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</si>
  <si>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</si>
  <si>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</si>
  <si>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</si>
  <si>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</si>
  <si>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</si>
  <si>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</si>
  <si>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</si>
  <si>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</si>
  <si>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</si>
  <si>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</si>
  <si>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</si>
  <si>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</si>
  <si>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</si>
  <si>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</si>
  <si>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</si>
  <si>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</si>
  <si>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</si>
  <si>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</si>
  <si>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</si>
  <si>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</si>
  <si>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</si>
  <si>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</si>
  <si>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</si>
  <si>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</si>
  <si>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</si>
  <si>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</si>
  <si>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</si>
  <si>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</si>
  <si>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</si>
  <si>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</si>
  <si>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</si>
  <si>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</si>
  <si>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</si>
  <si>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</si>
  <si>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</si>
  <si>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</si>
  <si>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</si>
  <si>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</si>
  <si>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</si>
  <si>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</si>
  <si>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</si>
  <si>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</si>
  <si>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</si>
  <si>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</si>
  <si>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</si>
  <si>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</si>
  <si>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</si>
  <si>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</si>
  <si>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</si>
  <si>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</si>
  <si>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</si>
  <si>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</si>
  <si>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</si>
  <si>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</si>
  <si>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</si>
  <si>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</si>
  <si>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</si>
  <si>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</si>
  <si>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</si>
  <si>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</si>
  <si>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</si>
  <si>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</si>
  <si>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</si>
  <si>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</si>
  <si>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</si>
  <si>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</si>
  <si>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</si>
  <si>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</si>
  <si>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</si>
  <si>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</si>
  <si>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</si>
  <si>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</si>
  <si>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</si>
  <si>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</si>
  <si>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</si>
  <si>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</si>
  <si>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</si>
  <si>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</si>
  <si>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</si>
  <si>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</si>
  <si>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</si>
  <si>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</si>
  <si>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</si>
  <si>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</si>
  <si>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</si>
  <si>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</si>
  <si>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</si>
  <si>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</si>
  <si>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</si>
  <si>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</si>
  <si>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</si>
  <si>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</si>
  <si>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</si>
  <si>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</si>
  <si>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</si>
  <si>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</si>
  <si>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</si>
  <si>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</si>
  <si>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</si>
  <si>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</si>
  <si>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</si>
  <si>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</si>
  <si>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</si>
  <si>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</si>
  <si>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</si>
  <si>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</si>
  <si>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</si>
  <si>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</si>
  <si>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</si>
  <si>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</si>
  <si>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</si>
  <si>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</si>
  <si>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</si>
  <si>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</si>
  <si>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</si>
  <si>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</si>
  <si>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</si>
  <si>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</si>
  <si>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</si>
  <si>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</si>
  <si>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</si>
  <si>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</si>
  <si>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</si>
  <si>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</si>
  <si>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</si>
  <si>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</si>
  <si>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</si>
  <si>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</si>
  <si>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</si>
  <si>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</si>
  <si>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</si>
  <si>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</si>
  <si>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</si>
  <si>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</si>
  <si>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</si>
  <si>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</si>
  <si>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</si>
  <si>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</si>
  <si>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</si>
  <si>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</si>
  <si>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</si>
  <si>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</si>
  <si>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</si>
  <si>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</si>
  <si>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</si>
  <si>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</si>
  <si>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</si>
  <si>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</si>
  <si>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</si>
  <si>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</si>
  <si>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</si>
  <si>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</si>
  <si>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</si>
  <si>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</si>
  <si>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</si>
  <si>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</si>
  <si>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</si>
  <si>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</si>
  <si>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</si>
  <si>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</si>
  <si>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</si>
  <si>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</si>
  <si>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</si>
  <si>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</si>
  <si>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</si>
  <si>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</si>
  <si>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</si>
  <si>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</si>
  <si>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</si>
  <si>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</si>
  <si>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</si>
  <si>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</si>
  <si>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</si>
  <si>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</si>
  <si>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</si>
  <si>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</si>
  <si>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</si>
  <si>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</si>
  <si>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</si>
  <si>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</si>
  <si>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</si>
  <si>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</si>
  <si>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</si>
  <si>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</si>
  <si>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</si>
  <si>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</si>
  <si>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</si>
  <si>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</si>
  <si>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</si>
  <si>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</si>
  <si>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</si>
  <si>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</si>
  <si>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</si>
  <si>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</si>
  <si>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</si>
  <si>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</si>
  <si>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</si>
  <si>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</si>
  <si>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</si>
  <si>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</si>
  <si>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</si>
  <si>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</si>
  <si>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</si>
  <si>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</si>
  <si>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</si>
  <si>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</si>
  <si>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</si>
  <si>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</si>
  <si>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</si>
  <si>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</si>
  <si>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</si>
  <si>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</si>
  <si>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</si>
  <si>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</si>
  <si>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</si>
  <si>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</si>
  <si>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</si>
  <si>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</si>
  <si>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</si>
  <si>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</si>
  <si>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</si>
  <si>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</si>
  <si>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</si>
  <si>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</si>
  <si>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</si>
  <si>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</si>
  <si>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</si>
  <si>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</si>
  <si>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</si>
  <si>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</si>
  <si>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</si>
  <si>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</si>
  <si>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</si>
  <si>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</si>
  <si>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</si>
  <si>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</si>
  <si>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</si>
  <si>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</si>
  <si>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</si>
  <si>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</si>
  <si>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</si>
  <si>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</si>
  <si>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</si>
  <si>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</si>
  <si>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</si>
  <si>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</si>
  <si>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</si>
  <si>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</si>
  <si>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</si>
  <si>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</si>
  <si>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</si>
  <si>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</si>
  <si>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</si>
  <si>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</si>
  <si>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</si>
  <si>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</si>
  <si>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</si>
  <si>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</si>
  <si>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</si>
  <si>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</si>
  <si>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</si>
  <si>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</si>
  <si>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</si>
  <si>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</si>
  <si>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</si>
  <si>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</si>
  <si>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</si>
  <si>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</si>
  <si>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</si>
  <si>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</si>
  <si>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</si>
  <si>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</si>
  <si>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</si>
  <si>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</si>
  <si>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</si>
  <si>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</si>
  <si>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</si>
  <si>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</si>
  <si>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</si>
  <si>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</si>
  <si>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</si>
  <si>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</si>
  <si>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</si>
  <si>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</si>
  <si>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</si>
  <si>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</si>
  <si>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</si>
  <si>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</si>
  <si>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</si>
  <si>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</si>
  <si>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</si>
  <si>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</si>
  <si>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</si>
  <si>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</si>
  <si>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</si>
  <si>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</si>
  <si>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</si>
  <si>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</si>
  <si>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</si>
  <si>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</si>
  <si>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</si>
  <si>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</si>
  <si>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</si>
  <si>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</si>
  <si>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</si>
  <si>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</si>
  <si>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</si>
  <si>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</si>
  <si>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</si>
  <si>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</si>
  <si>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</si>
  <si>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</si>
  <si>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</si>
  <si>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</si>
  <si>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</si>
  <si>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</si>
  <si>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</si>
  <si>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</si>
  <si>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</si>
  <si>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</si>
  <si>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</si>
  <si>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</si>
  <si>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</si>
  <si>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</si>
  <si>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</si>
  <si>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</si>
  <si>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</si>
  <si>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</si>
  <si>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</si>
  <si>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</si>
  <si>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</si>
  <si>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</si>
  <si>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</si>
  <si>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</si>
  <si>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</si>
  <si>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</si>
  <si>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</si>
  <si>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</si>
  <si>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</si>
  <si>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</si>
  <si>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</si>
  <si>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</si>
  <si>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</si>
  <si>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</si>
  <si>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</si>
  <si>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</si>
  <si>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</si>
  <si>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</si>
  <si>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</si>
  <si>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</si>
  <si>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</si>
  <si>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</si>
  <si>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</si>
  <si>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</si>
  <si>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</si>
  <si>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</si>
  <si>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</si>
  <si>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</si>
  <si>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</si>
  <si>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</si>
  <si>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</si>
  <si>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</si>
  <si>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</si>
  <si>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</si>
  <si>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</si>
  <si>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</si>
  <si>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</si>
  <si>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</si>
  <si>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</si>
  <si>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</si>
  <si>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</si>
  <si>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</si>
  <si>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</si>
  <si>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</si>
  <si>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</si>
  <si>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</si>
  <si>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</si>
  <si>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</si>
  <si>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</si>
  <si>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</si>
  <si>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</si>
  <si>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</si>
  <si>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</si>
  <si>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</si>
  <si>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</si>
  <si>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</si>
  <si>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</si>
  <si>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</si>
  <si>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</si>
  <si>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</si>
  <si>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</si>
  <si>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</si>
  <si>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</si>
  <si>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</si>
  <si>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</si>
  <si>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</si>
  <si>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</si>
  <si>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</si>
  <si>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</si>
  <si>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</si>
  <si>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</si>
  <si>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</si>
  <si>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</si>
  <si>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</si>
  <si>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</si>
  <si>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</si>
  <si>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</si>
  <si>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</si>
  <si>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</si>
  <si>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</si>
  <si>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</si>
  <si>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</si>
  <si>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</si>
  <si>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</si>
  <si>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</si>
  <si>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</si>
  <si>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</si>
  <si>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</si>
  <si>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</si>
  <si>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</si>
  <si>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</si>
  <si>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</si>
  <si>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</si>
  <si>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</si>
  <si>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</si>
  <si>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</si>
  <si>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</si>
  <si>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</si>
  <si>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</si>
  <si>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</si>
  <si>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</si>
  <si>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</si>
  <si>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</si>
  <si>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</si>
  <si>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</si>
  <si>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</si>
  <si>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</si>
  <si>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</si>
  <si>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</si>
  <si>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</si>
  <si>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</si>
  <si>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</si>
  <si>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</si>
  <si>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</si>
  <si>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</si>
  <si>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</si>
  <si>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</si>
  <si>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</si>
  <si>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</si>
  <si>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</si>
  <si>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</si>
  <si>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</si>
  <si>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</si>
  <si>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</si>
  <si>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</si>
  <si>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</si>
  <si>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</si>
  <si>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</si>
  <si>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</si>
  <si>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</si>
  <si>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</si>
  <si>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</si>
  <si>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</si>
  <si>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</si>
  <si>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</si>
  <si>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</si>
  <si>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</si>
  <si>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</si>
  <si>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</si>
  <si>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</si>
  <si>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</si>
  <si>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</si>
  <si>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</si>
  <si>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</si>
  <si>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</si>
  <si>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</si>
  <si>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</si>
  <si>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</si>
  <si>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</si>
  <si>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</si>
  <si>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</si>
  <si>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</si>
  <si>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</si>
  <si>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</si>
  <si>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</si>
  <si>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</si>
  <si>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</si>
  <si>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</si>
  <si>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</si>
  <si>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</si>
  <si>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</si>
  <si>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</si>
  <si>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</si>
  <si>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</si>
  <si>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</si>
  <si>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</si>
  <si>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</si>
  <si>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</si>
  <si>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</si>
  <si>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</si>
  <si>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</si>
  <si>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</si>
  <si>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</si>
  <si>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</si>
  <si>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</si>
  <si>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</si>
  <si>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</si>
  <si>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</si>
  <si>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</si>
  <si>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</si>
  <si>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</si>
  <si>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</si>
  <si>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</si>
  <si>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</si>
  <si>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</si>
  <si>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</si>
  <si>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</si>
  <si>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</si>
  <si>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</si>
  <si>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</si>
  <si>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</si>
  <si>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</si>
  <si>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</si>
  <si>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</si>
  <si>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</si>
  <si>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</si>
  <si>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</si>
  <si>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</si>
  <si>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</si>
  <si>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</si>
  <si>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</si>
  <si>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</si>
  <si>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</si>
  <si>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</si>
  <si>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</si>
  <si>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</si>
  <si>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</si>
  <si>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</si>
  <si>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</si>
  <si>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</si>
  <si>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</si>
  <si>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</si>
  <si>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</si>
  <si>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</si>
  <si>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</si>
  <si>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</si>
  <si>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</si>
  <si>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</si>
  <si>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</si>
  <si>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</si>
  <si>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</si>
  <si>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</si>
  <si>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</si>
  <si>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</si>
  <si>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</si>
  <si>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</si>
  <si>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</si>
  <si>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</si>
  <si>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</si>
  <si>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</si>
  <si>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</si>
  <si>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</si>
  <si>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</si>
  <si>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</si>
  <si>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</si>
  <si>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</si>
  <si>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</si>
  <si>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</si>
  <si>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</si>
  <si>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</si>
  <si>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</si>
  <si>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</si>
  <si>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</si>
  <si>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</si>
  <si>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</si>
  <si>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</si>
  <si>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</si>
  <si>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</si>
  <si>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</si>
  <si>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</si>
  <si>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</si>
  <si>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</si>
  <si>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</si>
  <si>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</si>
  <si>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</si>
  <si>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</si>
  <si>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</si>
  <si>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</si>
  <si>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</si>
  <si>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</si>
  <si>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</si>
  <si>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</si>
  <si>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</si>
  <si>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</si>
  <si>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</si>
  <si>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</si>
  <si>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</si>
  <si>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</si>
  <si>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</si>
  <si>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</si>
  <si>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</si>
  <si>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</si>
  <si>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</si>
  <si>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</si>
  <si>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</si>
  <si>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</si>
  <si>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</si>
  <si>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</si>
  <si>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</si>
  <si>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</si>
  <si>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</si>
  <si>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</si>
  <si>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</si>
  <si>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</si>
  <si>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</si>
  <si>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</si>
  <si>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</si>
  <si>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</si>
  <si>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</si>
  <si>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</si>
  <si>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</si>
  <si>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</si>
  <si>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</si>
  <si>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</si>
  <si>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</si>
  <si>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</si>
  <si>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</si>
  <si>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</si>
  <si>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</si>
  <si>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</si>
  <si>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</si>
  <si>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</si>
  <si>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</si>
  <si>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</si>
  <si>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</si>
  <si>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</si>
  <si>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</si>
  <si>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</si>
  <si>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</si>
  <si>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</si>
  <si>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</si>
  <si>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</si>
  <si>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</si>
  <si>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</si>
  <si>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</si>
  <si>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</si>
  <si>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</si>
  <si>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</si>
  <si>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</si>
  <si>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</si>
  <si>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</si>
  <si>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</si>
  <si>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</si>
  <si>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</si>
  <si>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</si>
  <si>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</si>
  <si>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</si>
  <si>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</si>
  <si>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</si>
  <si>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</si>
  <si>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</si>
  <si>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</si>
  <si>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</si>
  <si>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</si>
  <si>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</si>
  <si>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</si>
  <si>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</si>
  <si>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</si>
  <si>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</si>
  <si>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</si>
  <si>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</si>
  <si>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</si>
  <si>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</si>
  <si>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</si>
  <si>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</si>
  <si>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</si>
  <si>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</si>
  <si>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</si>
  <si>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</si>
  <si>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</si>
  <si>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</si>
  <si>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</si>
  <si>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</si>
  <si>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</si>
  <si>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</si>
  <si>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</si>
  <si>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</si>
  <si>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</si>
  <si>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</si>
  <si>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</si>
  <si>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</si>
  <si>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</si>
  <si>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</si>
  <si>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</si>
  <si>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</si>
  <si>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</si>
  <si>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</si>
  <si>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</si>
  <si>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</si>
  <si>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</si>
  <si>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</si>
  <si>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</si>
  <si>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</si>
  <si>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</si>
  <si>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</si>
  <si>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</si>
  <si>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</si>
  <si>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</si>
  <si>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</si>
  <si>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</si>
  <si>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</si>
  <si>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</si>
  <si>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</si>
  <si>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</si>
  <si>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</si>
  <si>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</si>
  <si>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</si>
  <si>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</si>
  <si>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</si>
  <si>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</si>
  <si>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</si>
  <si>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</si>
  <si>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</si>
  <si>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</si>
  <si>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</si>
  <si>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</si>
  <si>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</si>
  <si>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</si>
  <si>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</si>
  <si>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</si>
  <si>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</si>
  <si>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</si>
  <si>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</si>
  <si>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</si>
  <si>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</si>
  <si>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</si>
  <si>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</si>
  <si>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</si>
  <si>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</si>
  <si>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</si>
  <si>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</si>
  <si>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</si>
  <si>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</si>
  <si>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</si>
  <si>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</si>
  <si>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</si>
  <si>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</si>
  <si>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</si>
  <si>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</si>
  <si>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</si>
  <si>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</si>
  <si>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</si>
  <si>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</si>
  <si>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</si>
  <si>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</si>
  <si>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</si>
  <si>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</si>
  <si>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</si>
  <si>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</si>
  <si>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</si>
  <si>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</si>
  <si>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</si>
  <si>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</si>
  <si>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</si>
  <si>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</si>
  <si>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</si>
  <si>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</si>
  <si>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</si>
  <si>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</si>
  <si>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</si>
  <si>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</si>
  <si>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</si>
  <si>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</si>
  <si>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</si>
  <si>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</si>
  <si>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</si>
  <si>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</si>
  <si>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</si>
  <si>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</si>
  <si>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</si>
  <si>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</si>
  <si>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</si>
  <si>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</si>
  <si>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</si>
  <si>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</si>
  <si>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</si>
  <si>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</si>
  <si>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</si>
  <si>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</si>
  <si>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</si>
  <si>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</si>
  <si>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</si>
  <si>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</si>
  <si>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</si>
  <si>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</si>
  <si>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</si>
  <si>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</si>
  <si>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</si>
  <si>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</si>
  <si>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</si>
  <si>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</si>
  <si>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</si>
  <si>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</si>
  <si>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</si>
  <si>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</si>
  <si>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</si>
  <si>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</si>
  <si>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</si>
  <si>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</si>
  <si>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</si>
  <si>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</si>
  <si>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</si>
  <si>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</si>
  <si>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</si>
  <si>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</si>
  <si>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</si>
  <si>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</si>
  <si>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</si>
  <si>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</si>
  <si>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</si>
  <si>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</si>
  <si>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</si>
  <si>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</si>
  <si>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</si>
  <si>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</si>
  <si>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</si>
  <si>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</si>
  <si>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</si>
  <si>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</si>
  <si>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</si>
  <si>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</si>
  <si>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</si>
  <si>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</si>
  <si>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</si>
  <si>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</si>
  <si>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</si>
  <si>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</si>
  <si>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</si>
  <si>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</si>
  <si>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</si>
  <si>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</si>
  <si>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</si>
  <si>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</si>
  <si>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</si>
  <si>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</si>
  <si>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</si>
  <si>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</si>
  <si>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</si>
  <si>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</si>
  <si>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</si>
  <si>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</si>
  <si>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</si>
  <si>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</si>
  <si>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</si>
  <si>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</si>
  <si>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</si>
  <si>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</si>
  <si>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</si>
  <si>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</si>
  <si>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</si>
  <si>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</si>
  <si>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</si>
  <si>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</si>
  <si>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</si>
  <si>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</si>
  <si>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</si>
  <si>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</si>
  <si>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</si>
  <si>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</si>
  <si>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</si>
  <si>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</si>
  <si>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</si>
  <si>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</si>
  <si>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</si>
  <si>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</si>
  <si>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</si>
  <si>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</si>
  <si>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</si>
  <si>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</si>
  <si>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</si>
  <si>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</si>
  <si>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</si>
  <si>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</si>
  <si>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</si>
  <si>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</si>
  <si>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</si>
  <si>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</si>
  <si>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</si>
  <si>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</si>
  <si>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</si>
  <si>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</si>
  <si>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</si>
  <si>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</si>
  <si>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</si>
  <si>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</si>
  <si>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</si>
  <si>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</si>
  <si>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</si>
  <si>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</si>
  <si>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</si>
  <si>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</si>
  <si>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</si>
  <si>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</si>
  <si>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</si>
  <si>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</si>
  <si>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</si>
  <si>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</si>
  <si>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</si>
  <si>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</si>
  <si>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</si>
  <si>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</si>
  <si>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</si>
  <si>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</si>
  <si>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</si>
  <si>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</si>
  <si>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</si>
  <si>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</si>
  <si>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</si>
  <si>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</si>
  <si>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</si>
  <si>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</si>
  <si>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</si>
  <si>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</si>
  <si>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</si>
  <si>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</si>
  <si>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</si>
  <si>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</si>
  <si>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</si>
  <si>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</si>
  <si>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</si>
  <si>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</si>
  <si>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</si>
  <si>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</si>
  <si>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</si>
  <si>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</si>
  <si>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</si>
  <si>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</si>
  <si>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</si>
  <si>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</si>
  <si>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</si>
  <si>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</si>
  <si>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</si>
  <si>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</si>
  <si>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</si>
  <si>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</si>
  <si>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</si>
  <si>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</si>
  <si>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</si>
  <si>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</si>
  <si>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</si>
  <si>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</si>
  <si>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</si>
  <si>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</si>
  <si>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</si>
  <si>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</si>
  <si>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</si>
  <si>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</si>
  <si>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</si>
  <si>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</si>
  <si>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</si>
  <si>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</si>
  <si>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</si>
  <si>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</si>
  <si>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</si>
  <si>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</si>
  <si>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</si>
  <si>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</si>
  <si>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</si>
  <si>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</si>
  <si>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</si>
  <si>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</si>
  <si>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</si>
  <si>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</si>
  <si>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</si>
  <si>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</si>
  <si>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</si>
  <si>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</si>
  <si>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</si>
  <si>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</si>
  <si>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</si>
  <si>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</si>
  <si>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</si>
  <si>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</si>
  <si>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</si>
  <si>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</si>
  <si>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</si>
  <si>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</si>
  <si>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</si>
  <si>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</si>
  <si>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</si>
  <si>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</si>
  <si>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</si>
  <si>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</si>
  <si>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</si>
  <si>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</si>
  <si>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</si>
  <si>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</si>
  <si>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</si>
  <si>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</si>
  <si>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</si>
  <si>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</si>
  <si>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</si>
  <si>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</si>
  <si>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</si>
  <si>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</si>
  <si>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</si>
  <si>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</si>
  <si>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</si>
  <si>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</si>
  <si>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</si>
  <si>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</si>
  <si>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</si>
  <si>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</si>
  <si>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</si>
  <si>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</si>
  <si>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</si>
  <si>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</si>
  <si>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</si>
  <si>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</si>
  <si>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</si>
  <si>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</si>
  <si>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</si>
  <si>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</si>
  <si>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</si>
  <si>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</si>
  <si>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</si>
  <si>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</si>
  <si>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</si>
  <si>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</si>
  <si>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</si>
  <si>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</si>
  <si>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</si>
  <si>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</si>
  <si>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</si>
  <si>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</si>
  <si>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</si>
  <si>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</si>
  <si>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</si>
  <si>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</si>
  <si>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</si>
  <si>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</si>
  <si>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</si>
  <si>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</si>
  <si>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</si>
  <si>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</si>
  <si>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</si>
  <si>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</si>
  <si>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</si>
  <si>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</si>
  <si>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</si>
  <si>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</si>
  <si>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</si>
  <si>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</si>
  <si>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</si>
  <si>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</si>
  <si>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</si>
  <si>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</si>
  <si>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</si>
  <si>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</si>
  <si>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</si>
  <si>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</si>
  <si>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</si>
  <si>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</si>
  <si>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</si>
  <si>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</si>
  <si>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</si>
  <si>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</si>
  <si>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</si>
  <si>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</si>
  <si>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</si>
  <si>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</si>
  <si>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</si>
  <si>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</si>
  <si>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</si>
  <si>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</si>
  <si>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</si>
  <si>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</si>
  <si>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</si>
  <si>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</si>
  <si>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</si>
  <si>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</si>
  <si>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</si>
  <si>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</si>
  <si>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</si>
  <si>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</si>
  <si>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</si>
  <si>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</si>
  <si>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</si>
  <si>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</si>
  <si>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</si>
  <si>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</si>
  <si>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</si>
  <si>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</si>
  <si>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</si>
  <si>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</si>
  <si>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</si>
  <si>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</si>
  <si>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</si>
  <si>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</si>
  <si>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</si>
  <si>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</si>
  <si>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</si>
  <si>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</si>
  <si>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</si>
  <si>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</si>
  <si>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</si>
  <si>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</si>
  <si>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</si>
  <si>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</si>
  <si>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</si>
  <si>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</si>
  <si>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</si>
  <si>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</si>
  <si>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</si>
  <si>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</si>
  <si>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</si>
  <si>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</si>
  <si>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</si>
  <si>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</si>
  <si>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</si>
  <si>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</si>
  <si>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</si>
  <si>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</si>
  <si>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</si>
  <si>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</si>
  <si>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</si>
  <si>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</si>
  <si>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</si>
  <si>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</si>
  <si>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</si>
  <si>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</si>
  <si>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</si>
  <si>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</si>
  <si>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</si>
  <si>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</si>
  <si>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</si>
  <si>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</si>
  <si>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</si>
  <si>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</si>
  <si>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</si>
  <si>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</si>
  <si>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</si>
  <si>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</si>
  <si>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</si>
  <si>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</si>
  <si>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</si>
  <si>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</si>
  <si>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</si>
  <si>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</si>
  <si>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</si>
  <si>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</si>
  <si>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</si>
  <si>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</si>
  <si>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</si>
  <si>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</si>
  <si>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</si>
  <si>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</si>
  <si>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</si>
  <si>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</si>
  <si>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</si>
  <si>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</si>
  <si>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</si>
  <si>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</si>
  <si>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</si>
  <si>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</si>
  <si>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</si>
  <si>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</si>
  <si>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</si>
  <si>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</si>
  <si>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</si>
  <si>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</si>
  <si>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</si>
  <si>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</si>
  <si>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</si>
  <si>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</si>
  <si>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</si>
  <si>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</si>
  <si>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</si>
  <si>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</si>
  <si>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</si>
  <si>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</si>
  <si>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</si>
  <si>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</si>
  <si>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</si>
  <si>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</si>
  <si>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</si>
  <si>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</si>
  <si>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</si>
  <si>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</si>
  <si>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</si>
  <si>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</si>
  <si>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</si>
  <si>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</si>
  <si>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</si>
  <si>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</si>
  <si>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</si>
  <si>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</si>
  <si>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</si>
  <si>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</si>
  <si>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</si>
  <si>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</si>
  <si>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</si>
  <si>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</si>
  <si>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</si>
  <si>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</si>
  <si>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</si>
  <si>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</si>
  <si>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</si>
  <si>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</si>
  <si>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</si>
  <si>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</si>
  <si>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</si>
  <si>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</si>
  <si>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</si>
  <si>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</si>
  <si>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</si>
  <si>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</si>
  <si>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</si>
  <si>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</si>
  <si>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</si>
  <si>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</si>
  <si>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</si>
  <si>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</si>
  <si>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</si>
  <si>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</si>
  <si>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</si>
  <si>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</si>
  <si>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</si>
  <si>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</si>
  <si>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</si>
  <si>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</si>
  <si>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</si>
  <si>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</si>
  <si>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</si>
  <si>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</si>
  <si>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</si>
  <si>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</si>
  <si>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</si>
  <si>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</si>
  <si>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</si>
  <si>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</si>
  <si>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</si>
  <si>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</si>
  <si>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</si>
  <si>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</si>
  <si>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</si>
  <si>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</si>
  <si>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</si>
  <si>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</si>
  <si>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</si>
  <si>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</si>
  <si>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</si>
  <si>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</si>
  <si>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</si>
  <si>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</si>
  <si>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</si>
  <si>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</si>
  <si>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</si>
  <si>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</si>
  <si>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</si>
  <si>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</si>
  <si>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</si>
  <si>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</si>
  <si>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</si>
  <si>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</si>
  <si>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</si>
  <si>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</si>
  <si>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</si>
  <si>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</si>
  <si>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</si>
  <si>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</si>
  <si>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</si>
  <si>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</si>
  <si>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</si>
  <si>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</si>
  <si>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</si>
  <si>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</si>
  <si>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</si>
  <si>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</si>
  <si>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</si>
  <si>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</si>
  <si>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</si>
  <si>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</si>
  <si>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</si>
  <si>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</si>
  <si>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</si>
  <si>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</si>
  <si>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</si>
  <si>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</si>
  <si>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</si>
  <si>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</si>
  <si>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</si>
  <si>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</si>
  <si>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</si>
  <si>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</si>
  <si>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</si>
  <si>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</si>
  <si>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</si>
  <si>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</si>
  <si>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</si>
  <si>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</si>
  <si>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</si>
  <si>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</si>
  <si>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</si>
  <si>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</si>
  <si>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</si>
  <si>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</si>
  <si>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</si>
  <si>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</si>
  <si>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</si>
  <si>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</si>
  <si>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</si>
  <si>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</si>
  <si>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</si>
  <si>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</si>
  <si>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</si>
  <si>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</si>
  <si>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</si>
  <si>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</si>
  <si>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</si>
  <si>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</si>
  <si>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</si>
  <si>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</si>
  <si>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</si>
  <si>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</si>
  <si>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</si>
  <si>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</si>
  <si>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</si>
  <si>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</si>
  <si>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</si>
  <si>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</si>
  <si>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</si>
  <si>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</si>
  <si>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</si>
  <si>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</si>
  <si>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</si>
  <si>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</si>
  <si>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</si>
  <si>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</si>
  <si>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</si>
  <si>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</si>
  <si>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</si>
  <si>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</si>
  <si>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</si>
  <si>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</si>
  <si>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</si>
  <si>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</si>
  <si>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</si>
  <si>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</si>
  <si>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</si>
  <si>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</si>
  <si>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</si>
  <si>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</si>
  <si>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</si>
  <si>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</si>
  <si>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</si>
  <si>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</si>
  <si>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</si>
  <si>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</si>
  <si>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</si>
  <si>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</si>
  <si>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</si>
  <si>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</si>
  <si>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</si>
  <si>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</si>
  <si>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</si>
  <si>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</si>
  <si>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</si>
  <si>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</si>
  <si>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</si>
  <si>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</si>
  <si>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</si>
  <si>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</si>
  <si>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</si>
  <si>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</si>
  <si>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</si>
  <si>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</si>
  <si>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</si>
  <si>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</si>
  <si>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</si>
  <si>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</si>
  <si>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</si>
  <si>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</si>
  <si>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</si>
  <si>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</si>
  <si>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</si>
  <si>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</si>
  <si>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</si>
  <si>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</si>
  <si>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</si>
  <si>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</si>
  <si>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</si>
  <si>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</si>
  <si>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</si>
  <si>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</si>
  <si>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</si>
  <si>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</si>
  <si>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</si>
  <si>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</si>
  <si>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</si>
  <si>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</si>
  <si>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</si>
  <si>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</si>
  <si>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</si>
  <si>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</si>
  <si>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</si>
  <si>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</si>
  <si>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</si>
  <si>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</si>
  <si>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</si>
  <si>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</si>
  <si>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</si>
  <si>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</si>
  <si>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</si>
  <si>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</si>
  <si>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</si>
  <si>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</si>
  <si>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</si>
  <si>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</si>
  <si>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</si>
  <si>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</si>
  <si>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</si>
  <si>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</si>
  <si>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</si>
  <si>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</si>
  <si>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</si>
  <si>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</si>
  <si>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</si>
  <si>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</si>
  <si>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</si>
  <si>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</si>
  <si>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</si>
  <si>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</si>
  <si>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</si>
  <si>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</si>
  <si>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</si>
  <si>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</si>
  <si>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</si>
  <si>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</si>
  <si>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</si>
  <si>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</si>
  <si>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</si>
  <si>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</si>
  <si>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</si>
  <si>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</si>
  <si>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</si>
  <si>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</si>
  <si>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</si>
  <si>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</si>
  <si>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</si>
  <si>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</si>
  <si>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</si>
  <si>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</si>
  <si>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</si>
  <si>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</si>
  <si>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</si>
  <si>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</si>
  <si>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</si>
  <si>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</si>
  <si>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</si>
  <si>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</si>
  <si>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</si>
  <si>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</si>
  <si>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</si>
  <si>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</si>
  <si>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</si>
  <si>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</si>
  <si>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</si>
  <si>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</si>
  <si>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</si>
  <si>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</si>
  <si>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</si>
  <si>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</si>
  <si>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</si>
  <si>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</si>
  <si>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</si>
  <si>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</si>
  <si>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</si>
  <si>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</si>
  <si>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</si>
  <si>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</si>
  <si>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</si>
  <si>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</si>
  <si>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</si>
  <si>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</si>
  <si>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</si>
  <si>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</si>
  <si>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</si>
  <si>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</si>
  <si>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</si>
  <si>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</si>
  <si>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</si>
  <si>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</si>
  <si>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</si>
  <si>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</si>
  <si>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</si>
  <si>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</si>
  <si>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</si>
  <si>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</si>
  <si>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</si>
  <si>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</si>
  <si>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</si>
  <si>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</si>
  <si>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</si>
  <si>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</si>
  <si>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</si>
  <si>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</si>
  <si>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</si>
  <si>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</si>
  <si>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</si>
  <si>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</si>
  <si>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</si>
  <si>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</si>
  <si>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</si>
  <si>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</si>
  <si>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</si>
  <si>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</si>
  <si>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</si>
  <si>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</si>
  <si>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</si>
  <si>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</si>
  <si>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</si>
  <si>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</si>
  <si>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</si>
  <si>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</si>
  <si>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</si>
  <si>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</si>
  <si>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</si>
  <si>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</si>
  <si>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</si>
  <si>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</si>
  <si>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</si>
  <si>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</si>
  <si>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</si>
  <si>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</si>
  <si>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</si>
  <si>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</si>
  <si>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</si>
  <si>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</si>
  <si>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</si>
  <si>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</si>
  <si>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</si>
  <si>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</si>
  <si>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</si>
  <si>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</si>
  <si>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</si>
  <si>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</si>
  <si>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</si>
  <si>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</si>
  <si>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</si>
  <si>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</si>
  <si>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</si>
  <si>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</si>
  <si>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</si>
  <si>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</si>
  <si>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</si>
  <si>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</si>
  <si>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</si>
  <si>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</si>
  <si>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</si>
  <si>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</si>
  <si>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</si>
  <si>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</si>
  <si>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</si>
  <si>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</si>
  <si>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</si>
  <si>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</si>
  <si>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</si>
  <si>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</si>
  <si>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</si>
  <si>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</si>
  <si>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</si>
  <si>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</si>
  <si>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</si>
  <si>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</si>
  <si>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</si>
  <si>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</si>
  <si>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</si>
  <si>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</si>
  <si>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</si>
  <si>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</si>
  <si>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</si>
  <si>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</si>
  <si>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</si>
  <si>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</si>
  <si>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</si>
  <si>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</si>
  <si>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</si>
  <si>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</si>
  <si>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</si>
  <si>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</si>
  <si>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</si>
  <si>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</si>
  <si>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</si>
  <si>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</si>
  <si>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</si>
  <si>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</si>
  <si>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</si>
  <si>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</si>
  <si>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</si>
  <si>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</si>
  <si>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</si>
  <si>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</si>
  <si>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</si>
  <si>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</si>
  <si>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</si>
  <si>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</si>
  <si>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</si>
  <si>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</si>
  <si>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</si>
  <si>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</si>
  <si>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</si>
  <si>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</si>
  <si>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</si>
  <si>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</si>
  <si>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</si>
  <si>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</si>
  <si>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</si>
  <si>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</si>
  <si>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</si>
  <si>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</si>
  <si>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</si>
  <si>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</si>
  <si>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</si>
  <si>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</si>
  <si>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</si>
  <si>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</si>
  <si>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</si>
  <si>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</si>
  <si>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</si>
  <si>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</si>
  <si>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</si>
  <si>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</si>
  <si>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</si>
  <si>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</si>
  <si>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</si>
  <si>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</si>
  <si>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</si>
  <si>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</si>
  <si>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</si>
  <si>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</si>
  <si>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</si>
  <si>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</si>
  <si>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</si>
  <si>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</si>
  <si>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</si>
  <si>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</si>
  <si>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</si>
  <si>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</si>
  <si>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</si>
  <si>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</si>
  <si>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</si>
  <si>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</si>
  <si>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</si>
  <si>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</si>
  <si>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</si>
  <si>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</si>
  <si>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</si>
  <si>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</si>
  <si>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</si>
  <si>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</si>
  <si>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</si>
  <si>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</si>
  <si>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</si>
  <si>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</si>
  <si>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</si>
  <si>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</si>
  <si>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</si>
  <si>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</si>
  <si>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</si>
  <si>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</si>
  <si>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</si>
  <si>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</si>
  <si>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</si>
  <si>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</si>
  <si>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</si>
  <si>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</si>
  <si>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</si>
  <si>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</si>
  <si>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</si>
  <si>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</si>
  <si>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</si>
  <si>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</si>
  <si>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</si>
  <si>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</si>
  <si>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</si>
  <si>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</si>
  <si>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</si>
  <si>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</si>
  <si>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</si>
  <si>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</si>
  <si>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</si>
  <si>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</si>
  <si>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</si>
  <si>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</si>
  <si>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</si>
  <si>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</si>
  <si>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</si>
  <si>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</si>
  <si>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</si>
  <si>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</si>
  <si>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</si>
  <si>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</si>
  <si>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</si>
  <si>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</si>
  <si>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</si>
  <si>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</si>
  <si>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</si>
  <si>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</si>
  <si>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</si>
  <si>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</si>
  <si>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</si>
  <si>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</si>
  <si>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</si>
  <si>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</si>
  <si>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</si>
  <si>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</si>
  <si>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</si>
  <si>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</si>
  <si>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</si>
  <si>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</si>
  <si>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</si>
  <si>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</si>
  <si>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</si>
  <si>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</si>
  <si>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</si>
  <si>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</si>
  <si>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</si>
  <si>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</si>
  <si>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</si>
  <si>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</si>
  <si>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</si>
  <si>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</si>
  <si>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</si>
  <si>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</si>
  <si>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</si>
  <si>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</si>
  <si>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</si>
  <si>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</si>
  <si>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</si>
  <si>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</si>
  <si>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</si>
  <si>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</si>
  <si>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</si>
  <si>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</si>
  <si>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</si>
  <si>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</si>
  <si>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</si>
  <si>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</si>
  <si>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</si>
  <si>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</si>
  <si>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</si>
  <si>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</si>
  <si>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</si>
  <si>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</si>
  <si>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</si>
  <si>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</si>
  <si>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</si>
  <si>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</si>
  <si>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</si>
  <si>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</si>
  <si>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</si>
  <si>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</si>
  <si>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</si>
  <si>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</si>
  <si>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</si>
  <si>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</si>
  <si>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</si>
  <si>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</si>
  <si>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</si>
  <si>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</si>
  <si>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</si>
  <si>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</si>
  <si>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</si>
  <si>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</si>
  <si>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</si>
  <si>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</si>
  <si>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</si>
  <si>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</si>
  <si>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</si>
  <si>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</si>
  <si>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</si>
  <si>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</si>
  <si>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</si>
  <si>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</si>
  <si>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</si>
  <si>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</si>
  <si>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</si>
  <si>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</si>
  <si>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</si>
  <si>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</si>
  <si>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</si>
  <si>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</si>
  <si>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</si>
  <si>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</si>
  <si>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</si>
  <si>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</si>
  <si>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</si>
  <si>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</si>
  <si>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</si>
  <si>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</si>
  <si>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</si>
  <si>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</si>
  <si>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</si>
  <si>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</si>
  <si>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</si>
  <si>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</si>
  <si>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</si>
  <si>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</si>
  <si>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</si>
  <si>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</si>
  <si>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</si>
  <si>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</si>
  <si>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</si>
  <si>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</si>
  <si>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</si>
  <si>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</si>
  <si>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</si>
  <si>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</si>
  <si>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</si>
  <si>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</si>
  <si>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</si>
  <si>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</si>
  <si>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</si>
  <si>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</si>
  <si>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</si>
  <si>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</si>
  <si>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</si>
  <si>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</si>
  <si>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</si>
  <si>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</si>
  <si>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</si>
  <si>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</si>
  <si>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</si>
  <si>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</si>
  <si>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</si>
  <si>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</si>
  <si>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</si>
  <si>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</si>
  <si>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</si>
  <si>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</si>
  <si>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</si>
  <si>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</si>
  <si>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</si>
  <si>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</si>
  <si>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</si>
  <si>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</si>
  <si>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</si>
  <si>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</si>
  <si>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</si>
  <si>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</si>
  <si>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</si>
  <si>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</si>
  <si>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</si>
  <si>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</si>
  <si>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</si>
  <si>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</si>
  <si>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</si>
  <si>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</si>
  <si>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</si>
  <si>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</si>
  <si>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</si>
  <si>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</si>
  <si>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</si>
  <si>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</si>
  <si>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</si>
  <si>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</si>
  <si>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</si>
  <si>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</si>
  <si>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</si>
  <si>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</si>
  <si>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</si>
  <si>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</si>
  <si>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</si>
  <si>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</si>
  <si>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</si>
  <si>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</si>
  <si>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</si>
  <si>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</si>
  <si>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</si>
  <si>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</si>
  <si>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</si>
  <si>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</si>
  <si>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</si>
  <si>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</si>
  <si>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</si>
  <si>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</si>
  <si>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</si>
  <si>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</si>
  <si>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</si>
  <si>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</si>
  <si>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</si>
  <si>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</si>
  <si>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</si>
  <si>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</si>
  <si>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</si>
  <si>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</si>
  <si>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</si>
  <si>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</si>
  <si>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</si>
  <si>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</si>
  <si>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</si>
  <si>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</si>
  <si>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</si>
  <si>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</si>
  <si>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</si>
  <si>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</si>
  <si>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</si>
  <si>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</si>
  <si>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</si>
  <si>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</si>
  <si>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</si>
  <si>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</si>
  <si>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</si>
  <si>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</si>
  <si>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</si>
  <si>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</si>
  <si>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</si>
  <si>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</si>
  <si>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</si>
  <si>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</si>
  <si>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</si>
  <si>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</si>
  <si>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</si>
  <si>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</si>
  <si>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</si>
  <si>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</si>
  <si>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</si>
  <si>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</si>
  <si>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</si>
  <si>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</si>
  <si>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</si>
  <si>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</si>
  <si>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</si>
  <si>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</si>
  <si>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</si>
  <si>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</si>
  <si>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</si>
  <si>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</si>
  <si>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</si>
  <si>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</si>
  <si>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</si>
  <si>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</si>
  <si>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</si>
  <si>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</si>
  <si>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</si>
  <si>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</si>
  <si>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</si>
  <si>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</si>
  <si>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</si>
  <si>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</si>
  <si>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</si>
  <si>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</si>
  <si>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</si>
  <si>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</si>
  <si>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</si>
  <si>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</si>
  <si>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</si>
  <si>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</si>
  <si>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</si>
  <si>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</si>
  <si>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</si>
  <si>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</si>
  <si>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</si>
  <si>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</si>
  <si>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</si>
  <si>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</si>
  <si>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</si>
  <si>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</si>
  <si>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</si>
  <si>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</si>
  <si>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</si>
  <si>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</si>
  <si>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</si>
  <si>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</si>
  <si>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</si>
  <si>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</si>
  <si>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</si>
  <si>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</si>
  <si>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</si>
  <si>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</si>
  <si>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</si>
  <si>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</si>
  <si>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</si>
  <si>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</si>
  <si>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</si>
  <si>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</si>
  <si>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</si>
  <si>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</si>
  <si>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</si>
  <si>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</si>
  <si>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</si>
  <si>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</si>
  <si>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</si>
  <si>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</si>
  <si>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</si>
  <si>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</si>
  <si>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</si>
  <si>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</si>
  <si>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</si>
  <si>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</si>
  <si>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</si>
  <si>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</si>
  <si>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</si>
  <si>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</si>
  <si>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</si>
  <si>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</si>
  <si>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</si>
  <si>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</si>
  <si>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</si>
  <si>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</si>
  <si>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</si>
  <si>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</si>
  <si>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</si>
  <si>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</si>
  <si>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</si>
  <si>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</si>
  <si>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</si>
  <si>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</si>
  <si>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</si>
  <si>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</si>
  <si>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</si>
  <si>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</si>
  <si>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</si>
  <si>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</si>
  <si>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</si>
  <si>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</si>
  <si>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</si>
  <si>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</si>
  <si>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</si>
  <si>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</si>
  <si>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</si>
  <si>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</si>
  <si>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</si>
  <si>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</si>
  <si>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</si>
  <si>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</si>
  <si>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</si>
  <si>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</si>
  <si>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</si>
  <si>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</si>
  <si>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</si>
  <si>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</si>
  <si>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</si>
  <si>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</si>
  <si>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</si>
  <si>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</si>
  <si>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</si>
  <si>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</si>
  <si>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</si>
  <si>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</si>
  <si>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</si>
  <si>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</si>
  <si>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</si>
  <si>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</si>
  <si>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</si>
  <si>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</si>
  <si>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</si>
  <si>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</si>
  <si>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</si>
  <si>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</si>
  <si>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</si>
  <si>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</si>
  <si>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</si>
  <si>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</si>
  <si>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</si>
  <si>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</si>
  <si>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</si>
  <si>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</si>
  <si>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</si>
  <si>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</si>
  <si>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</si>
  <si>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</si>
  <si>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</si>
  <si>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</si>
  <si>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</si>
  <si>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</si>
  <si>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</si>
  <si>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</si>
  <si>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</si>
  <si>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</si>
  <si>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</si>
  <si>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</si>
  <si>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</si>
  <si>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</si>
  <si>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</si>
  <si>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</si>
  <si>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</si>
  <si>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</si>
  <si>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</si>
  <si>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</si>
  <si>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</si>
  <si>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</si>
  <si>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</si>
  <si>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</si>
  <si>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</si>
  <si>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</si>
  <si>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</si>
  <si>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</si>
  <si>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</si>
  <si>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</si>
  <si>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</si>
  <si>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</si>
  <si>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</si>
  <si>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</si>
  <si>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</si>
  <si>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</si>
  <si>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</si>
  <si>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</si>
  <si>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</si>
  <si>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</si>
  <si>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</si>
  <si>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</si>
  <si>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</si>
  <si>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</si>
  <si>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</si>
  <si>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</si>
  <si>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</si>
  <si>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</si>
  <si>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</si>
  <si>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</si>
  <si>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</si>
  <si>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</si>
  <si>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</si>
  <si>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</si>
  <si>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</si>
  <si>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</si>
  <si>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</si>
  <si>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</si>
  <si>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</si>
  <si>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</si>
  <si>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</si>
  <si>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</si>
  <si>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</si>
  <si>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</si>
  <si>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</si>
  <si>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</si>
  <si>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</si>
  <si>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</si>
  <si>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</si>
  <si>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</si>
  <si>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</si>
  <si>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</si>
  <si>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</si>
  <si>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</si>
  <si>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</si>
  <si>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</si>
  <si>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</si>
  <si>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</si>
  <si>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</si>
  <si>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</si>
  <si>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</si>
  <si>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</si>
  <si>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</si>
  <si>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</si>
  <si>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</si>
  <si>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</si>
  <si>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</si>
  <si>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</si>
  <si>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</si>
  <si>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</si>
  <si>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</si>
  <si>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</si>
  <si>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</si>
  <si>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</si>
  <si>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</si>
  <si>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</si>
  <si>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</si>
  <si>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</si>
  <si>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</si>
  <si>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</si>
  <si>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</si>
  <si>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</si>
  <si>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</si>
  <si>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</si>
  <si>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</si>
  <si>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</si>
  <si>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</si>
  <si>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</si>
  <si>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</si>
  <si>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</si>
  <si>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</si>
  <si>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</si>
  <si>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</si>
  <si>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</si>
  <si>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</si>
  <si>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</si>
  <si>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</si>
  <si>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</si>
  <si>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</si>
  <si>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</si>
  <si>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</si>
  <si>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</si>
  <si>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</si>
  <si>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</si>
  <si>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</si>
  <si>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</si>
  <si>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</si>
  <si>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</si>
  <si>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</si>
  <si>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</si>
  <si>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</si>
  <si>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</si>
  <si>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</si>
  <si>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</si>
  <si>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</si>
  <si>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</si>
  <si>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</si>
  <si>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</si>
  <si>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</si>
  <si>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</si>
  <si>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</si>
  <si>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</si>
  <si>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</si>
  <si>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</si>
  <si>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</si>
  <si>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</si>
  <si>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</si>
  <si>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</si>
  <si>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</si>
  <si>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</si>
  <si>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</si>
  <si>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</si>
  <si>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</si>
  <si>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</si>
  <si>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</si>
  <si>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</si>
  <si>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</si>
  <si>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</si>
  <si>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</si>
  <si>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</si>
  <si>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</si>
  <si>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</si>
  <si>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</si>
  <si>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</si>
  <si>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</si>
  <si>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</si>
  <si>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</si>
  <si>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</si>
  <si>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</si>
  <si>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</si>
  <si>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</si>
  <si>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</si>
  <si>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</si>
  <si>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</si>
  <si>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</si>
  <si>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</si>
  <si>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</si>
  <si>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</si>
  <si>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</si>
  <si>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</si>
  <si>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</si>
  <si>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</si>
  <si>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</si>
  <si>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</si>
  <si>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</si>
  <si>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</si>
  <si>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</si>
  <si>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</si>
  <si>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</si>
  <si>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</si>
  <si>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</si>
  <si>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</si>
  <si>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</si>
  <si>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</si>
  <si>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</si>
  <si>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</si>
  <si>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</si>
  <si>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</si>
  <si>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</si>
  <si>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</si>
  <si>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</si>
  <si>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</si>
  <si>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</si>
  <si>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</si>
  <si>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</si>
  <si>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</si>
  <si>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</si>
  <si>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</si>
  <si>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</si>
  <si>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</si>
  <si>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</si>
  <si>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</si>
  <si>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</si>
  <si>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</si>
  <si>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</si>
  <si>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</si>
  <si>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</si>
  <si>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</si>
  <si>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</si>
  <si>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</si>
  <si>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</si>
  <si>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</si>
  <si>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</si>
  <si>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</si>
  <si>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</si>
  <si>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</si>
  <si>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</si>
  <si>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</si>
  <si>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</si>
  <si>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</si>
  <si>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</si>
  <si>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</si>
  <si>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</si>
  <si>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</si>
  <si>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</si>
  <si>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</si>
  <si>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</si>
  <si>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</si>
  <si>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</si>
  <si>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</si>
  <si>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</si>
  <si>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</si>
  <si>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</si>
  <si>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</si>
  <si>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</si>
  <si>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</si>
  <si>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</si>
  <si>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</si>
  <si>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</si>
  <si>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</si>
  <si>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</si>
  <si>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</si>
  <si>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</si>
  <si>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</si>
  <si>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</si>
  <si>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</si>
  <si>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</si>
  <si>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</si>
  <si>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</si>
  <si>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</si>
  <si>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</si>
  <si>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</si>
  <si>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</si>
  <si>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</si>
  <si>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</si>
  <si>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</si>
  <si>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</si>
  <si>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</si>
  <si>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</si>
  <si>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</si>
  <si>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</si>
  <si>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</si>
  <si>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</si>
  <si>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</si>
  <si>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</si>
  <si>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</si>
  <si>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</si>
  <si>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</si>
  <si>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</si>
  <si>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</si>
  <si>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</si>
  <si>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</si>
  <si>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</si>
  <si>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</si>
  <si>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</si>
  <si>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</si>
  <si>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</si>
  <si>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</si>
  <si>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</si>
  <si>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</si>
  <si>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</si>
  <si>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</si>
  <si>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</si>
  <si>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</si>
  <si>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</si>
  <si>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</si>
  <si>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</si>
  <si>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</si>
  <si>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</si>
  <si>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</si>
  <si>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</si>
  <si>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</si>
  <si>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</si>
  <si>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</si>
  <si>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</si>
  <si>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</si>
  <si>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</si>
  <si>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</si>
  <si>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</si>
  <si>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</si>
  <si>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</si>
  <si>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</si>
  <si>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</si>
  <si>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</si>
  <si>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</si>
  <si>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</si>
  <si>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</si>
  <si>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</si>
  <si>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</si>
  <si>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</si>
  <si>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</si>
  <si>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</si>
  <si>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</si>
  <si>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</si>
  <si>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</si>
  <si>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</si>
  <si>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</si>
  <si>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</si>
  <si>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</si>
  <si>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</si>
  <si>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</si>
  <si>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</si>
  <si>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</si>
  <si>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</si>
  <si>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</si>
  <si>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</si>
  <si>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</si>
  <si>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</si>
  <si>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</si>
  <si>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</si>
  <si>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</si>
  <si>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</si>
  <si>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</si>
  <si>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</si>
  <si>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</si>
  <si>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</si>
  <si>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</si>
  <si>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</si>
  <si>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</si>
  <si>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</si>
  <si>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</si>
  <si>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</si>
  <si>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</si>
  <si>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</si>
  <si>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</si>
  <si>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</si>
  <si>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</si>
  <si>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</si>
  <si>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</si>
  <si>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</si>
  <si>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</si>
  <si>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</si>
  <si>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</si>
  <si>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</si>
  <si>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</si>
  <si>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</si>
  <si>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</si>
  <si>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</si>
  <si>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</si>
  <si>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</si>
  <si>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</si>
  <si>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</si>
  <si>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</si>
  <si>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</si>
  <si>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</si>
  <si>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</si>
  <si>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</si>
  <si>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</si>
  <si>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</si>
  <si>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</si>
  <si>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</si>
  <si>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</si>
  <si>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</si>
  <si>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</si>
  <si>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</si>
  <si>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</si>
  <si>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</si>
  <si>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</si>
  <si>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</si>
  <si>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</si>
  <si>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</si>
  <si>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</si>
  <si>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</si>
  <si>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</si>
  <si>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</si>
  <si>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</si>
  <si>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</si>
  <si>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</si>
  <si>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</si>
  <si>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</si>
  <si>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</si>
  <si>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</si>
  <si>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</si>
  <si>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</si>
  <si>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</si>
  <si>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</si>
  <si>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</si>
  <si>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</si>
  <si>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</si>
  <si>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</si>
  <si>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</si>
  <si>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</si>
  <si>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</si>
  <si>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</si>
  <si>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</si>
  <si>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</si>
  <si>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</si>
  <si>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</si>
  <si>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</si>
  <si>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</si>
  <si>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</si>
  <si>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</si>
  <si>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</si>
  <si>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</si>
  <si>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</si>
  <si>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</si>
  <si>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</si>
  <si>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</si>
  <si>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</si>
  <si>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</si>
  <si>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</si>
  <si>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</si>
  <si>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</si>
  <si>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</si>
  <si>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</si>
  <si>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</si>
  <si>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</si>
  <si>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</si>
  <si>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</si>
  <si>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</si>
  <si>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</si>
  <si>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</si>
  <si>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</si>
  <si>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</si>
  <si>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</si>
  <si>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</si>
  <si>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</si>
  <si>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</si>
  <si>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</si>
  <si>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</si>
  <si>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</si>
  <si>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</si>
  <si>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</si>
  <si>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</si>
  <si>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</si>
  <si>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</si>
  <si>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</si>
  <si>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</si>
  <si>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</si>
  <si>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</si>
  <si>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</si>
  <si>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</si>
  <si>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</si>
  <si>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</si>
  <si>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</si>
  <si>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</si>
  <si>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</si>
  <si>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</si>
  <si>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</si>
  <si>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</si>
  <si>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</si>
  <si>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</si>
  <si>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</si>
  <si>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</si>
  <si>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</si>
  <si>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</si>
  <si>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</si>
  <si>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</si>
  <si>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</si>
  <si>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</si>
  <si>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</si>
  <si>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</si>
  <si>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</si>
  <si>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</si>
  <si>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</si>
  <si>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</si>
  <si>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</si>
  <si>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</si>
  <si>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</si>
  <si>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</si>
  <si>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</si>
  <si>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</si>
  <si>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</si>
  <si>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</si>
  <si>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</si>
  <si>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</si>
  <si>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</si>
  <si>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</si>
  <si>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</si>
  <si>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</si>
  <si>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</si>
  <si>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</si>
  <si>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</si>
  <si>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</si>
  <si>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</si>
  <si>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</si>
  <si>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</si>
  <si>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</si>
  <si>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</si>
  <si>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</si>
  <si>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</si>
  <si>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</si>
  <si>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</si>
  <si>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</si>
  <si>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</si>
  <si>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</si>
  <si>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</si>
  <si>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</si>
  <si>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</si>
  <si>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</si>
  <si>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</si>
  <si>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</si>
  <si>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</si>
  <si>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</si>
  <si>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</si>
  <si>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</si>
  <si>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</si>
  <si>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</si>
  <si>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</si>
  <si>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</si>
  <si>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</si>
  <si>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</si>
  <si>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</si>
  <si>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</si>
  <si>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</si>
  <si>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</si>
  <si>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</si>
  <si>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</si>
  <si>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</si>
  <si>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</si>
  <si>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</si>
  <si>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</si>
  <si>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</si>
  <si>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</si>
  <si>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</si>
  <si>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</si>
  <si>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</si>
  <si>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</si>
  <si>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</si>
  <si>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</si>
  <si>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</si>
  <si>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</si>
  <si>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</si>
  <si>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</si>
  <si>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</si>
  <si>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</si>
  <si>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</si>
  <si>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</si>
  <si>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</si>
  <si>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</si>
  <si>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</si>
  <si>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</si>
  <si>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</si>
  <si>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</si>
  <si>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</si>
  <si>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</si>
  <si>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</si>
  <si>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</si>
  <si>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</si>
  <si>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</si>
  <si>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</si>
  <si>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</si>
  <si>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</si>
  <si>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</si>
  <si>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</si>
  <si>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</si>
  <si>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</si>
  <si>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</si>
  <si>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</si>
  <si>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</si>
  <si>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</si>
  <si>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</si>
  <si>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</si>
  <si>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</si>
  <si>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</si>
  <si>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</si>
  <si>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</si>
  <si>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</si>
  <si>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</si>
  <si>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</si>
  <si>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</si>
  <si>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</si>
  <si>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</si>
  <si>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</si>
  <si>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</si>
  <si>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</si>
  <si>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</si>
  <si>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</si>
  <si>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</si>
  <si>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</si>
  <si>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</si>
  <si>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</si>
  <si>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</si>
  <si>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</si>
  <si>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</si>
  <si>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</si>
  <si>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</si>
  <si>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</si>
  <si>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</si>
  <si>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</si>
  <si>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</si>
  <si>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</si>
  <si>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</si>
  <si>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</si>
  <si>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</si>
  <si>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</si>
  <si>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</si>
  <si>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</si>
  <si>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</si>
  <si>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</si>
  <si>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</si>
  <si>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</si>
  <si>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</si>
  <si>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</si>
  <si>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</si>
  <si>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</si>
  <si>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</si>
  <si>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</si>
  <si>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</si>
  <si>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</si>
  <si>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</si>
  <si>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</si>
  <si>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</si>
  <si>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</si>
  <si>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</si>
  <si>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</si>
  <si>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</si>
  <si>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</si>
  <si>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</si>
  <si>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</si>
  <si>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</si>
  <si>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</si>
  <si>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</si>
  <si>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</si>
  <si>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</si>
  <si>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</si>
  <si>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</si>
  <si>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</si>
  <si>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</si>
  <si>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</si>
  <si>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</si>
  <si>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</si>
  <si>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</si>
  <si>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</si>
  <si>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</si>
  <si>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</si>
  <si>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</si>
  <si>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</si>
  <si>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</si>
  <si>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</si>
  <si>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</si>
  <si>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</si>
  <si>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</si>
  <si>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</si>
  <si>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</si>
  <si>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</si>
  <si>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</si>
  <si>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</si>
  <si>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</si>
  <si>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</si>
  <si>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</si>
  <si>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</si>
  <si>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</si>
  <si>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</si>
  <si>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</si>
  <si>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</si>
  <si>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</si>
  <si>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</si>
  <si>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</si>
  <si>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</si>
  <si>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</si>
  <si>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</si>
  <si>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</si>
  <si>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</si>
  <si>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</si>
  <si>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</si>
  <si>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</si>
  <si>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</si>
  <si>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</si>
  <si>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</si>
  <si>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</si>
  <si>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</si>
  <si>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</si>
  <si>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</si>
  <si>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</si>
  <si>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</si>
  <si>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</si>
  <si>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</si>
  <si>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</si>
  <si>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</si>
  <si>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</si>
  <si>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</si>
  <si>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</si>
  <si>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</si>
  <si>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</si>
  <si>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</si>
  <si>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</si>
  <si>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</si>
  <si>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</si>
  <si>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</si>
  <si>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</si>
  <si>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</si>
  <si>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</si>
  <si>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</si>
  <si>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</si>
  <si>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</si>
  <si>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</si>
  <si>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</si>
  <si>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</si>
  <si>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</si>
  <si>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</si>
  <si>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</si>
  <si>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</si>
  <si>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</si>
  <si>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</si>
  <si>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</si>
  <si>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</si>
  <si>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</si>
  <si>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</si>
  <si>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</si>
  <si>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</si>
  <si>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</si>
  <si>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</si>
  <si>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</si>
  <si>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</si>
  <si>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</si>
  <si>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</si>
  <si>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</si>
  <si>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</si>
  <si>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</si>
  <si>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</si>
  <si>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</si>
  <si>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</si>
  <si>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</si>
  <si>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</si>
  <si>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</si>
  <si>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</si>
  <si>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</si>
  <si>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</si>
  <si>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</si>
  <si>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</si>
  <si>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</si>
  <si>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</si>
  <si>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</si>
  <si>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</si>
  <si>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</si>
  <si>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</si>
  <si>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</si>
  <si>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</si>
  <si>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</si>
  <si>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</si>
  <si>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</si>
  <si>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</si>
  <si>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</si>
  <si>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</si>
  <si>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</si>
  <si>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</si>
  <si>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</si>
  <si>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</si>
  <si>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</si>
  <si>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</si>
  <si>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</si>
  <si>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</si>
  <si>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</si>
  <si>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</si>
  <si>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</si>
  <si>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</si>
  <si>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</si>
  <si>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</si>
  <si>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</si>
  <si>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</si>
  <si>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</si>
  <si>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</si>
  <si>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</si>
  <si>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</si>
  <si>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</si>
  <si>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</si>
  <si>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</si>
  <si>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</si>
  <si>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</si>
  <si>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</si>
  <si>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</si>
  <si>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</si>
  <si>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</si>
  <si>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</si>
  <si>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</si>
  <si>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</si>
  <si>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</si>
  <si>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</si>
  <si>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</si>
  <si>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</si>
  <si>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</si>
  <si>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</si>
  <si>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</si>
  <si>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</si>
  <si>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</si>
  <si>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</si>
  <si>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</si>
  <si>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</si>
  <si>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</si>
  <si>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</si>
  <si>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</si>
  <si>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</si>
  <si>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</si>
  <si>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</si>
  <si>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</si>
  <si>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</si>
  <si>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</si>
  <si>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</si>
  <si>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</si>
  <si>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</si>
  <si>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</si>
  <si>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</si>
  <si>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</si>
  <si>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</si>
  <si>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</si>
  <si>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</si>
  <si>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</si>
  <si>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</si>
  <si>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</si>
  <si>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</si>
  <si>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</si>
  <si>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</si>
  <si>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</si>
  <si>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</si>
  <si>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</si>
  <si>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</si>
  <si>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</si>
  <si>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</si>
  <si>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</si>
  <si>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</si>
  <si>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</si>
  <si>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</si>
  <si>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</si>
  <si>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</si>
  <si>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</si>
  <si>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</si>
  <si>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</si>
  <si>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</si>
  <si>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</si>
  <si>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</si>
  <si>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</si>
  <si>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</si>
  <si>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</si>
  <si>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</si>
  <si>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</si>
  <si>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</si>
  <si>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</si>
  <si>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</si>
  <si>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</si>
  <si>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</si>
  <si>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</si>
  <si>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</si>
  <si>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</si>
  <si>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</si>
  <si>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</si>
  <si>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</si>
  <si>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</si>
  <si>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</si>
  <si>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</si>
  <si>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</si>
  <si>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</si>
  <si>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</si>
  <si>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</si>
  <si>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</si>
  <si>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</si>
  <si>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</si>
  <si>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</si>
  <si>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</si>
  <si>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</si>
  <si>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</si>
  <si>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</si>
  <si>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</si>
  <si>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</si>
  <si>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</si>
  <si>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</si>
  <si>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</si>
  <si>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</si>
  <si>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</si>
  <si>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</si>
  <si>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</si>
  <si>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</si>
  <si>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</si>
  <si>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</si>
  <si>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</si>
  <si>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</si>
  <si>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</si>
  <si>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</si>
  <si>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</si>
  <si>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</si>
  <si>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</si>
  <si>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</si>
  <si>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</si>
  <si>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</si>
  <si>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</si>
  <si>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</si>
  <si>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</si>
  <si>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</si>
  <si>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</si>
  <si>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</si>
  <si>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</si>
  <si>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</si>
  <si>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</si>
  <si>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</si>
  <si>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</si>
  <si>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</si>
  <si>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</si>
  <si>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</si>
  <si>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</si>
  <si>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</si>
  <si>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</si>
  <si>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</si>
  <si>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</si>
  <si>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</si>
  <si>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</si>
  <si>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</si>
  <si>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</si>
  <si>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</si>
  <si>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</si>
  <si>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</si>
  <si>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</si>
  <si>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</si>
  <si>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</si>
  <si>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</si>
  <si>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</si>
  <si>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</si>
  <si>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</si>
  <si>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</si>
  <si>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</si>
  <si>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</si>
  <si>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</si>
  <si>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</si>
  <si>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</si>
  <si>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</si>
  <si>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</si>
  <si>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</si>
  <si>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</si>
  <si>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</si>
  <si>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</si>
  <si>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</si>
  <si>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</si>
  <si>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</si>
  <si>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</si>
  <si>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</si>
  <si>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</si>
  <si>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</si>
  <si>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</si>
  <si>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</si>
  <si>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</si>
  <si>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</si>
  <si>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</si>
  <si>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</si>
  <si>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</si>
  <si>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</si>
  <si>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</si>
  <si>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</si>
  <si>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</si>
  <si>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</si>
  <si>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</si>
  <si>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</si>
  <si>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</si>
  <si>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</si>
  <si>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</si>
  <si>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</si>
  <si>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</si>
  <si>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</si>
  <si>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</si>
  <si>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</si>
  <si>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</si>
  <si>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</si>
  <si>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</si>
  <si>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</si>
  <si>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</si>
  <si>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</si>
  <si>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</si>
  <si>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</si>
  <si>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</si>
  <si>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</si>
  <si>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</si>
  <si>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</si>
  <si>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</si>
  <si>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</si>
  <si>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</si>
  <si>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</si>
  <si>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</si>
  <si>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</si>
  <si>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</si>
  <si>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</si>
  <si>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</si>
  <si>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</si>
  <si>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</si>
  <si>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</si>
  <si>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</si>
  <si>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</si>
  <si>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</si>
  <si>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</si>
  <si>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</si>
  <si>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</si>
  <si>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</si>
  <si>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</si>
  <si>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</si>
  <si>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</si>
  <si>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</si>
  <si>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</si>
  <si>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</si>
  <si>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</si>
  <si>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</si>
  <si>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</si>
  <si>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</si>
  <si>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</si>
  <si>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</si>
  <si>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</si>
  <si>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</si>
  <si>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</si>
  <si>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</si>
  <si>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</si>
  <si>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</si>
  <si>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</si>
  <si>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</si>
  <si>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</si>
  <si>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</si>
  <si>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</si>
  <si>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</si>
  <si>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</si>
  <si>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</si>
  <si>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</si>
  <si>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</si>
  <si>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</si>
  <si>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</si>
  <si>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</si>
  <si>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</si>
  <si>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</si>
  <si>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</si>
  <si>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</si>
  <si>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</si>
  <si>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</si>
  <si>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</si>
  <si>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</si>
  <si>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</si>
  <si>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</si>
  <si>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</si>
  <si>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</si>
  <si>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</si>
  <si>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</si>
  <si>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</si>
  <si>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</si>
  <si>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</si>
  <si>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</si>
  <si>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</si>
  <si>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</si>
  <si>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</si>
  <si>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</si>
  <si>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</si>
  <si>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</si>
  <si>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</si>
  <si>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</si>
  <si>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</si>
  <si>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</si>
  <si>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</si>
  <si>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</si>
  <si>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</si>
  <si>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</si>
  <si>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</si>
  <si>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</si>
  <si>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</si>
  <si>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</si>
  <si>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</si>
  <si>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</si>
  <si>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</si>
  <si>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</si>
  <si>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</si>
  <si>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</si>
  <si>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</si>
  <si>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</si>
  <si>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</si>
  <si>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</si>
  <si>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</si>
  <si>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</si>
  <si>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</si>
  <si>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</si>
  <si>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</si>
  <si>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</si>
  <si>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</si>
  <si>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</si>
  <si>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</si>
  <si>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</si>
  <si>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</si>
  <si>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</si>
  <si>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</si>
  <si>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</si>
  <si>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</si>
  <si>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</si>
  <si>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</si>
  <si>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</si>
  <si>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</si>
  <si>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</si>
  <si>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</si>
  <si>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</si>
  <si>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</si>
  <si>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</si>
  <si>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</si>
  <si>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</si>
  <si>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</si>
  <si>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</si>
  <si>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</si>
  <si>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</si>
  <si>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</si>
  <si>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</si>
  <si>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</si>
  <si>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</si>
  <si>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</si>
  <si>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</si>
  <si>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</si>
  <si>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</si>
  <si>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</si>
  <si>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</si>
  <si>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</si>
  <si>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</si>
  <si>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</si>
  <si>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</si>
  <si>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</si>
  <si>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</si>
  <si>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</si>
  <si>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</si>
  <si>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</si>
  <si>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</si>
  <si>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</si>
  <si>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</si>
  <si>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</si>
  <si>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</si>
  <si>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</si>
  <si>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</si>
  <si>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</si>
  <si>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</si>
  <si>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</si>
  <si>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</si>
  <si>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</si>
  <si>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</si>
  <si>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</si>
  <si>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</si>
  <si>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</si>
  <si>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</si>
  <si>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</si>
  <si>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</si>
  <si>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</si>
  <si>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</si>
  <si>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</si>
  <si>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</si>
  <si>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</si>
  <si>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</si>
  <si>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</si>
  <si>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</si>
  <si>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</si>
  <si>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</si>
  <si>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</si>
  <si>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</si>
  <si>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</si>
  <si>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</si>
  <si>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</si>
  <si>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</si>
  <si>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</si>
  <si>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</si>
  <si>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</si>
  <si>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</si>
  <si>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</si>
  <si>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</si>
  <si>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</si>
  <si>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</si>
  <si>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</si>
  <si>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</si>
  <si>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</si>
  <si>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</si>
  <si>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</si>
  <si>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</si>
  <si>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</si>
  <si>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</si>
  <si>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</si>
  <si>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</si>
  <si>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</si>
  <si>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</si>
  <si>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</si>
  <si>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</si>
  <si>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</si>
  <si>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</si>
  <si>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</si>
  <si>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</si>
  <si>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</si>
  <si>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</si>
  <si>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</si>
  <si>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</si>
  <si>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</si>
  <si>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</si>
  <si>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</si>
  <si>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</si>
  <si>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</si>
  <si>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</si>
  <si>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</si>
  <si>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</si>
  <si>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</si>
  <si>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</si>
  <si>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</si>
  <si>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</si>
  <si>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</si>
  <si>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</si>
  <si>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</si>
  <si>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</si>
  <si>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</si>
  <si>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</si>
  <si>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</si>
  <si>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</si>
  <si>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</si>
  <si>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</si>
  <si>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</si>
  <si>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</si>
  <si>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</si>
  <si>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</si>
  <si>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</si>
  <si>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</si>
  <si>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</si>
  <si>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</si>
  <si>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</si>
  <si>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</si>
  <si>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</si>
  <si>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</si>
  <si>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</si>
  <si>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</si>
  <si>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</si>
  <si>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</si>
  <si>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</si>
  <si>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</si>
  <si>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</si>
  <si>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</si>
  <si>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</si>
  <si>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</si>
  <si>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</si>
  <si>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</si>
  <si>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</si>
  <si>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</si>
  <si>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</si>
  <si>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</si>
  <si>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</si>
  <si>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</si>
  <si>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</si>
  <si>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</si>
  <si>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</si>
  <si>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</si>
  <si>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</si>
  <si>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</si>
  <si>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</si>
  <si>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</si>
  <si>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</si>
  <si>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</si>
  <si>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</si>
  <si>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</si>
  <si>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</si>
  <si>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</si>
  <si>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</si>
  <si>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</si>
  <si>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</si>
  <si>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</si>
  <si>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</si>
  <si>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</si>
  <si>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</si>
  <si>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</si>
  <si>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</si>
  <si>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</si>
  <si>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</si>
  <si>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</si>
  <si>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</si>
  <si>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</si>
  <si>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</si>
  <si>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</si>
  <si>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</si>
  <si>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</si>
  <si>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</si>
  <si>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</si>
  <si>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</si>
  <si>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</si>
  <si>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</si>
  <si>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</si>
  <si>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</si>
  <si>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</si>
  <si>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</si>
  <si>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</si>
  <si>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</si>
  <si>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</si>
  <si>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</si>
  <si>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</si>
  <si>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</si>
  <si>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</si>
  <si>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</si>
  <si>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</si>
  <si>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</si>
  <si>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</si>
  <si>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</si>
  <si>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</si>
  <si>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</si>
  <si>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</si>
  <si>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</si>
  <si>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</si>
  <si>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</si>
  <si>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</si>
  <si>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</si>
  <si>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</si>
  <si>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</si>
  <si>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</si>
  <si>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</si>
  <si>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</si>
  <si>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</si>
  <si>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</si>
  <si>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</si>
  <si>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</si>
  <si>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</si>
  <si>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</si>
  <si>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</si>
  <si>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</si>
  <si>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</si>
  <si>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</si>
  <si>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</si>
  <si>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</si>
  <si>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</si>
  <si>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</si>
  <si>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</si>
  <si>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</si>
  <si>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</si>
  <si>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</si>
  <si>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</si>
  <si>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</si>
  <si>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</si>
  <si>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</si>
  <si>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</si>
  <si>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</si>
  <si>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</si>
  <si>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</si>
  <si>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</si>
  <si>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</si>
  <si>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</si>
  <si>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</si>
  <si>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</si>
  <si>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</si>
  <si>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</si>
  <si>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</si>
  <si>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</si>
  <si>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</si>
  <si>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</si>
  <si>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</si>
  <si>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</si>
  <si>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</si>
  <si>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</si>
  <si>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</si>
  <si>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</si>
  <si>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</si>
  <si>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</si>
  <si>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</si>
  <si>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</si>
  <si>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</si>
  <si>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</si>
  <si>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</si>
  <si>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</si>
  <si>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</si>
  <si>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</si>
  <si>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</si>
  <si>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</si>
  <si>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</si>
  <si>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</si>
  <si>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</si>
  <si>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</si>
  <si>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</si>
  <si>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</si>
  <si>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</si>
  <si>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</si>
  <si>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</si>
  <si>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</si>
  <si>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</si>
  <si>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</si>
  <si>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</si>
  <si>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</si>
  <si>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</si>
  <si>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</si>
  <si>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</si>
  <si>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</si>
  <si>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</si>
  <si>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</si>
  <si>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</si>
  <si>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</si>
  <si>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</si>
  <si>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</si>
  <si>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</si>
  <si>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</si>
  <si>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</si>
  <si>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</si>
  <si>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</si>
  <si>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</si>
  <si>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</si>
  <si>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</si>
  <si>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</si>
  <si>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</si>
  <si>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</si>
  <si>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</si>
  <si>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</si>
  <si>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</si>
  <si>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</si>
  <si>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</si>
  <si>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</si>
  <si>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</si>
  <si>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</si>
  <si>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</si>
  <si>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</si>
  <si>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</si>
  <si>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</si>
  <si>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</si>
  <si>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</si>
  <si>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</si>
  <si>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</si>
  <si>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</si>
  <si>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</si>
  <si>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</si>
  <si>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</si>
  <si>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</si>
  <si>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</si>
  <si>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</si>
  <si>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</si>
  <si>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</si>
  <si>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</si>
  <si>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</si>
  <si>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</si>
  <si>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</si>
  <si>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</si>
  <si>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</si>
  <si>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</si>
  <si>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</si>
  <si>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</si>
  <si>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</si>
  <si>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</si>
  <si>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</si>
  <si>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</si>
  <si>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</si>
  <si>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</si>
  <si>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</si>
  <si>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</si>
  <si>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</si>
  <si>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</si>
  <si>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</si>
  <si>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</si>
  <si>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</si>
  <si>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</si>
  <si>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</si>
  <si>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</si>
  <si>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</si>
  <si>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</si>
  <si>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</si>
  <si>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</si>
  <si>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</si>
  <si>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</si>
  <si>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</si>
  <si>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</si>
  <si>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</si>
  <si>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</si>
  <si>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</si>
  <si>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</si>
  <si>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</si>
  <si>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</si>
  <si>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</si>
  <si>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</si>
  <si>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</si>
  <si>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</si>
  <si>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</si>
  <si>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</si>
  <si>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</si>
  <si>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</si>
  <si>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</si>
  <si>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</si>
  <si>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</si>
  <si>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</si>
  <si>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</si>
  <si>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</si>
  <si>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</si>
  <si>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</si>
  <si>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</si>
  <si>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</si>
  <si>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</si>
  <si>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</si>
  <si>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</si>
  <si>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</si>
  <si>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</si>
  <si>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</si>
  <si>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</si>
  <si>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</si>
  <si>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</si>
  <si>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</si>
  <si>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</si>
  <si>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</si>
  <si>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</si>
  <si>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</si>
  <si>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</si>
  <si>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</si>
  <si>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</si>
  <si>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</si>
  <si>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</si>
  <si>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</si>
  <si>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</si>
  <si>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</si>
  <si>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</si>
  <si>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</si>
  <si>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</si>
  <si>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</si>
  <si>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</si>
  <si>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</si>
  <si>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</si>
  <si>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</si>
  <si>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</si>
  <si>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</si>
  <si>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</si>
  <si>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</si>
  <si>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</si>
  <si>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</si>
  <si>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</si>
  <si>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</si>
  <si>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</si>
  <si>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</si>
  <si>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</si>
  <si>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</si>
  <si>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</si>
  <si>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</si>
  <si>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</si>
  <si>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</si>
  <si>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</si>
  <si>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</si>
  <si>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</si>
  <si>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</si>
  <si>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</si>
  <si>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</si>
  <si>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</si>
  <si>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</si>
  <si>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</si>
  <si>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</si>
  <si>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</si>
  <si>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</si>
  <si>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</si>
  <si>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</si>
  <si>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</si>
  <si>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</si>
  <si>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</si>
  <si>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</si>
  <si>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</si>
  <si>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</si>
  <si>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</si>
  <si>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</si>
  <si>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</si>
  <si>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</si>
  <si>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</si>
  <si>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</si>
  <si>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</si>
  <si>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</si>
  <si>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</si>
  <si>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</si>
  <si>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</si>
  <si>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</si>
  <si>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</si>
  <si>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</si>
  <si>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</si>
  <si>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</si>
  <si>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</si>
  <si>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</si>
  <si>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</si>
  <si>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</si>
  <si>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</si>
  <si>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</si>
  <si>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</si>
  <si>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</si>
  <si>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</si>
  <si>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</si>
  <si>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</si>
  <si>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</si>
  <si>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</si>
  <si>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</si>
  <si>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</si>
  <si>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</si>
  <si>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</si>
  <si>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</si>
  <si>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</si>
  <si>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</si>
  <si>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</si>
  <si>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</si>
  <si>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</si>
  <si>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</si>
  <si>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</si>
  <si>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</si>
  <si>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</si>
  <si>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</si>
  <si>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</si>
  <si>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</si>
  <si>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</si>
  <si>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</si>
  <si>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</si>
  <si>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</si>
  <si>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</si>
  <si>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</si>
  <si>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</si>
  <si>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</si>
  <si>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</si>
  <si>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</si>
  <si>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</si>
  <si>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</si>
  <si>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</si>
  <si>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</si>
  <si>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</si>
  <si>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</si>
  <si>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</si>
  <si>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</si>
  <si>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</si>
  <si>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</si>
  <si>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</si>
  <si>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</si>
  <si>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</si>
  <si>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</si>
  <si>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</si>
  <si>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</si>
  <si>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</si>
  <si>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</si>
  <si>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</si>
  <si>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</si>
  <si>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</si>
  <si>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</si>
  <si>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</si>
  <si>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</si>
  <si>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</si>
  <si>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</si>
  <si>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</si>
  <si>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</si>
  <si>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</si>
  <si>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</si>
  <si>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</si>
  <si>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</si>
  <si>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</si>
  <si>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</si>
  <si>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</si>
  <si>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</si>
  <si>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</si>
  <si>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</si>
  <si>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</si>
  <si>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</si>
  <si>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</si>
  <si>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</si>
  <si>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</si>
  <si>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</si>
  <si>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</si>
  <si>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</si>
  <si>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</si>
  <si>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</si>
  <si>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</si>
  <si>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</si>
  <si>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</si>
  <si>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</si>
  <si>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</si>
  <si>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</si>
  <si>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</si>
  <si>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</si>
  <si>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</si>
  <si>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</si>
  <si>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</si>
  <si>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</si>
  <si>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</si>
  <si>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</si>
  <si>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</si>
  <si>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</si>
  <si>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</si>
  <si>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</si>
  <si>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</si>
  <si>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</si>
  <si>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</si>
  <si>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</si>
  <si>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</si>
  <si>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</si>
  <si>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</si>
  <si>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</si>
  <si>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</si>
  <si>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</si>
  <si>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</si>
  <si>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</si>
  <si>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</si>
  <si>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</si>
  <si>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</si>
  <si>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</si>
  <si>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</si>
  <si>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</si>
  <si>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</si>
  <si>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</si>
  <si>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</si>
  <si>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</si>
  <si>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</si>
  <si>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</si>
  <si>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</si>
  <si>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</si>
  <si>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</si>
  <si>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</si>
  <si>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</si>
  <si>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</si>
  <si>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</si>
  <si>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</si>
  <si>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</si>
  <si>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</si>
  <si>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</si>
  <si>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</si>
  <si>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</si>
  <si>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</si>
  <si>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</si>
  <si>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</si>
  <si>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</si>
  <si>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</si>
  <si>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</si>
  <si>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</si>
  <si>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</si>
  <si>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</si>
  <si>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</si>
  <si>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</si>
  <si>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</si>
  <si>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</si>
  <si>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</si>
  <si>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</si>
  <si>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</si>
  <si>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</si>
  <si>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</si>
  <si>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</si>
  <si>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</si>
  <si>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</si>
  <si>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</si>
  <si>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</si>
  <si>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</si>
  <si>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</si>
  <si>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</si>
  <si>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</si>
  <si>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</si>
  <si>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</si>
  <si>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</si>
  <si>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</si>
  <si>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</si>
  <si>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</si>
  <si>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</si>
  <si>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</si>
  <si>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</si>
  <si>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</si>
  <si>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</si>
  <si>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</si>
  <si>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</si>
  <si>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</si>
  <si>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</si>
  <si>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</si>
  <si>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</si>
  <si>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</si>
  <si>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</si>
  <si>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</si>
  <si>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</si>
  <si>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</si>
  <si>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</si>
  <si>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</si>
  <si>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</si>
  <si>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</si>
  <si>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</si>
  <si>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</si>
  <si>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</si>
  <si>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</si>
  <si>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</si>
  <si>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</si>
  <si>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</si>
  <si>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</si>
  <si>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</si>
  <si>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</si>
  <si>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</si>
  <si>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</si>
  <si>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</si>
  <si>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</si>
  <si>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</si>
  <si>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</si>
  <si>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</si>
  <si>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</si>
  <si>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</si>
  <si>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</si>
  <si>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</si>
  <si>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</si>
  <si>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</si>
  <si>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</si>
  <si>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</si>
  <si>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</si>
  <si>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</si>
  <si>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</si>
  <si>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</si>
  <si>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</si>
  <si>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</si>
  <si>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</si>
  <si>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</si>
  <si>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</si>
  <si>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</si>
  <si>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</si>
  <si>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</si>
  <si>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</si>
  <si>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</si>
  <si>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</si>
  <si>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</si>
  <si>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</si>
  <si>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</si>
  <si>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</si>
  <si>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</si>
  <si>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</si>
  <si>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</si>
  <si>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</si>
  <si>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</si>
  <si>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</si>
  <si>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</si>
  <si>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</si>
  <si>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</si>
  <si>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</si>
  <si>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</si>
  <si>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</si>
  <si>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</si>
  <si>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</si>
  <si>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</si>
  <si>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</si>
  <si>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</si>
  <si>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</si>
  <si>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</si>
  <si>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</si>
  <si>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</si>
  <si>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</si>
  <si>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</si>
  <si>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</si>
  <si>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</si>
  <si>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</si>
  <si>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</si>
  <si>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</si>
  <si>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</si>
  <si>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</si>
  <si>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</si>
  <si>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</si>
  <si>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</si>
  <si>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</si>
  <si>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</si>
  <si>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</si>
  <si>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</si>
  <si>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</si>
  <si>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</si>
  <si>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</si>
  <si>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</si>
  <si>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</si>
  <si>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</si>
  <si>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</si>
  <si>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</si>
  <si>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</si>
  <si>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</si>
  <si>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</si>
  <si>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</si>
  <si>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</si>
  <si>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</si>
  <si>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</si>
  <si>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</si>
  <si>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</si>
  <si>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</si>
  <si>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</si>
  <si>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</si>
  <si>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</si>
  <si>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</si>
  <si>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</si>
  <si>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</si>
  <si>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</si>
  <si>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</si>
  <si>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</si>
  <si>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</si>
  <si>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</si>
  <si>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</si>
  <si>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</si>
  <si>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</si>
  <si>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</si>
  <si>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</si>
  <si>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</si>
  <si>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</si>
  <si>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</si>
  <si>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</si>
  <si>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</si>
  <si>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</si>
  <si>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</si>
  <si>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</si>
  <si>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</si>
  <si>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</si>
  <si>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</si>
  <si>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</si>
  <si>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</si>
  <si>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</si>
  <si>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</si>
  <si>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</si>
  <si>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</si>
  <si>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</si>
  <si>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</si>
  <si>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</si>
  <si>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</si>
  <si>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</si>
  <si>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</si>
  <si>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</si>
  <si>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</si>
  <si>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</si>
  <si>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</si>
  <si>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</si>
  <si>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</si>
  <si>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</si>
  <si>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</si>
  <si>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</si>
  <si>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</si>
  <si>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</si>
  <si>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</si>
  <si>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</si>
  <si>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</si>
  <si>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</si>
  <si>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</si>
  <si>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</si>
  <si>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</si>
  <si>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</si>
  <si>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</si>
  <si>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</si>
  <si>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</si>
  <si>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</si>
  <si>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</si>
  <si>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</si>
  <si>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</si>
  <si>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</si>
  <si>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</si>
  <si>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</si>
  <si>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</si>
  <si>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</si>
  <si>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</si>
  <si>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</si>
  <si>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</si>
  <si>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</si>
  <si>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</si>
  <si>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</si>
  <si>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</si>
  <si>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</si>
  <si>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</si>
  <si>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</si>
  <si>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</si>
  <si>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</si>
  <si>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</si>
  <si>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</si>
  <si>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</si>
  <si>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</si>
  <si>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</si>
  <si>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</si>
  <si>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</si>
  <si>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</si>
  <si>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</si>
  <si>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</si>
  <si>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</si>
  <si>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</si>
  <si>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</si>
  <si>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</si>
  <si>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</si>
  <si>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</si>
  <si>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</si>
  <si>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</si>
  <si>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</si>
  <si>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</si>
  <si>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</si>
  <si>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</si>
  <si>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</si>
  <si>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</si>
  <si>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</si>
  <si>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</si>
  <si>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</si>
  <si>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</si>
  <si>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</si>
  <si>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</si>
  <si>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</si>
  <si>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</si>
  <si>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</si>
  <si>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</si>
  <si>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</si>
  <si>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</si>
  <si>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</si>
  <si>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</si>
  <si>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</si>
  <si>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</si>
  <si>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</si>
  <si>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</si>
  <si>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</si>
  <si>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</si>
  <si>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</si>
  <si>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</si>
  <si>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</si>
  <si>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</si>
  <si>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</si>
  <si>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</si>
  <si>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</si>
  <si>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</si>
  <si>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</si>
  <si>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</si>
  <si>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</si>
  <si>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</si>
  <si>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</si>
  <si>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</si>
  <si>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</si>
  <si>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</si>
  <si>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</si>
  <si>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</si>
  <si>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</si>
  <si>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</si>
  <si>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</si>
  <si>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</si>
  <si>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</si>
  <si>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</si>
  <si>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</si>
  <si>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</si>
  <si>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</si>
  <si>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</si>
  <si>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</si>
  <si>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</si>
  <si>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</si>
  <si>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</si>
  <si>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</si>
  <si>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</si>
  <si>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</si>
  <si>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</si>
  <si>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</si>
  <si>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</si>
  <si>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</si>
  <si>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</si>
  <si>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</si>
  <si>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</si>
  <si>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</si>
  <si>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</si>
  <si>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</si>
  <si>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</si>
  <si>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</si>
  <si>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</si>
  <si>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</si>
  <si>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</si>
  <si>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</si>
  <si>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</si>
  <si>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</si>
  <si>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</si>
  <si>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</si>
  <si>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</si>
  <si>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</si>
  <si>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</si>
  <si>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</si>
  <si>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</si>
  <si>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</si>
  <si>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</si>
  <si>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</si>
  <si>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</si>
  <si>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</si>
  <si>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</si>
  <si>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</si>
  <si>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</si>
  <si>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</si>
  <si>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</si>
  <si>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</si>
  <si>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</si>
  <si>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</si>
  <si>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</si>
  <si>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</si>
  <si>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</si>
  <si>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</si>
  <si>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</si>
  <si>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</si>
  <si>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</si>
  <si>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</si>
  <si>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</si>
  <si>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</si>
  <si>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</si>
  <si>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</si>
  <si>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</si>
  <si>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</si>
  <si>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</si>
  <si>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</si>
  <si>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</si>
  <si>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</si>
  <si>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</si>
  <si>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</si>
  <si>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</si>
  <si>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</si>
  <si>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</si>
  <si>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</si>
  <si>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</si>
  <si>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</si>
  <si>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</si>
  <si>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</si>
  <si>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</si>
  <si>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</si>
  <si>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</si>
  <si>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</si>
  <si>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</si>
  <si>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</si>
  <si>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</si>
  <si>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</si>
  <si>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</si>
  <si>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</si>
  <si>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</si>
  <si>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</si>
  <si>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</si>
  <si>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</si>
  <si>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</si>
  <si>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</si>
  <si>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</si>
  <si>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</si>
  <si>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</si>
  <si>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</si>
  <si>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</si>
  <si>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</si>
  <si>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</si>
  <si>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</si>
  <si>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</si>
  <si>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</si>
  <si>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</si>
  <si>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</si>
  <si>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</si>
  <si>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</si>
  <si>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</si>
  <si>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</si>
  <si>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</si>
  <si>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</si>
  <si>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</si>
  <si>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</si>
  <si>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</si>
  <si>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</si>
  <si>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</si>
  <si>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</si>
  <si>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</si>
  <si>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</si>
  <si>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</si>
  <si>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</si>
  <si>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</si>
  <si>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</si>
  <si>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</si>
  <si>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</si>
  <si>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</si>
  <si>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</si>
  <si>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</si>
  <si>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</si>
  <si>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</si>
  <si>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</si>
  <si>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</si>
  <si>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</si>
  <si>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</si>
  <si>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</si>
  <si>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</si>
  <si>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</si>
  <si>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</si>
  <si>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</si>
  <si>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</si>
  <si>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</si>
  <si>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</si>
  <si>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</si>
  <si>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</si>
  <si>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</si>
  <si>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</si>
  <si>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</si>
  <si>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</si>
  <si>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</si>
  <si>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</si>
  <si>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</si>
  <si>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</si>
  <si>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</si>
  <si>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</si>
  <si>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</si>
  <si>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</si>
  <si>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</si>
  <si>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</si>
  <si>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</si>
  <si>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</si>
  <si>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</si>
  <si>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</si>
  <si>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</si>
  <si>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</si>
  <si>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</si>
  <si>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</si>
  <si>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</si>
  <si>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</si>
  <si>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</si>
  <si>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</si>
  <si>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</si>
  <si>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</si>
  <si>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</si>
  <si>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</si>
  <si>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</si>
  <si>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</si>
  <si>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</si>
  <si>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</si>
  <si>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</si>
  <si>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</si>
  <si>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</si>
  <si>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</si>
  <si>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</si>
  <si>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</si>
  <si>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</si>
  <si>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</si>
  <si>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</si>
  <si>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</si>
  <si>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</si>
  <si>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</si>
  <si>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</si>
  <si>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</si>
  <si>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</si>
  <si>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</si>
  <si>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</si>
  <si>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</si>
  <si>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</si>
  <si>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</si>
  <si>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</si>
  <si>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</si>
  <si>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</si>
  <si>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</si>
  <si>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</si>
  <si>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</si>
  <si>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</si>
  <si>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</si>
  <si>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</si>
  <si>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</si>
  <si>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</si>
  <si>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</si>
  <si>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</si>
  <si>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</si>
  <si>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</si>
  <si>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</si>
  <si>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</si>
  <si>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</si>
  <si>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</si>
  <si>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</si>
  <si>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</si>
  <si>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</si>
  <si>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</si>
  <si>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</si>
  <si>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</si>
  <si>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</si>
  <si>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</si>
  <si>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</si>
  <si>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</si>
  <si>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</si>
  <si>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</si>
  <si>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</si>
  <si>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</si>
  <si>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</si>
  <si>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</si>
  <si>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</si>
  <si>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</si>
  <si>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</si>
  <si>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</si>
  <si>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</si>
  <si>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</si>
  <si>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</si>
  <si>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</si>
  <si>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</si>
  <si>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</si>
  <si>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</si>
  <si>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</si>
  <si>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</si>
  <si>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</si>
  <si>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</si>
  <si>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</si>
  <si>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</si>
  <si>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</si>
  <si>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</si>
  <si>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</si>
  <si>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</si>
  <si>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</si>
  <si>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</si>
  <si>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</si>
  <si>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</si>
  <si>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</si>
  <si>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</si>
  <si>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</si>
  <si>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</si>
  <si>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</si>
  <si>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</si>
  <si>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</si>
  <si>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</si>
  <si>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</si>
  <si>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</si>
  <si>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</si>
  <si>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</si>
  <si>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</si>
  <si>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</si>
  <si>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</si>
  <si>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</si>
  <si>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</si>
  <si>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</si>
  <si>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</si>
  <si>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</si>
  <si>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</si>
  <si>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</si>
  <si>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</si>
  <si>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</si>
  <si>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</si>
  <si>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</si>
  <si>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</si>
  <si>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</si>
  <si>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</si>
  <si>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</si>
  <si>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</si>
  <si>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</si>
  <si>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</si>
  <si>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</si>
  <si>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</si>
  <si>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</si>
  <si>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</si>
  <si>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</si>
  <si>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</si>
  <si>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</si>
  <si>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</si>
  <si>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</si>
  <si>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</si>
  <si>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</si>
  <si>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</si>
  <si>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</si>
  <si>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</si>
  <si>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</si>
  <si>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</si>
  <si>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</si>
  <si>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</si>
  <si>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</si>
  <si>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</si>
  <si>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</si>
  <si>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</si>
  <si>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</si>
  <si>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</si>
  <si>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</si>
  <si>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</si>
  <si>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</si>
  <si>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</si>
  <si>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</si>
  <si>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</si>
  <si>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</si>
  <si>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</si>
  <si>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</si>
  <si>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</si>
  <si>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</si>
  <si>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</si>
  <si>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</si>
  <si>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</si>
  <si>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</si>
  <si>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</si>
  <si>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</si>
  <si>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</si>
  <si>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</si>
  <si>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</si>
  <si>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</si>
  <si>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</si>
  <si>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</si>
  <si>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</si>
  <si>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</si>
  <si>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</si>
  <si>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</si>
  <si>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</si>
  <si>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</si>
  <si>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</si>
  <si>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</si>
  <si>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</si>
  <si>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</si>
  <si>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</si>
  <si>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</si>
  <si>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</si>
  <si>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</si>
  <si>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</si>
  <si>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</si>
  <si>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</si>
  <si>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</si>
  <si>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</si>
  <si>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</si>
  <si>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</si>
  <si>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</si>
  <si>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</si>
  <si>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</si>
  <si>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</si>
  <si>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</si>
  <si>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</si>
  <si>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</si>
  <si>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</si>
  <si>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</si>
  <si>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</si>
  <si>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</si>
  <si>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</si>
  <si>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</si>
  <si>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</si>
  <si>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</si>
  <si>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</si>
  <si>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</si>
  <si>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</si>
  <si>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</si>
  <si>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</si>
  <si>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</si>
  <si>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</si>
  <si>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</si>
  <si>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</si>
  <si>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</si>
  <si>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</si>
  <si>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</si>
  <si>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</si>
  <si>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</si>
  <si>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</si>
  <si>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</si>
  <si>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</si>
  <si>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</si>
  <si>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</si>
  <si>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</si>
  <si>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</si>
  <si>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</si>
  <si>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</si>
  <si>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</si>
  <si>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</si>
  <si>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</si>
  <si>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</si>
  <si>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</si>
  <si>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</si>
  <si>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</si>
  <si>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</si>
  <si>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</si>
  <si>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</si>
  <si>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</si>
  <si>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</si>
  <si>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</si>
  <si>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</si>
  <si>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</si>
  <si>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</si>
  <si>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</si>
  <si>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</si>
  <si>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</si>
  <si>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</si>
  <si>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</si>
  <si>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</si>
  <si>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</si>
  <si>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</si>
  <si>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</si>
  <si>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</si>
  <si>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</si>
  <si>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</si>
  <si>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</si>
  <si>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</si>
  <si>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</si>
  <si>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</si>
  <si>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</si>
  <si>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</si>
  <si>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</si>
  <si>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</si>
  <si>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</si>
  <si>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</si>
  <si>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</si>
  <si>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</si>
  <si>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</si>
  <si>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</si>
  <si>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</si>
  <si>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</si>
  <si>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</si>
  <si>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</si>
  <si>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</si>
  <si>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</si>
  <si>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</si>
  <si>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</si>
  <si>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</si>
  <si>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</si>
  <si>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</si>
  <si>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</si>
  <si>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</si>
  <si>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</si>
  <si>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</si>
  <si>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</si>
  <si>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</si>
  <si>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</si>
  <si>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</si>
  <si>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</si>
  <si>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</si>
  <si>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</si>
  <si>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</si>
  <si>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</si>
  <si>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</si>
  <si>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</si>
  <si>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</si>
  <si>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</si>
  <si>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</si>
  <si>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</si>
  <si>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</si>
  <si>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</si>
  <si>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</si>
  <si>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</si>
  <si>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</si>
  <si>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</si>
  <si>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</si>
  <si>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</si>
  <si>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</si>
  <si>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</si>
  <si>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</si>
  <si>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</si>
  <si>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</si>
  <si>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</si>
  <si>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</si>
  <si>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</si>
  <si>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</si>
  <si>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</si>
  <si>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</si>
  <si>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</si>
  <si>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</si>
  <si>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</si>
  <si>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</si>
  <si>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</si>
  <si>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</si>
  <si>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</si>
  <si>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</si>
  <si>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</si>
  <si>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</si>
  <si>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</si>
  <si>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</si>
  <si>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</si>
  <si>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</si>
  <si>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</si>
  <si>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</si>
  <si>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</si>
  <si>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</si>
  <si>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</si>
  <si>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</si>
  <si>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</si>
  <si>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</si>
  <si>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</si>
  <si>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</si>
  <si>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</si>
  <si>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</si>
  <si>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</si>
  <si>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</si>
  <si>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</si>
  <si>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</si>
  <si>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</si>
  <si>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</si>
  <si>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</si>
  <si>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</si>
  <si>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</si>
  <si>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</si>
  <si>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</si>
  <si>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</si>
  <si>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</si>
  <si>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</si>
  <si>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</si>
  <si>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</si>
  <si>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</si>
  <si>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</si>
  <si>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</si>
  <si>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</si>
  <si>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</si>
  <si>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</si>
  <si>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</si>
  <si>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</si>
  <si>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</si>
  <si>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</si>
  <si>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</si>
  <si>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</si>
  <si>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</si>
  <si>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</si>
  <si>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</si>
  <si>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</si>
  <si>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</si>
  <si>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</si>
  <si>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</si>
  <si>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</si>
  <si>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</si>
  <si>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</si>
  <si>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</si>
  <si>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</si>
  <si>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</si>
  <si>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</si>
  <si>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</si>
  <si>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</si>
  <si>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</si>
  <si>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</si>
  <si>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</si>
  <si>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</si>
  <si>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</si>
  <si>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</si>
  <si>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</si>
  <si>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</si>
  <si>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</si>
  <si>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</si>
  <si>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</si>
  <si>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</si>
  <si>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</si>
  <si>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</si>
  <si>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</si>
  <si>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</si>
  <si>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</si>
  <si>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</si>
  <si>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</si>
  <si>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</si>
  <si>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</si>
  <si>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</si>
  <si>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</si>
  <si>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</si>
  <si>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</si>
  <si>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</si>
  <si>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</si>
  <si>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</si>
  <si>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</si>
  <si>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</si>
  <si>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</si>
  <si>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</si>
  <si>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</si>
  <si>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</si>
  <si>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</si>
  <si>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</si>
  <si>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</si>
  <si>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</si>
  <si>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</si>
  <si>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</si>
  <si>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</si>
  <si>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</si>
  <si>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</si>
  <si>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</si>
  <si>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</si>
  <si>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</si>
  <si>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</si>
  <si>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</si>
  <si>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</si>
  <si>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</si>
  <si>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</si>
  <si>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</si>
  <si>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</si>
  <si>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</si>
  <si>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</si>
  <si>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</si>
  <si>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</si>
  <si>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</si>
  <si>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</si>
  <si>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</si>
  <si>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</si>
  <si>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</si>
  <si>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</si>
  <si>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</si>
  <si>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</si>
  <si>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</si>
  <si>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</si>
  <si>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</si>
  <si>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</si>
  <si>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</si>
  <si>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</si>
  <si>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</si>
  <si>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</si>
  <si>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</si>
  <si>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</si>
  <si>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</si>
  <si>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</si>
  <si>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</si>
  <si>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</si>
  <si>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</si>
  <si>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</si>
  <si>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</si>
  <si>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</si>
  <si>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</si>
  <si>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</si>
  <si>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</si>
  <si>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</si>
  <si>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</si>
  <si>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</si>
  <si>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</si>
  <si>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</si>
  <si>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</si>
  <si>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</si>
  <si>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</si>
  <si>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</si>
  <si>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</si>
  <si>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</si>
  <si>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</si>
  <si>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</si>
  <si>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</si>
  <si>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</si>
  <si>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</si>
  <si>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</si>
  <si>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</si>
  <si>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</si>
  <si>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</si>
  <si>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</si>
  <si>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</si>
  <si>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</si>
  <si>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</si>
  <si>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</si>
  <si>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</si>
  <si>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</si>
  <si>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</si>
  <si>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</si>
  <si>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</si>
  <si>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</si>
  <si>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</si>
  <si>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</si>
  <si>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</si>
  <si>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</si>
  <si>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</si>
  <si>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</si>
  <si>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</si>
  <si>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</si>
  <si>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</si>
  <si>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</si>
  <si>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</si>
  <si>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</si>
  <si>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</si>
  <si>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</si>
  <si>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</si>
  <si>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</si>
  <si>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</si>
  <si>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</si>
  <si>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</si>
  <si>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</si>
  <si>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</si>
  <si>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</si>
  <si>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</si>
  <si>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</si>
  <si>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</si>
  <si>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</si>
  <si>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</si>
  <si>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</si>
  <si>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</si>
  <si>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</si>
  <si>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</si>
  <si>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</si>
  <si>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</si>
  <si>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</si>
  <si>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</si>
  <si>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</si>
  <si>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</si>
  <si>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</si>
  <si>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</si>
  <si>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</si>
  <si>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</si>
  <si>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</si>
  <si>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</si>
  <si>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</si>
  <si>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</si>
  <si>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</si>
  <si>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</si>
  <si>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</si>
  <si>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</si>
  <si>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</si>
  <si>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</si>
  <si>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</si>
  <si>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</si>
  <si>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</si>
  <si>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</si>
  <si>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</si>
  <si>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</si>
  <si>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</si>
  <si>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</si>
  <si>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</si>
  <si>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</si>
  <si>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</si>
  <si>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</si>
  <si>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</si>
  <si>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</si>
  <si>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</si>
  <si>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</si>
  <si>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</si>
  <si>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</si>
  <si>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</si>
  <si>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</si>
  <si>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</si>
  <si>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</si>
  <si>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</si>
  <si>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</si>
  <si>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</si>
  <si>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</si>
  <si>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</si>
  <si>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</si>
  <si>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</si>
  <si>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</si>
  <si>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</si>
  <si>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</si>
  <si>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</si>
  <si>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</si>
  <si>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</si>
  <si>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</si>
  <si>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</si>
  <si>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</si>
  <si>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</si>
  <si>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</si>
  <si>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</si>
  <si>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</si>
  <si>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</si>
  <si>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</si>
  <si>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</si>
  <si>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</si>
  <si>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</si>
  <si>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</si>
  <si>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</si>
  <si>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</si>
  <si>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</si>
  <si>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</si>
  <si>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</si>
  <si>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</si>
  <si>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</si>
  <si>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</si>
  <si>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</si>
  <si>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</si>
  <si>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</si>
  <si>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</si>
  <si>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</si>
  <si>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</si>
  <si>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</si>
  <si>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</si>
  <si>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</si>
  <si>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</si>
  <si>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</si>
  <si>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</si>
  <si>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</si>
  <si>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</si>
  <si>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</si>
  <si>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</si>
  <si>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</si>
  <si>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</si>
  <si>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</si>
  <si>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</si>
  <si>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</si>
  <si>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</si>
  <si>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</si>
  <si>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</si>
  <si>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</si>
  <si>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</si>
  <si>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</si>
  <si>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</si>
  <si>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</si>
  <si>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</si>
  <si>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</si>
  <si>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</si>
  <si>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</si>
  <si>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</si>
  <si>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</si>
  <si>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</si>
  <si>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</si>
  <si>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</si>
  <si>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</si>
  <si>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</si>
  <si>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</si>
  <si>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</si>
  <si>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</si>
  <si>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</si>
  <si>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</si>
  <si>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</si>
  <si>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</si>
  <si>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</si>
  <si>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</si>
  <si>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</si>
  <si>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</si>
  <si>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</si>
  <si>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</si>
  <si>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</si>
  <si>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</si>
  <si>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</si>
  <si>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</si>
  <si>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</si>
  <si>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</si>
  <si>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</si>
  <si>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</si>
  <si>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</si>
  <si>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</si>
  <si>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</si>
  <si>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</si>
  <si>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</si>
  <si>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</si>
  <si>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</si>
  <si>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</si>
  <si>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</si>
  <si>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</si>
  <si>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</si>
  <si>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</si>
  <si>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</si>
  <si>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</si>
  <si>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</si>
  <si>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</si>
  <si>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</si>
  <si>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</si>
  <si>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</si>
  <si>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</si>
  <si>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</si>
  <si>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</si>
  <si>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</si>
  <si>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</si>
  <si>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</si>
  <si>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</si>
  <si>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</si>
  <si>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</si>
  <si>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</si>
  <si>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</si>
  <si>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</si>
  <si>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</si>
  <si>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</si>
  <si>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</si>
  <si>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</si>
  <si>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</si>
  <si>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</si>
  <si>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</si>
  <si>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</si>
  <si>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</si>
  <si>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</si>
  <si>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</si>
  <si>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</si>
  <si>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</si>
  <si>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</si>
  <si>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</si>
  <si>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</si>
  <si>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</si>
  <si>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</si>
  <si>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</si>
  <si>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</si>
  <si>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</si>
  <si>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</si>
  <si>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</si>
  <si>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</si>
  <si>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</si>
  <si>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</si>
  <si>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</si>
  <si>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</si>
  <si>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</si>
  <si>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</si>
  <si>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</si>
  <si>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</si>
  <si>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</si>
  <si>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</si>
  <si>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</si>
  <si>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</si>
  <si>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</si>
  <si>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</si>
  <si>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</si>
  <si>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</si>
  <si>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</si>
  <si>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</si>
  <si>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</si>
  <si>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</si>
  <si>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</si>
  <si>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</si>
  <si>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</si>
  <si>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</si>
  <si>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</si>
  <si>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</si>
  <si>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</si>
  <si>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</si>
  <si>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</si>
  <si>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</si>
  <si>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</si>
  <si>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</si>
  <si>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</si>
  <si>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</si>
  <si>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</si>
  <si>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</si>
  <si>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</si>
  <si>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</si>
  <si>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</si>
  <si>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</si>
  <si>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</si>
  <si>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</si>
  <si>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</si>
  <si>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</si>
  <si>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</si>
  <si>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</si>
  <si>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</si>
  <si>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</si>
  <si>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</si>
  <si>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</si>
  <si>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</si>
  <si>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</si>
  <si>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</si>
  <si>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</si>
  <si>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</si>
  <si>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</si>
  <si>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</si>
  <si>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</si>
  <si>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</si>
  <si>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</si>
  <si>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</si>
  <si>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</si>
  <si>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</si>
  <si>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</si>
  <si>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</si>
  <si>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</si>
  <si>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</si>
  <si>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</si>
  <si>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</si>
  <si>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</si>
  <si>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</si>
  <si>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</si>
  <si>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</si>
  <si>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</si>
  <si>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</si>
  <si>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</si>
  <si>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</si>
  <si>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</si>
  <si>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</si>
  <si>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</si>
  <si>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</si>
  <si>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</si>
  <si>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</si>
  <si>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</si>
  <si>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</si>
  <si>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</si>
  <si>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</si>
  <si>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</si>
  <si>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</si>
  <si>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</si>
  <si>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</si>
  <si>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</si>
  <si>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</si>
  <si>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</si>
  <si>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</si>
  <si>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</si>
  <si>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</si>
  <si>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</si>
  <si>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</si>
  <si>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</si>
  <si>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</si>
  <si>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</si>
  <si>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</si>
  <si>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</si>
  <si>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</si>
  <si>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</si>
  <si>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</si>
  <si>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</si>
  <si>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</si>
  <si>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</si>
  <si>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</si>
  <si>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</si>
  <si>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</si>
  <si>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</si>
  <si>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</si>
  <si>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</si>
  <si>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</si>
  <si>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</si>
  <si>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</si>
  <si>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</si>
  <si>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</si>
  <si>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</si>
  <si>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</si>
  <si>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</si>
  <si>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</si>
  <si>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</si>
  <si>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</si>
  <si>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</si>
  <si>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</si>
  <si>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</si>
  <si>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</si>
  <si>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</si>
  <si>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</si>
  <si>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</si>
  <si>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</si>
  <si>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</si>
  <si>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</si>
  <si>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</si>
  <si>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</si>
  <si>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</si>
  <si>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</si>
  <si>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</si>
  <si>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</si>
  <si>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</si>
  <si>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</si>
  <si>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</si>
  <si>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</si>
  <si>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</si>
  <si>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</si>
  <si>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</si>
  <si>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</si>
  <si>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</si>
  <si>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</si>
  <si>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</si>
  <si>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</si>
  <si>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</si>
  <si>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</si>
  <si>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</si>
  <si>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</si>
  <si>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</si>
  <si>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</si>
  <si>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</si>
  <si>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</si>
  <si>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</si>
  <si>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</si>
  <si>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</si>
  <si>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</si>
  <si>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</si>
  <si>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</si>
  <si>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</si>
  <si>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</si>
  <si>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</si>
  <si>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</si>
  <si>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</si>
  <si>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</si>
  <si>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</si>
  <si>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</si>
  <si>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</si>
  <si>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</si>
  <si>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</si>
  <si>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</si>
  <si>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</si>
  <si>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</si>
  <si>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</si>
  <si>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</si>
  <si>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</si>
  <si>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</si>
  <si>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</si>
  <si>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</si>
  <si>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</si>
  <si>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</si>
  <si>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</si>
  <si>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</si>
  <si>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</si>
  <si>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</si>
  <si>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</si>
  <si>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</si>
  <si>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</si>
  <si>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</si>
  <si>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</si>
  <si>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</si>
  <si>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</si>
  <si>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</si>
  <si>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</si>
  <si>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</si>
  <si>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</si>
  <si>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</si>
  <si>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</si>
  <si>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</si>
  <si>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</si>
  <si>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</si>
  <si>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</si>
  <si>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</si>
  <si>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</si>
  <si>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</si>
  <si>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</si>
  <si>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</si>
  <si>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</si>
  <si>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</si>
  <si>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</si>
  <si>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</si>
  <si>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</si>
  <si>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</si>
  <si>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</si>
  <si>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</si>
  <si>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</si>
  <si>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</si>
  <si>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</si>
  <si>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</si>
  <si>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</si>
  <si>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</si>
  <si>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</si>
  <si>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</si>
  <si>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</si>
  <si>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</si>
  <si>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</si>
  <si>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</si>
  <si>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</si>
  <si>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</si>
  <si>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</si>
  <si>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</si>
  <si>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</si>
  <si>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</si>
  <si>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</si>
  <si>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</si>
  <si>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</si>
  <si>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</si>
  <si>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</si>
  <si>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</si>
  <si>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</si>
  <si>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</si>
  <si>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</si>
  <si>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</si>
  <si>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</si>
  <si>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</si>
  <si>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</si>
  <si>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</si>
  <si>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</si>
  <si>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</si>
  <si>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</si>
  <si>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</si>
  <si>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</si>
  <si>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</si>
  <si>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</si>
  <si>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</si>
  <si>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</si>
  <si>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</si>
  <si>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</si>
  <si>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</si>
  <si>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</si>
  <si>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</si>
  <si>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</si>
  <si>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</si>
  <si>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</si>
  <si>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</si>
  <si>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</si>
  <si>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</si>
  <si>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</si>
  <si>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</si>
  <si>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</si>
  <si>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</si>
  <si>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</si>
  <si>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</si>
  <si>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</si>
  <si>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</si>
  <si>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</si>
  <si>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</si>
  <si>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</si>
  <si>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</si>
  <si>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</si>
  <si>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</si>
  <si>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</si>
  <si>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</si>
  <si>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</si>
  <si>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</si>
  <si>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</si>
  <si>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</si>
  <si>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</si>
  <si>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</si>
  <si>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</si>
  <si>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</si>
  <si>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</si>
  <si>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</si>
  <si>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</si>
  <si>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</si>
  <si>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</si>
  <si>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</si>
  <si>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</si>
  <si>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</si>
  <si>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</si>
  <si>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</si>
  <si>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</si>
  <si>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</si>
  <si>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</si>
  <si>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</si>
  <si>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</si>
  <si>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</si>
  <si>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</si>
  <si>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</si>
  <si>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</si>
  <si>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</si>
  <si>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</si>
  <si>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</si>
  <si>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</si>
  <si>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</si>
  <si>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</si>
  <si>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</si>
  <si>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</si>
  <si>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</si>
  <si>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</si>
  <si>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</si>
  <si>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</si>
  <si>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</si>
  <si>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</si>
  <si>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</si>
  <si>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</si>
  <si>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</si>
  <si>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</si>
  <si>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</si>
  <si>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</si>
  <si>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</si>
  <si>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</si>
  <si>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</si>
  <si>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</si>
  <si>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</si>
  <si>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</si>
  <si>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</si>
  <si>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</si>
  <si>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</si>
  <si>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</si>
  <si>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</si>
  <si>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</si>
  <si>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</si>
  <si>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</si>
  <si>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</si>
  <si>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</si>
  <si>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</si>
  <si>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</si>
  <si>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</si>
  <si>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</si>
  <si>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</si>
  <si>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</si>
  <si>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</si>
  <si>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</si>
  <si>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</si>
  <si>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</si>
  <si>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</si>
  <si>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</si>
  <si>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</si>
  <si>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</si>
  <si>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</si>
  <si>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</si>
  <si>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</si>
  <si>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</si>
  <si>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</si>
  <si>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</si>
  <si>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</si>
  <si>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</si>
  <si>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</si>
  <si>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</si>
  <si>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</si>
  <si>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</si>
  <si>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</si>
  <si>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</si>
  <si>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</si>
  <si>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</si>
  <si>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</si>
  <si>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</si>
  <si>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</si>
  <si>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</si>
  <si>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</si>
  <si>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</si>
  <si>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</si>
  <si>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</si>
  <si>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</si>
  <si>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</si>
  <si>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</si>
  <si>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</si>
  <si>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</si>
  <si>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</si>
  <si>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</si>
  <si>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</si>
  <si>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</si>
  <si>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</si>
  <si>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</si>
  <si>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</si>
  <si>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</si>
  <si>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</si>
  <si>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</si>
  <si>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</si>
  <si>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</si>
  <si>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</si>
  <si>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</si>
  <si>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</si>
  <si>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</si>
  <si>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</si>
  <si>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</si>
  <si>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</si>
  <si>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</si>
  <si>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</si>
  <si>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</si>
  <si>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</si>
  <si>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</si>
  <si>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</si>
  <si>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</si>
  <si>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</si>
  <si>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</si>
  <si>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</si>
  <si>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</si>
  <si>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</si>
  <si>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</si>
  <si>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</si>
  <si>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</si>
  <si>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</si>
  <si>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</si>
  <si>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</si>
  <si>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</si>
  <si>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</si>
  <si>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</si>
  <si>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</si>
  <si>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</si>
  <si>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</si>
  <si>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</si>
  <si>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</si>
  <si>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</si>
  <si>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</si>
  <si>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</si>
  <si>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</si>
  <si>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</si>
  <si>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</si>
  <si>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</si>
  <si>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</si>
  <si>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</si>
  <si>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</si>
  <si>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</si>
  <si>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</si>
  <si>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</si>
  <si>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</si>
  <si>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</si>
  <si>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</si>
  <si>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</si>
  <si>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</si>
  <si>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</si>
  <si>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</si>
  <si>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</si>
  <si>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</si>
  <si>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</si>
  <si>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</si>
  <si>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</si>
  <si>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</si>
  <si>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</si>
  <si>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</si>
  <si>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</si>
  <si>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</si>
  <si>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</si>
  <si>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</si>
  <si>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</si>
  <si>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</si>
  <si>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</si>
  <si>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</si>
  <si>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</si>
  <si>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</si>
  <si>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</si>
  <si>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</si>
  <si>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</si>
  <si>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</si>
  <si>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</si>
  <si>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</si>
  <si>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</si>
  <si>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</si>
  <si>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</si>
  <si>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</si>
  <si>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</si>
  <si>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</si>
  <si>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</si>
  <si>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</si>
  <si>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</si>
  <si>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</si>
  <si>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</si>
  <si>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</si>
  <si>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</si>
  <si>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</si>
  <si>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</si>
  <si>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</si>
  <si>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</si>
  <si>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</si>
  <si>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</si>
  <si>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</si>
  <si>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</si>
  <si>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</si>
  <si>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</si>
  <si>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</si>
  <si>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</si>
  <si>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</si>
  <si>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</si>
  <si>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</si>
  <si>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</si>
  <si>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</si>
  <si>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</si>
  <si>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</si>
  <si>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</si>
  <si>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</si>
  <si>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</si>
  <si>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</si>
  <si>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</si>
  <si>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</si>
  <si>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</si>
  <si>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</si>
  <si>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</si>
  <si>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</si>
  <si>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</si>
  <si>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</si>
  <si>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</si>
  <si>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</si>
  <si>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</si>
  <si>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</si>
  <si>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</si>
  <si>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</si>
  <si>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</si>
  <si>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</si>
  <si>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</si>
  <si>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</si>
  <si>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</si>
  <si>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</si>
  <si>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</si>
  <si>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</si>
  <si>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</si>
  <si>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</si>
  <si>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</si>
  <si>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</si>
  <si>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</si>
  <si>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</si>
  <si>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</si>
  <si>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</si>
  <si>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</si>
  <si>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</si>
  <si>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</si>
  <si>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</si>
  <si>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</si>
  <si>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</si>
  <si>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</si>
  <si>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</si>
  <si>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</si>
  <si>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</si>
  <si>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</si>
  <si>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</si>
  <si>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</si>
  <si>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</si>
  <si>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</si>
  <si>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</si>
  <si>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</si>
  <si>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</si>
  <si>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</si>
  <si>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</si>
  <si>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</si>
  <si>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</si>
  <si>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</si>
  <si>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</si>
  <si>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</si>
  <si>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</si>
  <si>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</si>
  <si>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</si>
  <si>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</si>
  <si>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</si>
  <si>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</si>
  <si>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</si>
  <si>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</si>
  <si>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</si>
  <si>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</si>
  <si>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</si>
  <si>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</si>
  <si>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</si>
  <si>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</si>
  <si>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</si>
  <si>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</si>
  <si>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</si>
  <si>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</si>
  <si>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</si>
  <si>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</si>
  <si>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</si>
  <si>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</si>
  <si>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</si>
  <si>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</si>
  <si>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</si>
  <si>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</si>
  <si>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</si>
  <si>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</si>
  <si>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</si>
  <si>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</si>
  <si>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</si>
  <si>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</si>
  <si>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</si>
  <si>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</si>
  <si>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</si>
  <si>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</si>
  <si>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</si>
  <si>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</si>
  <si>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</si>
  <si>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</si>
  <si>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</si>
  <si>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</si>
  <si>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</si>
  <si>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</si>
  <si>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</si>
  <si>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</si>
  <si>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</si>
  <si>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</si>
  <si>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</si>
  <si>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</si>
  <si>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</si>
  <si>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</si>
  <si>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</si>
  <si>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</si>
  <si>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</si>
  <si>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</si>
  <si>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</si>
  <si>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</si>
  <si>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</si>
  <si>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</si>
  <si>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</si>
  <si>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</si>
  <si>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</si>
  <si>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</si>
  <si>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</si>
  <si>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</si>
  <si>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</si>
  <si>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</si>
  <si>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</si>
  <si>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</si>
  <si>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</si>
  <si>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</si>
  <si>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</si>
  <si>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</si>
  <si>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</si>
  <si>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</si>
  <si>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</si>
  <si>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</si>
  <si>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</si>
  <si>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</si>
  <si>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</si>
  <si>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</si>
  <si>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</si>
  <si>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</si>
  <si>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</si>
  <si>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</si>
  <si>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</si>
  <si>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</si>
  <si>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</si>
  <si>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</si>
  <si>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</si>
  <si>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</si>
  <si>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</si>
  <si>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</si>
  <si>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</si>
  <si>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</si>
  <si>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</si>
  <si>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</si>
  <si>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</si>
  <si>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</si>
  <si>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</si>
  <si>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</si>
  <si>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</si>
  <si>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</si>
  <si>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</si>
  <si>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</si>
  <si>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</si>
  <si>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</si>
  <si>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</si>
  <si>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</si>
  <si>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</si>
  <si>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</si>
  <si>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</si>
  <si>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</si>
  <si>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</si>
  <si>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</si>
  <si>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</si>
  <si>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</si>
  <si>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</si>
  <si>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</si>
  <si>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</si>
  <si>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</si>
  <si>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</si>
  <si>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</si>
  <si>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</si>
  <si>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</si>
  <si>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</si>
  <si>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</si>
  <si>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</si>
  <si>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</si>
  <si>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</si>
  <si>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</si>
  <si>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</si>
  <si>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</si>
  <si>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</si>
  <si>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</si>
  <si>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</si>
  <si>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</si>
  <si>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</si>
  <si>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</si>
  <si>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</si>
  <si>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</si>
  <si>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</si>
  <si>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</si>
  <si>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</si>
  <si>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</si>
  <si>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</si>
  <si>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</si>
  <si>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</si>
  <si>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</si>
  <si>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</si>
  <si>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</si>
  <si>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</si>
  <si>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</si>
  <si>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</si>
  <si>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</si>
  <si>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</si>
  <si>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</si>
  <si>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</si>
  <si>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</si>
  <si>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</si>
  <si>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</si>
  <si>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</si>
  <si>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</si>
  <si>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</si>
  <si>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</si>
  <si>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</si>
  <si>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</si>
  <si>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</si>
  <si>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</si>
  <si>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</si>
  <si>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</si>
  <si>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</si>
  <si>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</si>
  <si>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</si>
  <si>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</si>
  <si>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</si>
  <si>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</si>
  <si>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</si>
  <si>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</si>
  <si>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</si>
  <si>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</si>
  <si>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</si>
  <si>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</si>
  <si>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</si>
  <si>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</si>
  <si>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</si>
  <si>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</si>
  <si>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</si>
  <si>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</si>
  <si>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</si>
  <si>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</si>
  <si>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</si>
  <si>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</si>
  <si>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</si>
  <si>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</si>
  <si>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</si>
  <si>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</si>
  <si>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</si>
  <si>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</si>
  <si>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</si>
  <si>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</si>
  <si>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</si>
  <si>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</si>
  <si>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</si>
  <si>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</si>
  <si>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</si>
  <si>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</si>
  <si>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</si>
  <si>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</si>
  <si>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</si>
  <si>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</si>
  <si>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</si>
  <si>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</si>
  <si>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</si>
  <si>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</si>
  <si>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</si>
  <si>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</si>
  <si>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</si>
  <si>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</si>
  <si>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</si>
  <si>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</si>
  <si>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</si>
  <si>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</si>
  <si>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</si>
  <si>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</si>
  <si>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</si>
  <si>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</si>
  <si>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</si>
  <si>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</si>
  <si>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</si>
  <si>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</si>
  <si>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</si>
  <si>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</si>
  <si>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</si>
  <si>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</si>
  <si>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</si>
  <si>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</si>
  <si>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</si>
  <si>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</si>
  <si>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</si>
  <si>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</si>
  <si>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</si>
  <si>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</si>
  <si>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</si>
  <si>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</si>
  <si>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</si>
  <si>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</si>
  <si>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</si>
  <si>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</si>
  <si>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</si>
  <si>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</si>
  <si>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</si>
  <si>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</si>
  <si>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</si>
  <si>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</si>
  <si>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</si>
  <si>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</si>
  <si>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</si>
  <si>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</si>
  <si>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</si>
  <si>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</si>
  <si>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</si>
  <si>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</si>
  <si>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</si>
  <si>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</si>
  <si>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</si>
  <si>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</si>
  <si>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</si>
  <si>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</si>
  <si>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</si>
  <si>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</si>
  <si>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</si>
  <si>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</si>
  <si>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</si>
  <si>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</si>
  <si>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</si>
  <si>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</si>
  <si>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</si>
  <si>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</si>
  <si>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</si>
  <si>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</si>
  <si>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</si>
  <si>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</si>
  <si>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</si>
  <si>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</si>
  <si>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</si>
  <si>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</si>
  <si>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</si>
  <si>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</si>
  <si>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</si>
  <si>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</si>
  <si>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</si>
  <si>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</si>
  <si>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</si>
  <si>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</si>
  <si>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</si>
  <si>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</si>
  <si>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</si>
  <si>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</si>
  <si>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</si>
  <si>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</si>
  <si>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</si>
  <si>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</si>
  <si>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</si>
  <si>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</si>
  <si>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</si>
  <si>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</si>
  <si>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</si>
  <si>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</si>
  <si>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</si>
  <si>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</si>
  <si>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</si>
  <si>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</si>
  <si>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</si>
  <si>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</si>
  <si>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</si>
  <si>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</si>
  <si>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</si>
  <si>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</si>
  <si>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</si>
  <si>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</si>
  <si>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</si>
  <si>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</si>
  <si>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</si>
  <si>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</si>
  <si>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</si>
  <si>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</si>
  <si>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</si>
  <si>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</si>
  <si>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</si>
  <si>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</si>
  <si>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</si>
  <si>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</si>
  <si>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</si>
  <si>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</si>
  <si>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</si>
  <si>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</si>
  <si>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</si>
  <si>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</si>
  <si>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</si>
  <si>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</si>
  <si>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</si>
  <si>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</si>
  <si>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</si>
  <si>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</si>
  <si>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</si>
  <si>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</si>
  <si>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</si>
  <si>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</si>
  <si>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</si>
  <si>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</si>
  <si>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</si>
  <si>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</si>
  <si>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</si>
  <si>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</si>
  <si>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</si>
  <si>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</si>
  <si>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</si>
  <si>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</si>
  <si>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</si>
  <si>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</si>
  <si>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</si>
  <si>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</si>
  <si>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</si>
  <si>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</si>
  <si>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</si>
  <si>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</si>
  <si>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</si>
  <si>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</si>
  <si>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</si>
  <si>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</si>
  <si>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</si>
  <si>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</si>
  <si>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</si>
  <si>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</si>
  <si>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</si>
  <si>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</si>
  <si>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</si>
  <si>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</si>
  <si>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</si>
  <si>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</si>
  <si>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</si>
  <si>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</si>
  <si>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</si>
  <si>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</si>
  <si>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</si>
  <si>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</si>
  <si>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</si>
  <si>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</si>
  <si>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</si>
  <si>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</si>
  <si>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</si>
  <si>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</si>
  <si>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</si>
  <si>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</si>
  <si>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</si>
  <si>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</si>
  <si>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</si>
  <si>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</si>
  <si>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</si>
  <si>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</si>
  <si>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</si>
  <si>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</si>
  <si>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</si>
  <si>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</si>
  <si>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</si>
  <si>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</si>
  <si>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</si>
  <si>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</si>
  <si>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</si>
  <si>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</si>
  <si>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</si>
  <si>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</si>
  <si>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</si>
  <si>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</si>
  <si>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</si>
  <si>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</si>
  <si>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</si>
  <si>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</si>
  <si>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</si>
  <si>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</si>
  <si>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</si>
  <si>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</si>
  <si>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</si>
  <si>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</si>
  <si>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</si>
  <si>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</si>
  <si>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</si>
  <si>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</si>
  <si>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</si>
  <si>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</si>
  <si>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</si>
  <si>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</si>
  <si>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</si>
  <si>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</si>
  <si>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</si>
  <si>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</si>
  <si>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</si>
  <si>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</si>
  <si>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</si>
  <si>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</si>
  <si>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</si>
  <si>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</si>
  <si>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</si>
  <si>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</si>
  <si>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</si>
  <si>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</si>
  <si>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</si>
  <si>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</si>
  <si>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</si>
  <si>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</si>
  <si>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</si>
  <si>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</si>
  <si>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</si>
  <si>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</si>
  <si>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</si>
  <si>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</si>
  <si>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</si>
  <si>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</si>
  <si>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</si>
  <si>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</si>
  <si>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</si>
  <si>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</si>
  <si>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</si>
  <si>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</si>
  <si>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</si>
  <si>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</si>
  <si>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</si>
  <si>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</si>
  <si>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</si>
  <si>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</si>
  <si>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</si>
  <si>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</si>
  <si>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</si>
  <si>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</si>
  <si>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</si>
  <si>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</si>
  <si>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</si>
  <si>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</si>
  <si>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</si>
  <si>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</si>
  <si>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</si>
  <si>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</si>
  <si>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</si>
  <si>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</si>
  <si>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</si>
  <si>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</si>
  <si>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</si>
  <si>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</si>
  <si>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</si>
  <si>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</si>
  <si>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</si>
  <si>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</si>
  <si>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</si>
  <si>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</si>
  <si>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</si>
  <si>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</si>
  <si>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</si>
  <si>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</si>
  <si>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</si>
  <si>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</si>
  <si>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</si>
  <si>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</si>
  <si>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</si>
  <si>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</si>
  <si>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</si>
  <si>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</si>
  <si>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</si>
  <si>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</si>
  <si>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</si>
  <si>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</si>
  <si>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</si>
  <si>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</si>
  <si>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</si>
  <si>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</si>
  <si>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</si>
  <si>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</si>
  <si>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</si>
  <si>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</si>
  <si>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</si>
  <si>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</si>
  <si>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</si>
  <si>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</si>
  <si>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</si>
  <si>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</si>
  <si>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</si>
  <si>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</si>
  <si>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</si>
  <si>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</si>
  <si>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</si>
  <si>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</si>
  <si>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</si>
  <si>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</si>
  <si>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</si>
  <si>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</si>
  <si>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</si>
  <si>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</si>
  <si>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</si>
  <si>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</si>
  <si>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</si>
  <si>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</si>
  <si>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</si>
  <si>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</si>
  <si>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</si>
  <si>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</si>
  <si>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</si>
  <si>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</si>
  <si>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</si>
  <si>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</si>
  <si>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</si>
  <si>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</si>
  <si>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</si>
  <si>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</si>
  <si>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</si>
  <si>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</si>
  <si>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</si>
  <si>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</si>
  <si>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</si>
  <si>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</si>
  <si>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</si>
  <si>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</si>
  <si>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</si>
  <si>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</si>
  <si>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</si>
  <si>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</si>
  <si>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</si>
  <si>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</si>
  <si>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</si>
  <si>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</si>
  <si>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</si>
  <si>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</si>
  <si>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</si>
  <si>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</si>
  <si>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</si>
  <si>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</si>
  <si>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</si>
  <si>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</si>
  <si>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</si>
  <si>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</si>
  <si>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</si>
  <si>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</si>
  <si>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</si>
  <si>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</si>
  <si>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</si>
  <si>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</si>
  <si>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</si>
  <si>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</si>
  <si>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</si>
  <si>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</si>
  <si>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</si>
  <si>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</si>
  <si>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</si>
  <si>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</si>
  <si>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</si>
  <si>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</si>
  <si>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</si>
  <si>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</si>
  <si>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</si>
  <si>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</si>
  <si>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</si>
  <si>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</si>
  <si>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</si>
  <si>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</si>
  <si>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</si>
  <si>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</si>
  <si>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</si>
  <si>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</si>
  <si>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</si>
  <si>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</si>
  <si>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</si>
  <si>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</si>
  <si>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</si>
  <si>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</si>
  <si>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</si>
  <si>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</si>
  <si>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</si>
  <si>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</si>
  <si>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</si>
  <si>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</si>
  <si>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</si>
  <si>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</si>
  <si>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</si>
  <si>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</si>
  <si>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</si>
  <si>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</si>
  <si>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</si>
  <si>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</si>
  <si>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</si>
  <si>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</si>
  <si>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</si>
  <si>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</si>
  <si>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</si>
  <si>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</si>
  <si>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</si>
  <si>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</si>
  <si>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</si>
  <si>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</si>
  <si>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</si>
  <si>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</si>
  <si>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</si>
  <si>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</si>
  <si>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</si>
  <si>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</si>
  <si>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</si>
  <si>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</si>
  <si>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</si>
  <si>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</si>
  <si>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</si>
  <si>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</si>
  <si>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</si>
  <si>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</si>
  <si>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</si>
  <si>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</si>
  <si>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</si>
  <si>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</si>
  <si>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</si>
  <si>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</si>
  <si>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</si>
  <si>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</si>
  <si>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</si>
  <si>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</si>
  <si>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</si>
  <si>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</si>
  <si>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</si>
  <si>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</si>
  <si>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</si>
  <si>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</si>
  <si>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</si>
  <si>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</si>
  <si>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</si>
  <si>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</si>
  <si>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</si>
  <si>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</si>
  <si>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</si>
  <si>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</si>
  <si>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</si>
  <si>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</si>
  <si>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</si>
  <si>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</si>
  <si>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</si>
  <si>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</si>
  <si>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</si>
  <si>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</si>
  <si>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</si>
  <si>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</si>
  <si>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</si>
  <si>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</si>
  <si>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</si>
  <si>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</si>
  <si>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</si>
  <si>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</si>
  <si>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</si>
  <si>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</si>
  <si>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</si>
  <si>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</si>
  <si>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</si>
  <si>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</si>
  <si>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</si>
  <si>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</si>
  <si>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</si>
  <si>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</si>
  <si>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</si>
  <si>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</si>
  <si>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</si>
  <si>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</si>
  <si>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</si>
  <si>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</si>
  <si>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</si>
  <si>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</si>
  <si>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</si>
  <si>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</si>
  <si>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</si>
  <si>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</si>
  <si>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</si>
  <si>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</si>
  <si>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</si>
  <si>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</si>
  <si>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</si>
  <si>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</si>
  <si>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</si>
  <si>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</si>
  <si>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</si>
  <si>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</si>
  <si>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</si>
  <si>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</si>
  <si>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</si>
  <si>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</si>
  <si>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</si>
  <si>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</si>
  <si>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</si>
  <si>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</si>
  <si>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</si>
  <si>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</si>
  <si>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</si>
  <si>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</si>
  <si>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</si>
  <si>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</si>
  <si>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</si>
  <si>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</si>
  <si>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</si>
  <si>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</si>
  <si>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</si>
  <si>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</si>
  <si>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</si>
  <si>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</si>
  <si>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</si>
  <si>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</si>
  <si>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</si>
  <si>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</si>
  <si>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</si>
  <si>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</si>
  <si>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</si>
  <si>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</si>
  <si>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</si>
  <si>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</si>
  <si>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</si>
  <si>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</si>
  <si>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</si>
  <si>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</si>
  <si>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</si>
  <si>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</si>
  <si>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</si>
  <si>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</si>
  <si>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</si>
  <si>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</si>
  <si>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</si>
  <si>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</si>
  <si>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</si>
  <si>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</si>
  <si>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</si>
  <si>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</si>
  <si>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</si>
  <si>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</si>
  <si>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</si>
  <si>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</si>
  <si>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</si>
  <si>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</si>
  <si>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</si>
  <si>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</si>
  <si>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</si>
  <si>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</si>
  <si>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</si>
  <si>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</si>
  <si>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</si>
  <si>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</si>
  <si>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</si>
  <si>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</si>
  <si>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</si>
  <si>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</si>
  <si>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</si>
  <si>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</si>
  <si>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</si>
  <si>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</si>
  <si>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</si>
  <si>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</si>
  <si>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</si>
  <si>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</si>
  <si>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</si>
  <si>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</si>
  <si>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</si>
  <si>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</si>
  <si>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</si>
  <si>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</si>
  <si>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</si>
  <si>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</si>
  <si>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</si>
  <si>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</si>
  <si>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</si>
  <si>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</si>
  <si>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</si>
  <si>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</si>
  <si>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</si>
  <si>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</si>
  <si>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</si>
  <si>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</si>
  <si>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</si>
  <si>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</si>
  <si>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</si>
  <si>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</si>
  <si>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</si>
  <si>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</si>
  <si>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</si>
  <si>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</si>
  <si>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</si>
  <si>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</si>
  <si>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</si>
  <si>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</si>
  <si>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</si>
  <si>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</si>
  <si>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</si>
  <si>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</si>
  <si>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</si>
  <si>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</si>
  <si>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</si>
  <si>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</si>
  <si>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</si>
  <si>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</si>
  <si>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</si>
  <si>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</si>
  <si>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</si>
  <si>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</si>
  <si>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</si>
  <si>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</si>
  <si>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</si>
  <si>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</si>
  <si>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</si>
  <si>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</si>
  <si>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</si>
  <si>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</si>
  <si>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</si>
  <si>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</si>
  <si>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</si>
  <si>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</si>
  <si>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</si>
  <si>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</si>
  <si>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</si>
  <si>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</si>
  <si>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</si>
  <si>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</si>
  <si>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</si>
  <si>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</si>
  <si>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</si>
  <si>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</si>
  <si>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</si>
  <si>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</si>
  <si>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</si>
  <si>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</si>
  <si>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</si>
  <si>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</si>
  <si>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</si>
  <si>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</si>
  <si>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</si>
  <si>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</si>
  <si>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</si>
  <si>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</si>
  <si>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</si>
  <si>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</si>
  <si>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</si>
  <si>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</si>
  <si>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</si>
  <si>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</si>
  <si>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</si>
  <si>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</si>
  <si>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</si>
  <si>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</si>
  <si>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</si>
  <si>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</si>
  <si>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</si>
  <si>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</si>
  <si>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</si>
  <si>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</si>
  <si>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</si>
  <si>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</si>
  <si>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</si>
  <si>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</si>
  <si>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</si>
  <si>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</si>
  <si>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</si>
  <si>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</si>
  <si>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</si>
  <si>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</si>
  <si>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</si>
  <si>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</si>
  <si>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</si>
  <si>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</si>
  <si>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</si>
  <si>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</si>
  <si>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</si>
  <si>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</si>
  <si>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</si>
  <si>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</si>
  <si>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</si>
  <si>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</si>
  <si>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</si>
  <si>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</si>
  <si>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</si>
  <si>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</si>
  <si>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</si>
  <si>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</si>
  <si>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</si>
  <si>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</si>
  <si>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</si>
  <si>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</si>
  <si>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</si>
  <si>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</si>
  <si>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</si>
  <si>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</si>
  <si>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</si>
  <si>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</si>
  <si>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</si>
  <si>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</si>
  <si>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</si>
  <si>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</si>
  <si>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</si>
  <si>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</si>
  <si>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</si>
  <si>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</si>
  <si>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</si>
  <si>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</si>
  <si>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</si>
  <si>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</si>
  <si>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</si>
  <si>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</si>
  <si>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</si>
  <si>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</si>
  <si>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</si>
  <si>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</si>
  <si>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</si>
  <si>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</si>
  <si>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</si>
  <si>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</si>
  <si>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</si>
  <si>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</si>
  <si>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</si>
  <si>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</si>
  <si>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</si>
  <si>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</si>
  <si>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</si>
  <si>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</si>
  <si>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</si>
  <si>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</si>
  <si>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</si>
  <si>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</si>
  <si>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</si>
  <si>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</si>
  <si>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</si>
  <si>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</si>
  <si>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</si>
  <si>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</si>
  <si>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</si>
  <si>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</si>
  <si>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</si>
  <si>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</si>
  <si>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</si>
  <si>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</si>
  <si>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</si>
  <si>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</si>
  <si>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</si>
  <si>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</si>
  <si>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</si>
  <si>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</si>
  <si>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</si>
  <si>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</si>
  <si>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</si>
  <si>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</si>
  <si>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</si>
  <si>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</si>
  <si>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</si>
  <si>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</si>
  <si>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</si>
  <si>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</si>
  <si>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</si>
  <si>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</si>
  <si>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</si>
  <si>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</si>
  <si>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</si>
  <si>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</si>
  <si>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</si>
  <si>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</si>
  <si>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</si>
  <si>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</si>
  <si>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</si>
  <si>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</si>
  <si>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</si>
  <si>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</si>
  <si>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</si>
  <si>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</si>
  <si>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</si>
  <si>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</si>
  <si>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</si>
  <si>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</si>
  <si>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</si>
  <si>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</si>
  <si>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</si>
  <si>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</si>
  <si>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</si>
  <si>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</si>
  <si>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</si>
  <si>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</si>
  <si>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</si>
  <si>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</si>
  <si>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</si>
  <si>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</si>
  <si>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</si>
  <si>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</si>
  <si>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</si>
  <si>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</si>
  <si>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</si>
  <si>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</si>
  <si>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</si>
  <si>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</si>
  <si>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</si>
  <si>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</si>
  <si>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</si>
  <si>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</si>
  <si>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</si>
  <si>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</si>
  <si>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</si>
  <si>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</si>
  <si>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</si>
  <si>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</si>
  <si>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</si>
  <si>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</si>
  <si>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</si>
  <si>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</si>
  <si>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</si>
  <si>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</si>
  <si>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</si>
  <si>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</si>
  <si>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</si>
  <si>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</si>
  <si>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</si>
  <si>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</si>
  <si>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</si>
  <si>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</si>
  <si>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</si>
  <si>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</si>
  <si>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</si>
  <si>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</si>
  <si>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</si>
  <si>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</si>
  <si>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</si>
  <si>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</si>
  <si>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</si>
  <si>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</si>
  <si>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</si>
  <si>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</si>
  <si>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</si>
  <si>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</si>
  <si>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</si>
  <si>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</si>
  <si>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</si>
  <si>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</si>
  <si>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</si>
  <si>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</si>
  <si>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</si>
  <si>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</si>
  <si>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</si>
  <si>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</si>
  <si>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</si>
  <si>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</si>
  <si>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</si>
  <si>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</si>
  <si>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</si>
  <si>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</si>
  <si>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</si>
  <si>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</si>
  <si>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</si>
  <si>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</si>
  <si>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</si>
  <si>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</si>
  <si>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</si>
  <si>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</si>
  <si>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</si>
  <si>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</si>
  <si>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</si>
  <si>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</si>
  <si>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</si>
  <si>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</si>
  <si>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</si>
  <si>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</si>
  <si>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</si>
  <si>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</si>
  <si>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</si>
  <si>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</si>
  <si>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</si>
  <si>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</si>
  <si>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</si>
  <si>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</si>
  <si>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</si>
  <si>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</si>
  <si>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</si>
  <si>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</si>
  <si>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</si>
  <si>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</si>
  <si>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</si>
  <si>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</si>
  <si>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</si>
  <si>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</si>
  <si>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</si>
  <si>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</si>
  <si>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</si>
  <si>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</si>
  <si>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</si>
  <si>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</si>
  <si>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</si>
  <si>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</si>
  <si>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</si>
  <si>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</si>
  <si>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</si>
  <si>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</si>
  <si>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</si>
  <si>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</si>
  <si>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</si>
  <si>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</si>
  <si>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</si>
  <si>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</si>
  <si>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</si>
  <si>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</si>
  <si>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</si>
  <si>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</si>
  <si>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</si>
  <si>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</si>
  <si>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</si>
  <si>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</si>
  <si>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</si>
  <si>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</si>
  <si>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</si>
  <si>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</si>
  <si>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</si>
  <si>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</si>
  <si>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</si>
  <si>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</si>
  <si>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</si>
  <si>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</si>
  <si>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</si>
  <si>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</si>
  <si>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</si>
  <si>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</si>
  <si>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</si>
  <si>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</si>
  <si>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</si>
  <si>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</si>
  <si>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</si>
  <si>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</si>
  <si>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</si>
  <si>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</si>
  <si>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</si>
  <si>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</si>
  <si>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</si>
  <si>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</si>
  <si>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</si>
  <si>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</si>
  <si>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</si>
  <si>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</si>
  <si>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</si>
  <si>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</si>
  <si>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</si>
  <si>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</si>
  <si>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</si>
  <si>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</si>
  <si>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</si>
  <si>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</si>
  <si>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</si>
  <si>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</si>
  <si>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</si>
  <si>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</si>
  <si>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</si>
  <si>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</si>
  <si>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</si>
  <si>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</si>
  <si>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</si>
  <si>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</si>
  <si>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</si>
  <si>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</si>
  <si>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</si>
  <si>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</si>
  <si>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</si>
  <si>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</si>
  <si>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</si>
  <si>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</si>
  <si>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</si>
  <si>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</si>
  <si>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</si>
  <si>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</si>
  <si>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</si>
  <si>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</si>
  <si>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</si>
  <si>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</si>
  <si>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</si>
  <si>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</si>
  <si>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</si>
  <si>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</si>
  <si>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</si>
  <si>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</si>
  <si>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</si>
  <si>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</si>
  <si>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</si>
  <si>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</si>
  <si>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</si>
  <si>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</si>
  <si>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</si>
  <si>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</si>
  <si>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</si>
  <si>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</si>
  <si>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</si>
  <si>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</si>
  <si>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</si>
  <si>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</si>
  <si>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</si>
  <si>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</si>
  <si>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</si>
  <si>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</si>
  <si>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</si>
  <si>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</si>
  <si>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</si>
  <si>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</si>
  <si>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</si>
  <si>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</si>
  <si>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</si>
  <si>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</si>
  <si>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</si>
  <si>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</si>
  <si>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</si>
  <si>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</si>
  <si>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</si>
  <si>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</si>
  <si>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</si>
  <si>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</si>
  <si>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</si>
  <si>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</si>
  <si>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</si>
  <si>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</si>
  <si>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</si>
  <si>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</si>
  <si>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</si>
  <si>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</si>
  <si>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</si>
  <si>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</si>
  <si>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</si>
  <si>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</si>
  <si>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</si>
  <si>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</si>
  <si>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</si>
  <si>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</si>
  <si>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</si>
  <si>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</si>
  <si>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</si>
  <si>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</si>
  <si>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</si>
  <si>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</si>
  <si>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</si>
  <si>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</si>
  <si>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</si>
  <si>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</si>
  <si>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</si>
  <si>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</si>
  <si>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</si>
  <si>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</si>
  <si>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</si>
  <si>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</si>
  <si>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</si>
  <si>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</si>
  <si>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</si>
  <si>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</si>
  <si>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</si>
  <si>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</si>
  <si>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</si>
  <si>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</si>
  <si>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</si>
  <si>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</si>
  <si>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</si>
  <si>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</si>
  <si>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</si>
  <si>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</si>
  <si>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</si>
  <si>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</si>
  <si>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</si>
  <si>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</si>
  <si>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</si>
  <si>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</si>
  <si>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</si>
  <si>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</si>
  <si>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</si>
  <si>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</si>
  <si>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</si>
  <si>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</si>
  <si>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</si>
  <si>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</si>
  <si>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</si>
  <si>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</si>
  <si>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</si>
  <si>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</si>
  <si>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</si>
  <si>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</si>
  <si>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</si>
  <si>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</si>
  <si>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</si>
  <si>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</si>
  <si>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</si>
  <si>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</si>
  <si>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</si>
  <si>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</si>
  <si>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</si>
  <si>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</si>
  <si>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</si>
  <si>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</si>
  <si>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</si>
  <si>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</si>
  <si>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</si>
  <si>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</si>
  <si>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</si>
  <si>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</si>
  <si>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</si>
  <si>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</si>
  <si>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</si>
  <si>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</si>
  <si>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</si>
  <si>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</si>
  <si>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</si>
  <si>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</si>
  <si>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</si>
  <si>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</si>
  <si>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</si>
  <si>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</si>
  <si>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</si>
  <si>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</si>
  <si>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</si>
  <si>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</si>
  <si>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</si>
  <si>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</si>
  <si>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</si>
  <si>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</si>
  <si>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</si>
  <si>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</si>
  <si>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</si>
  <si>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</si>
  <si>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</si>
  <si>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</si>
  <si>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</si>
  <si>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</si>
  <si>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</si>
  <si>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</si>
  <si>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</si>
  <si>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</si>
  <si>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</si>
  <si>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</si>
  <si>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</si>
  <si>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</si>
  <si>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</si>
  <si>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</si>
  <si>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</si>
  <si>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</si>
  <si>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</si>
  <si>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</si>
  <si>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</si>
  <si>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</si>
  <si>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</si>
  <si>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</si>
  <si>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</si>
  <si>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</si>
  <si>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</si>
  <si>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</si>
  <si>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</si>
  <si>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</si>
  <si>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</si>
  <si>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</si>
  <si>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</si>
  <si>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</si>
  <si>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</si>
  <si>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</si>
  <si>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</si>
  <si>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</si>
  <si>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</si>
  <si>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</si>
  <si>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</si>
  <si>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</si>
  <si>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</si>
  <si>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</si>
  <si>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</si>
  <si>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</si>
  <si>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</si>
  <si>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</si>
  <si>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</si>
  <si>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</si>
  <si>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</si>
  <si>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</si>
  <si>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</si>
  <si>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</si>
  <si>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</si>
  <si>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</si>
  <si>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</si>
  <si>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</si>
  <si>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</si>
  <si>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</si>
  <si>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</si>
  <si>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</si>
  <si>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</si>
  <si>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</si>
  <si>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</si>
  <si>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</si>
  <si>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</si>
  <si>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</si>
  <si>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</si>
  <si>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</si>
  <si>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</si>
  <si>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</si>
  <si>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</si>
  <si>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</si>
  <si>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</si>
  <si>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</si>
  <si>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</si>
  <si>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</si>
  <si>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</si>
  <si>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</si>
  <si>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</si>
  <si>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</si>
  <si>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</si>
  <si>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</si>
  <si>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</si>
  <si>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</si>
  <si>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</si>
  <si>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</si>
  <si>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</si>
  <si>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</si>
  <si>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</si>
  <si>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</si>
  <si>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</si>
  <si>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</si>
  <si>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</si>
  <si>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</si>
  <si>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</si>
  <si>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</si>
  <si>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</si>
  <si>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</si>
  <si>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</si>
  <si>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</si>
  <si>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</si>
  <si>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</si>
  <si>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</si>
  <si>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</si>
  <si>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</si>
  <si>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</si>
  <si>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</si>
  <si>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</si>
  <si>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</si>
  <si>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</si>
  <si>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</si>
  <si>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</si>
  <si>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</si>
  <si>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</si>
  <si>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</si>
  <si>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</si>
  <si>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</si>
  <si>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</si>
  <si>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</si>
  <si>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</si>
  <si>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</si>
  <si>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</si>
  <si>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</si>
  <si>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</si>
  <si>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</si>
  <si>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</si>
  <si>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</si>
  <si>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</si>
  <si>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</si>
  <si>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</si>
  <si>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</si>
  <si>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</si>
  <si>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</si>
  <si>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</si>
  <si>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</si>
  <si>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</si>
  <si>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</si>
  <si>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</si>
  <si>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</si>
  <si>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</si>
  <si>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</si>
  <si>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</si>
  <si>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</si>
  <si>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</si>
  <si>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</si>
  <si>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</si>
  <si>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</si>
  <si>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</si>
  <si>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</si>
  <si>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</si>
  <si>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</si>
  <si>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</si>
  <si>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</si>
  <si>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</si>
  <si>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</si>
  <si>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</si>
  <si>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</si>
  <si>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</si>
  <si>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</si>
  <si>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</si>
  <si>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</si>
  <si>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</si>
  <si>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</si>
  <si>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</si>
  <si>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</si>
  <si>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</si>
  <si>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</si>
  <si>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</si>
  <si>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</si>
  <si>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</si>
  <si>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</si>
  <si>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</si>
  <si>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</si>
  <si>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</si>
  <si>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</si>
  <si>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</si>
  <si>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</si>
  <si>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</si>
  <si>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</si>
  <si>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</si>
  <si>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</si>
  <si>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</si>
  <si>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</si>
  <si>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</si>
  <si>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</si>
  <si>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</si>
  <si>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</si>
  <si>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</si>
  <si>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</si>
  <si>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</si>
  <si>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</si>
  <si>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</si>
  <si>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</si>
  <si>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</si>
  <si>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</si>
  <si>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</si>
  <si>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</si>
  <si>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</si>
  <si>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</si>
  <si>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</si>
  <si>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</si>
  <si>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</si>
  <si>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</si>
  <si>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</si>
  <si>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</si>
  <si>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</si>
  <si>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</si>
  <si>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</si>
  <si>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</si>
  <si>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</si>
  <si>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</si>
  <si>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</si>
  <si>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</si>
  <si>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</si>
  <si>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</si>
  <si>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</si>
  <si>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</si>
  <si>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</si>
  <si>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</si>
  <si>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</si>
  <si>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</si>
  <si>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</si>
  <si>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</si>
  <si>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</si>
  <si>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</si>
  <si>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</si>
  <si>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</si>
  <si>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</si>
  <si>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</si>
  <si>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</si>
  <si>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</si>
  <si>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</si>
  <si>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</si>
  <si>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</si>
  <si>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</si>
  <si>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</si>
  <si>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</si>
  <si>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</si>
  <si>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</si>
  <si>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</si>
  <si>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</si>
  <si>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</si>
  <si>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</si>
  <si>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</si>
  <si>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</si>
  <si>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</si>
  <si>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</si>
  <si>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</si>
  <si>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</si>
  <si>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</si>
  <si>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</si>
  <si>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</si>
  <si>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</si>
  <si>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</si>
  <si>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</si>
  <si>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</si>
  <si>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</si>
  <si>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</si>
  <si>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</si>
  <si>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</si>
  <si>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</si>
  <si>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</si>
  <si>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</si>
  <si>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</si>
  <si>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</si>
  <si>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</si>
  <si>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</si>
  <si>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</si>
  <si>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</si>
  <si>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</si>
  <si>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</si>
  <si>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</si>
  <si>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</si>
  <si>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</si>
  <si>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</si>
  <si>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</si>
  <si>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</si>
  <si>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</si>
  <si>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</si>
  <si>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</si>
  <si>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</si>
  <si>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</si>
  <si>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</si>
  <si>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</si>
  <si>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</si>
  <si>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</si>
  <si>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</si>
  <si>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</si>
  <si>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</si>
  <si>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</si>
  <si>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</si>
  <si>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</si>
  <si>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</si>
  <si>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</si>
  <si>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</si>
  <si>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</si>
  <si>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</si>
  <si>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</si>
  <si>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</si>
  <si>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</si>
  <si>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</si>
  <si>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</si>
  <si>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</si>
  <si>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</si>
  <si>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</si>
  <si>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</si>
  <si>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</si>
  <si>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</si>
  <si>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</si>
  <si>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</si>
  <si>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</si>
  <si>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</si>
  <si>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</si>
  <si>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</si>
  <si>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</si>
  <si>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</si>
  <si>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</si>
  <si>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</si>
  <si>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</si>
  <si>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</si>
  <si>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</si>
  <si>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</si>
  <si>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</si>
  <si>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</si>
  <si>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</si>
  <si>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</si>
  <si>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</si>
  <si>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</si>
  <si>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</si>
  <si>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</si>
  <si>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</si>
  <si>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</si>
  <si>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</si>
  <si>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</si>
  <si>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</si>
  <si>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</si>
  <si>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</si>
  <si>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</si>
  <si>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</si>
  <si>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</si>
  <si>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</si>
  <si>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</si>
  <si>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</si>
  <si>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</si>
  <si>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</si>
  <si>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</si>
  <si>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</si>
  <si>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</si>
  <si>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</si>
  <si>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</si>
  <si>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</si>
  <si>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</si>
  <si>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</si>
  <si>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</si>
  <si>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</si>
  <si>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</si>
  <si>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</si>
  <si>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</si>
  <si>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</si>
  <si>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</si>
  <si>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</si>
  <si>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</si>
  <si>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</si>
  <si>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</si>
  <si>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</si>
  <si>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</si>
  <si>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</si>
  <si>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</si>
  <si>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</si>
  <si>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</si>
  <si>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</si>
  <si>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</si>
  <si>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</si>
  <si>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</si>
  <si>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</si>
  <si>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</si>
  <si>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</si>
  <si>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</si>
  <si>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</si>
  <si>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</si>
  <si>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</si>
  <si>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</si>
  <si>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</si>
  <si>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</si>
  <si>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</si>
  <si>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</si>
  <si>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</si>
  <si>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</si>
  <si>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</si>
  <si>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</si>
  <si>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</si>
  <si>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</si>
  <si>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</si>
  <si>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</si>
  <si>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</si>
  <si>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</si>
  <si>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</si>
  <si>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</si>
  <si>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</si>
  <si>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</si>
  <si>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</si>
  <si>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</si>
  <si>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</si>
  <si>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</si>
  <si>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</si>
  <si>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</si>
  <si>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</si>
  <si>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</si>
  <si>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</si>
  <si>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</si>
  <si>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</si>
  <si>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</si>
  <si>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</si>
  <si>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</si>
  <si>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</si>
  <si>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</si>
  <si>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</si>
  <si>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</si>
  <si>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</si>
  <si>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</si>
  <si>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</si>
  <si>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</si>
  <si>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</si>
  <si>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</si>
  <si>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</si>
  <si>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</si>
  <si>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</si>
  <si>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</si>
  <si>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</si>
  <si>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</si>
  <si>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</si>
  <si>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</si>
  <si>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</si>
  <si>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</si>
  <si>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</si>
  <si>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</si>
  <si>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</si>
  <si>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</si>
  <si>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</si>
  <si>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</si>
  <si>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</si>
  <si>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</si>
  <si>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</si>
  <si>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</si>
  <si>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</si>
  <si>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</si>
  <si>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</si>
  <si>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</si>
  <si>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</si>
  <si>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</si>
  <si>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</si>
  <si>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</si>
  <si>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</si>
  <si>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</si>
  <si>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</si>
  <si>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</si>
  <si>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</si>
  <si>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</si>
  <si>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</si>
  <si>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</si>
  <si>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</si>
  <si>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</si>
  <si>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</si>
  <si>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</si>
  <si>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</si>
  <si>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</si>
  <si>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</si>
  <si>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</si>
  <si>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</si>
  <si>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</si>
  <si>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</si>
  <si>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</si>
  <si>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</si>
  <si>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</si>
  <si>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</si>
  <si>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</si>
  <si>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</si>
  <si>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</si>
  <si>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</si>
  <si>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</si>
  <si>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</si>
  <si>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</si>
  <si>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</si>
  <si>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</si>
  <si>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</si>
  <si>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</si>
  <si>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</si>
  <si>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</si>
  <si>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</si>
  <si>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</si>
  <si>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</si>
  <si>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</si>
  <si>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</si>
  <si>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</si>
  <si>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</si>
  <si>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</si>
  <si>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</si>
  <si>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</si>
  <si>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</si>
  <si>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</si>
  <si>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</si>
  <si>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</si>
  <si>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</si>
  <si>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</si>
  <si>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</si>
  <si>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</si>
  <si>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</si>
  <si>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</si>
  <si>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</si>
  <si>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</si>
  <si>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</si>
  <si>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</si>
  <si>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</si>
  <si>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</si>
  <si>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</si>
  <si>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</si>
  <si>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</si>
  <si>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</si>
  <si>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</si>
  <si>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</si>
  <si>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</si>
  <si>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</si>
  <si>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</si>
  <si>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</si>
  <si>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</si>
  <si>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</si>
  <si>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</si>
  <si>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</si>
  <si>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</si>
  <si>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</si>
  <si>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</si>
  <si>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</si>
  <si>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</si>
  <si>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</si>
  <si>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</si>
  <si>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</si>
  <si>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</si>
  <si>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</si>
  <si>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</si>
  <si>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</si>
  <si>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</si>
  <si>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</si>
  <si>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</si>
  <si>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</si>
  <si>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</si>
  <si>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</si>
  <si>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</si>
  <si>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</si>
  <si>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</si>
  <si>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</si>
  <si>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</si>
  <si>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</si>
  <si>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</si>
  <si>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</si>
  <si>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</si>
  <si>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</si>
  <si>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</si>
  <si>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</si>
  <si>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</si>
  <si>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</si>
  <si>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</si>
  <si>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</si>
  <si>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</si>
  <si>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</si>
  <si>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</si>
  <si>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</si>
  <si>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</si>
  <si>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</si>
  <si>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</si>
  <si>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</si>
  <si>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</si>
  <si>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</si>
  <si>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</si>
  <si>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</si>
  <si>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</si>
  <si>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</si>
  <si>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</si>
  <si>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</si>
  <si>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</si>
  <si>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</si>
  <si>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</si>
  <si>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</si>
  <si>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</si>
  <si>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</si>
  <si>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</si>
  <si>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</si>
  <si>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</si>
  <si>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</si>
  <si>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</si>
  <si>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</si>
  <si>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</si>
  <si>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</si>
  <si>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</si>
  <si>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</si>
  <si>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</si>
  <si>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</si>
  <si>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</si>
  <si>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</si>
  <si>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</si>
  <si>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</si>
  <si>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</si>
  <si>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</si>
  <si>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</si>
  <si>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</si>
  <si>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</si>
  <si>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</si>
  <si>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</si>
  <si>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</si>
  <si>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</si>
  <si>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</si>
  <si>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</si>
  <si>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</si>
  <si>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</si>
  <si>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</si>
  <si>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</si>
  <si>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</si>
  <si>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</si>
  <si>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</si>
  <si>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</si>
  <si>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</si>
  <si>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</si>
  <si>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</si>
  <si>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</si>
  <si>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</si>
  <si>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</si>
  <si>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</si>
  <si>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</si>
  <si>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</si>
  <si>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</si>
  <si>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</si>
  <si>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</si>
  <si>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</si>
  <si>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</si>
  <si>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</si>
  <si>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</si>
  <si>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</si>
  <si>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</si>
  <si>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</si>
  <si>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</si>
  <si>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</si>
  <si>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</si>
  <si>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</si>
  <si>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</si>
  <si>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</si>
  <si>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</si>
  <si>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</si>
  <si>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</si>
  <si>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</si>
  <si>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</si>
  <si>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</si>
  <si>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</si>
  <si>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</si>
  <si>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</si>
  <si>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</si>
  <si>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</si>
  <si>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</si>
  <si>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</si>
  <si>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</si>
  <si>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</si>
  <si>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</si>
  <si>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</si>
  <si>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</si>
  <si>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</si>
  <si>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</si>
  <si>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</si>
  <si>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</si>
  <si>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</si>
  <si>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</si>
  <si>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</si>
  <si>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</si>
  <si>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</si>
  <si>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</si>
  <si>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</si>
  <si>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</si>
  <si>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</si>
  <si>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</si>
  <si>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</si>
  <si>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</si>
  <si>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</si>
  <si>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</si>
  <si>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</si>
  <si>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</si>
  <si>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</si>
  <si>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</si>
  <si>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</si>
  <si>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</si>
  <si>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</si>
  <si>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</si>
  <si>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</si>
  <si>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</si>
  <si>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</si>
  <si>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</si>
  <si>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</si>
  <si>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</si>
  <si>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</si>
  <si>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</si>
  <si>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</si>
  <si>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</si>
  <si>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</si>
  <si>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</si>
  <si>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</si>
  <si>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</si>
  <si>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</si>
  <si>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</si>
  <si>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</si>
  <si>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</si>
  <si>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</si>
  <si>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</si>
  <si>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</si>
  <si>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</si>
  <si>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</si>
  <si>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</si>
  <si>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</si>
  <si>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</si>
  <si>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</si>
  <si>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</si>
  <si>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</si>
  <si>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</si>
  <si>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</si>
  <si>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</si>
  <si>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</si>
  <si>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</si>
  <si>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</si>
  <si>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</si>
  <si>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</si>
  <si>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</si>
  <si>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</si>
  <si>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</si>
  <si>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</si>
  <si>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</si>
  <si>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</si>
  <si>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</si>
  <si>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</si>
  <si>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</si>
  <si>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</si>
  <si>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</si>
  <si>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</si>
  <si>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</si>
  <si>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</si>
  <si>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</si>
  <si>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</si>
  <si>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</si>
  <si>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</si>
  <si>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</si>
  <si>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</si>
  <si>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</si>
  <si>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</si>
  <si>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</si>
  <si>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</si>
  <si>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</si>
  <si>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</si>
  <si>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</si>
  <si>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</si>
  <si>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</si>
  <si>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</si>
  <si>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</si>
  <si>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</si>
  <si>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</si>
  <si>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</si>
  <si>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</si>
  <si>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</si>
  <si>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</si>
  <si>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</si>
  <si>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</si>
  <si>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</si>
  <si>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</si>
  <si>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</si>
  <si>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</si>
  <si>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</si>
  <si>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</si>
  <si>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</si>
  <si>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</si>
  <si>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</si>
  <si>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</si>
  <si>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</si>
  <si>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</si>
  <si>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</si>
  <si>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</si>
  <si>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</si>
  <si>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</si>
  <si>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</si>
  <si>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</si>
  <si>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</si>
  <si>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</si>
  <si>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</si>
  <si>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</si>
  <si>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</si>
  <si>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</si>
  <si>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</si>
  <si>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</si>
  <si>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</si>
  <si>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</si>
  <si>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</si>
  <si>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</si>
  <si>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</si>
  <si>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</si>
  <si>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</si>
  <si>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</si>
  <si>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</si>
  <si>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</si>
  <si>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</si>
  <si>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</si>
  <si>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</si>
  <si>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</si>
  <si>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</si>
  <si>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</si>
  <si>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</si>
  <si>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</si>
  <si>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</si>
  <si>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</si>
  <si>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</si>
  <si>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</si>
  <si>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</si>
  <si>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</si>
  <si>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</si>
  <si>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</si>
  <si>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</si>
  <si>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</si>
  <si>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</si>
  <si>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</si>
  <si>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</si>
  <si>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</si>
  <si>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</si>
  <si>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</si>
  <si>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</si>
  <si>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</si>
  <si>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</si>
  <si>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</si>
  <si>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</si>
  <si>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</si>
  <si>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</si>
  <si>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</si>
  <si>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</si>
  <si>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</si>
  <si>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</si>
  <si>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</si>
  <si>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</si>
  <si>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</si>
  <si>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</si>
  <si>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</si>
  <si>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</si>
  <si>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</si>
  <si>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</si>
  <si>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</si>
  <si>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</si>
  <si>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</si>
  <si>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</si>
  <si>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</si>
  <si>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</si>
  <si>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</si>
  <si>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</si>
  <si>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</si>
  <si>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</si>
  <si>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</si>
  <si>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</si>
  <si>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</si>
  <si>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</si>
  <si>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</si>
  <si>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</si>
  <si>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</si>
  <si>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</si>
  <si>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</si>
  <si>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</si>
  <si>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</si>
  <si>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</si>
  <si>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</si>
  <si>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</si>
  <si>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</si>
  <si>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</si>
  <si>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</si>
  <si>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</si>
  <si>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</si>
  <si>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</si>
  <si>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</si>
  <si>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</si>
  <si>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</si>
  <si>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</si>
  <si>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</si>
  <si>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</si>
  <si>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</si>
  <si>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</si>
  <si>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</si>
  <si>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</si>
  <si>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</si>
  <si>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</si>
  <si>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</si>
  <si>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</si>
  <si>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</si>
  <si>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</si>
  <si>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</si>
  <si>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</si>
  <si>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</si>
  <si>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</si>
  <si>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</si>
  <si>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</si>
  <si>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</si>
  <si>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</si>
  <si>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</si>
  <si>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</si>
  <si>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</si>
  <si>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</si>
  <si>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</si>
  <si>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</si>
  <si>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</si>
  <si>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</si>
  <si>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</si>
  <si>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</si>
  <si>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</si>
  <si>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</si>
  <si>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</si>
  <si>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</si>
  <si>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</si>
  <si>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</si>
  <si>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</si>
  <si>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</si>
  <si>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</si>
  <si>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</si>
  <si>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</si>
  <si>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</si>
  <si>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</si>
  <si>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</si>
  <si>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</si>
  <si>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</si>
  <si>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</si>
  <si>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</si>
  <si>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</si>
  <si>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</si>
  <si>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</si>
  <si>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</si>
  <si>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</si>
  <si>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</si>
  <si>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</si>
  <si>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</si>
  <si>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</si>
  <si>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</si>
  <si>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</si>
  <si>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</si>
  <si>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</si>
  <si>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</si>
  <si>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</si>
  <si>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</si>
  <si>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</si>
  <si>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</si>
  <si>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</si>
  <si>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</si>
  <si>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</si>
  <si>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</si>
  <si>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</si>
  <si>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</si>
  <si>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</si>
  <si>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</si>
  <si>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</si>
  <si>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</si>
  <si>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</si>
  <si>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</si>
  <si>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</si>
  <si>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</si>
  <si>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</si>
  <si>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</si>
  <si>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</si>
  <si>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</si>
  <si>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</si>
  <si>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</si>
  <si>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</si>
  <si>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</si>
  <si>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</si>
  <si>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</si>
  <si>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</si>
  <si>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</si>
  <si>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</si>
  <si>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</si>
  <si>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</si>
  <si>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</si>
  <si>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</si>
  <si>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</si>
  <si>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</si>
  <si>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</si>
  <si>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</si>
  <si>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</si>
  <si>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</si>
  <si>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</si>
  <si>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</si>
  <si>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</si>
  <si>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</si>
  <si>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</si>
  <si>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</si>
  <si>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</si>
  <si>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</si>
  <si>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</si>
  <si>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</si>
  <si>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</si>
  <si>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</si>
  <si>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</si>
  <si>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</si>
  <si>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</si>
  <si>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</si>
  <si>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</si>
  <si>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</si>
  <si>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</si>
  <si>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</si>
  <si>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</si>
  <si>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</si>
  <si>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</si>
  <si>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</si>
  <si>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</si>
  <si>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</si>
  <si>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</si>
  <si>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</si>
  <si>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</si>
  <si>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</si>
  <si>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</si>
  <si>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</si>
  <si>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</si>
  <si>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</si>
  <si>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</si>
  <si>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</si>
  <si>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</si>
  <si>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</si>
  <si>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</si>
  <si>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</si>
  <si>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</si>
  <si>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</si>
  <si>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</si>
  <si>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</si>
  <si>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</si>
  <si>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</si>
  <si>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</si>
  <si>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</si>
  <si>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</si>
  <si>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</si>
  <si>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</si>
  <si>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</si>
  <si>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</si>
  <si>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</si>
  <si>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</si>
  <si>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</si>
  <si>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</si>
  <si>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</si>
  <si>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</si>
  <si>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</si>
  <si>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</si>
  <si>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</si>
  <si>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</si>
  <si>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</si>
  <si>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</si>
  <si>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</si>
  <si>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</si>
  <si>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</si>
  <si>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</si>
  <si>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</si>
  <si>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</si>
  <si>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</si>
  <si>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</si>
  <si>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</si>
  <si>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</si>
  <si>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</si>
  <si>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</si>
  <si>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</si>
  <si>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</si>
  <si>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</si>
  <si>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</si>
  <si>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</si>
  <si>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</si>
  <si>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</si>
  <si>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</si>
  <si>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</si>
  <si>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</si>
  <si>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</si>
  <si>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</si>
  <si>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</si>
  <si>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</si>
  <si>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</si>
  <si>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</si>
  <si>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</si>
  <si>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</si>
  <si>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</si>
  <si>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</si>
  <si>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</si>
  <si>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</si>
  <si>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</si>
  <si>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</si>
  <si>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</si>
  <si>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</si>
  <si>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</si>
  <si>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</si>
  <si>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</si>
  <si>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</si>
  <si>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</si>
  <si>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</si>
  <si>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</si>
  <si>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</si>
  <si>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</si>
  <si>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</si>
  <si>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</si>
  <si>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</si>
  <si>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</si>
  <si>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</si>
  <si>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</si>
  <si>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</si>
  <si>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</si>
  <si>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</si>
  <si>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</si>
  <si>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</si>
  <si>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</si>
  <si>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</si>
  <si>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</si>
  <si>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</si>
  <si>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</si>
  <si>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</si>
  <si>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</si>
  <si>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</si>
  <si>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</si>
  <si>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</si>
  <si>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</si>
  <si>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</si>
  <si>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</si>
  <si>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</si>
  <si>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</si>
  <si>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</si>
  <si>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</si>
  <si>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</si>
  <si>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</si>
  <si>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</si>
  <si>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</si>
  <si>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</si>
  <si>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</si>
  <si>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</si>
  <si>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</si>
  <si>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</si>
  <si>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</si>
  <si>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</si>
  <si>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</si>
  <si>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</si>
  <si>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</si>
  <si>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>…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</si>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</sst>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0" fontId="27" fillId="0" borderId="0" xfId="0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88" totalsRowShown="0" headerRowDxfId="87" dataDxfId="86">
  <autoFilter ref="A1:R388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T102","TEMP",IF(LEFT(I2,4)="JK09","KUPWARA",IF(LEFT(I2,4)="JK15","BANDIPORA",IF(LEFT(I2,4)="JK17","KISHTWAR",IF(LEFT(I2,4)="T112","KARGIL","NEW"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85" totalsRowShown="0" headerRowDxfId="42" dataDxfId="41">
  <autoFilter ref="A2:H185" xr:uid="{B21CDF53-EB04-406A-8D52-FCF5CCB609E9}"/>
  <sortState xmlns:xlrd2="http://schemas.microsoft.com/office/spreadsheetml/2017/richdata2" ref="A3:H180">
    <sortCondition ref="D2:D180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66"/>
  <sheetViews>
    <sheetView tabSelected="1" topLeftCell="G332" zoomScaleNormal="100" workbookViewId="0">
      <selection activeCell="N345" sqref="N34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T102","TEMP",IF(LEFT(I2,4)="JK09","KUPWARA",IF(LEFT(I2,4)="JK15","BANDIPORA",IF(LEFT(I2,4)="JK17","KISHTWAR",IF(LEFT(I2,4)="T112","KARGIL","NEW"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7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T102","TEMP",IF(LEFT(I3,4)="JK09","KUPWARA",IF(LEFT(I3,4)="JK15","BANDIPORA",IF(LEFT(I3,4)="JK17","KISHTWAR",IF(LEFT(I3,4)="T112","KARGIL","NEW"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ref="H8:H71" si="3">IF(LEFT(I8,4)="JK13","PULWAMA",IF(LEFT(I8,4)="JK01","SRINAGAR",IF(LEFT(I8,4)="JK04","BUDGAM",IF(LEFT(I8,4)="JK03","ANANTNAG",IF(LEFT(I8,4)="JK05","BARAMULLA",IF(LEFT(I8,4)="26BH","BHARAT",IF(LEFT(I8,4)="25BH","BHARAT",IF(LEFT(I8,4)="JK12","POONCH",IF(LEFT(I8,4)="JK18","KULGAM",IF(LEFT(I8,4)="JK22","SHOPIAN",IF(LEFT(I8,4)="T102","TEMP",IF(LEFT(I8,4)="JK09","KUPWARA",IF(LEFT(I8,4)="JK15","BANDIPORA",IF(LEFT(I8,4)="JK17","KISHTWAR",IF(LEFT(I8,4)="T112","KARGIL","NEW")))))))))))))))</f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7048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3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3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3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8245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3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3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3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3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3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3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3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3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3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3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3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3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3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3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3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3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3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3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3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3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3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3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3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3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3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3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3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3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3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3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3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3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3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3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7459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3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3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3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6901</v>
      </c>
      <c r="C49" s="47" t="s">
        <v>6904</v>
      </c>
      <c r="D49" s="47" t="s">
        <v>6907</v>
      </c>
      <c r="E49" s="47" t="s">
        <v>6902</v>
      </c>
      <c r="F49" s="47" t="s">
        <v>31</v>
      </c>
      <c r="G49" s="47" t="s">
        <v>175</v>
      </c>
      <c r="H49" s="47" t="str">
        <f t="shared" si="3"/>
        <v>PULWAMA</v>
      </c>
      <c r="I49" s="47" t="s">
        <v>6903</v>
      </c>
      <c r="J49" s="48">
        <v>45999</v>
      </c>
      <c r="K49" s="47">
        <v>7006251106</v>
      </c>
      <c r="L49" s="47" t="s">
        <v>6451</v>
      </c>
      <c r="M49" s="49" t="s">
        <v>7808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3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3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3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3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3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3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3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3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3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3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3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8246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3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3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3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3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3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3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3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3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ref="H72:H135" si="5">IF(LEFT(I72,4)="JK13","PULWAMA",IF(LEFT(I72,4)="JK01","SRINAGAR",IF(LEFT(I72,4)="JK04","BUDGAM",IF(LEFT(I72,4)="JK03","ANANTNAG",IF(LEFT(I72,4)="JK05","BARAMULLA",IF(LEFT(I72,4)="26BH","BHARAT",IF(LEFT(I72,4)="25BH","BHARAT",IF(LEFT(I72,4)="JK12","POONCH",IF(LEFT(I72,4)="JK18","KULGAM",IF(LEFT(I72,4)="JK22","SHOPIAN",IF(LEFT(I72,4)="T102","TEMP",IF(LEFT(I72,4)="JK09","KUPWARA",IF(LEFT(I72,4)="JK15","BANDIPORA",IF(LEFT(I72,4)="JK17","KISHTWAR",IF(LEFT(I72,4)="T112","KARGIL","NEW")))))))))))))))</f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6785</v>
      </c>
      <c r="C73" s="47" t="s">
        <v>6786</v>
      </c>
      <c r="D73" s="47" t="s">
        <v>6787</v>
      </c>
      <c r="E73" s="47" t="s">
        <v>6788</v>
      </c>
      <c r="F73" s="47" t="s">
        <v>5</v>
      </c>
      <c r="G73" s="47" t="s">
        <v>226</v>
      </c>
      <c r="H73" s="47" t="str">
        <f t="shared" si="5"/>
        <v>SRINAGAR</v>
      </c>
      <c r="I73" s="47" t="s">
        <v>6794</v>
      </c>
      <c r="J73" s="48">
        <v>45996</v>
      </c>
      <c r="K73" s="47">
        <v>9419032294</v>
      </c>
      <c r="L73" s="47" t="s">
        <v>6451</v>
      </c>
      <c r="M73" s="49" t="s">
        <v>8241</v>
      </c>
      <c r="N73" s="48">
        <v>46032</v>
      </c>
      <c r="O73" s="47"/>
      <c r="P73" s="50"/>
      <c r="Q73" s="47"/>
      <c r="R73" s="47" t="s">
        <v>6857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5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5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5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5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5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5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5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5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5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5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5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5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5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5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5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5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5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5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5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5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5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5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7780</v>
      </c>
      <c r="C96" s="47" t="s">
        <v>7781</v>
      </c>
      <c r="D96" s="47" t="s">
        <v>7782</v>
      </c>
      <c r="E96" s="47" t="s">
        <v>7783</v>
      </c>
      <c r="F96" s="47" t="s">
        <v>119</v>
      </c>
      <c r="G96" s="47" t="s">
        <v>175</v>
      </c>
      <c r="H96" s="47" t="str">
        <f t="shared" si="5"/>
        <v>BARAMULLA</v>
      </c>
      <c r="I96" s="47" t="s">
        <v>7784</v>
      </c>
      <c r="J96" s="48">
        <v>46021</v>
      </c>
      <c r="K96" s="47">
        <v>6006052436</v>
      </c>
      <c r="L96" s="47" t="s">
        <v>6521</v>
      </c>
      <c r="M96" s="49" t="s">
        <v>8219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7809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5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 t="s">
        <v>8247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5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8248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8249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6927</v>
      </c>
      <c r="C105" s="47" t="s">
        <v>6925</v>
      </c>
      <c r="D105" s="47" t="s">
        <v>6926</v>
      </c>
      <c r="E105" s="47" t="s">
        <v>3420</v>
      </c>
      <c r="F105" s="47" t="s">
        <v>31</v>
      </c>
      <c r="G105" s="47" t="s">
        <v>174</v>
      </c>
      <c r="H105" s="47" t="str">
        <f t="shared" si="5"/>
        <v>PULWAMA</v>
      </c>
      <c r="I105" s="47" t="s">
        <v>6929</v>
      </c>
      <c r="J105" s="48">
        <v>46000</v>
      </c>
      <c r="K105" s="47">
        <v>9622432608</v>
      </c>
      <c r="L105" s="47" t="s">
        <v>6521</v>
      </c>
      <c r="M105" s="49" t="s">
        <v>7165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si="4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4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8250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4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4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4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4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4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4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4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4"/>
        <v>114</v>
      </c>
      <c r="B115" s="47" t="s">
        <v>7305</v>
      </c>
      <c r="C115" s="47" t="s">
        <v>7302</v>
      </c>
      <c r="D115" s="47" t="s">
        <v>7303</v>
      </c>
      <c r="E115" s="47" t="s">
        <v>7304</v>
      </c>
      <c r="F115" s="47" t="s">
        <v>125</v>
      </c>
      <c r="G115" s="47" t="s">
        <v>200</v>
      </c>
      <c r="H115" s="47" t="str">
        <f t="shared" si="5"/>
        <v>SRINAGAR</v>
      </c>
      <c r="I115" s="47" t="s">
        <v>7301</v>
      </c>
      <c r="J115" s="48">
        <v>46010</v>
      </c>
      <c r="K115" s="47">
        <v>9797271333</v>
      </c>
      <c r="L115" s="47" t="s">
        <v>6451</v>
      </c>
      <c r="M115" s="49" t="s">
        <v>8241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4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4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4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4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8251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4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4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4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4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8252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4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8253</v>
      </c>
      <c r="O124" s="47"/>
      <c r="P124" s="50"/>
      <c r="Q124" s="47"/>
      <c r="R124" s="47"/>
    </row>
    <row r="125" spans="1:18" x14ac:dyDescent="0.25">
      <c r="A125" s="47">
        <f t="shared" si="4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4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4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4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4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5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4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5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4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si="5"/>
        <v>NEW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4"/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 t="shared" si="5"/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 t="s">
        <v>8254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4"/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 t="shared" si="5"/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 t="s">
        <v>7617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4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5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4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5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ref="A136:A199" si="6">ROW()-1</f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ref="H136:H199" si="7">IF(LEFT(I136,4)="JK13","PULWAMA",IF(LEFT(I136,4)="JK01","SRINAGAR",IF(LEFT(I136,4)="JK04","BUDGAM",IF(LEFT(I136,4)="JK03","ANANTNAG",IF(LEFT(I136,4)="JK05","BARAMULLA",IF(LEFT(I136,4)="26BH","BHARAT",IF(LEFT(I136,4)="25BH","BHARAT",IF(LEFT(I136,4)="JK12","POONCH",IF(LEFT(I136,4)="JK18","KULGAM",IF(LEFT(I136,4)="JK22","SHOPIAN",IF(LEFT(I136,4)="T102","TEMP",IF(LEFT(I136,4)="JK09","KUPWARA",IF(LEFT(I136,4)="JK15","BANDIPORA",IF(LEFT(I136,4)="JK17","KISHTWAR",IF(LEFT(I136,4)="T112","KARGIL","NEW")))))))))))))))</f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 t="s">
        <v>8251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7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7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7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7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7368</v>
      </c>
      <c r="C141" s="47" t="s">
        <v>7369</v>
      </c>
      <c r="D141" s="47" t="s">
        <v>7370</v>
      </c>
      <c r="E141" s="47" t="s">
        <v>7371</v>
      </c>
      <c r="F141" s="47" t="s">
        <v>5</v>
      </c>
      <c r="G141" s="47" t="s">
        <v>200</v>
      </c>
      <c r="H141" s="47" t="str">
        <f t="shared" si="7"/>
        <v>PULWAMA</v>
      </c>
      <c r="I141" s="47" t="s">
        <v>7379</v>
      </c>
      <c r="J141" s="48">
        <v>46012</v>
      </c>
      <c r="K141" s="47">
        <v>7780912337</v>
      </c>
      <c r="L141" s="47" t="s">
        <v>6451</v>
      </c>
      <c r="M141" s="49" t="s">
        <v>8241</v>
      </c>
      <c r="N141" s="48">
        <v>46032</v>
      </c>
      <c r="O141" s="47"/>
      <c r="P141" s="50"/>
      <c r="Q141" s="47"/>
      <c r="R141" s="47" t="s">
        <v>7177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7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7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7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7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7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7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7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7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7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7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7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7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7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7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7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7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7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 t="s">
        <v>8255</v>
      </c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7160</v>
      </c>
      <c r="C159" s="47" t="s">
        <v>7157</v>
      </c>
      <c r="D159" s="47" t="s">
        <v>7158</v>
      </c>
      <c r="E159" s="47" t="s">
        <v>7159</v>
      </c>
      <c r="F159" s="47" t="s">
        <v>119</v>
      </c>
      <c r="G159" s="47" t="s">
        <v>175</v>
      </c>
      <c r="H159" s="47" t="str">
        <f t="shared" si="7"/>
        <v>PULWAMA</v>
      </c>
      <c r="I159" s="47" t="s">
        <v>7171</v>
      </c>
      <c r="J159" s="48">
        <v>46007</v>
      </c>
      <c r="K159" s="47">
        <v>7889354231</v>
      </c>
      <c r="L159" s="47" t="s">
        <v>6521</v>
      </c>
      <c r="M159" s="49" t="s">
        <v>7673</v>
      </c>
      <c r="N159" s="48">
        <v>46021</v>
      </c>
      <c r="O159" s="47"/>
      <c r="P159" s="50"/>
      <c r="Q159" s="47"/>
      <c r="R159" s="47" t="s">
        <v>7195</v>
      </c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7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8027</v>
      </c>
      <c r="C161" s="47" t="s">
        <v>8028</v>
      </c>
      <c r="D161" s="47" t="s">
        <v>8029</v>
      </c>
      <c r="E161" s="47" t="s">
        <v>8030</v>
      </c>
      <c r="F161" s="47" t="s">
        <v>1686</v>
      </c>
      <c r="G161" s="47" t="s">
        <v>199</v>
      </c>
      <c r="H161" s="47" t="str">
        <f t="shared" si="7"/>
        <v>SRINAGAR</v>
      </c>
      <c r="I161" s="47" t="s">
        <v>8032</v>
      </c>
      <c r="J161" s="48">
        <v>46025</v>
      </c>
      <c r="K161" s="47">
        <v>7051417712</v>
      </c>
      <c r="L161" s="47" t="s">
        <v>6451</v>
      </c>
      <c r="M161" s="49" t="s">
        <v>8241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7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7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si="7"/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7283</v>
      </c>
      <c r="C165" s="47" t="s">
        <v>7284</v>
      </c>
      <c r="D165" s="47" t="s">
        <v>7285</v>
      </c>
      <c r="E165" s="47" t="s">
        <v>7286</v>
      </c>
      <c r="F165" s="47" t="s">
        <v>67</v>
      </c>
      <c r="G165" s="47" t="s">
        <v>174</v>
      </c>
      <c r="H165" s="47" t="str">
        <f t="shared" si="7"/>
        <v>PULWAMA</v>
      </c>
      <c r="I165" s="47" t="s">
        <v>7292</v>
      </c>
      <c r="J165" s="48">
        <v>46010</v>
      </c>
      <c r="K165" s="47">
        <v>9419032432</v>
      </c>
      <c r="L165" s="47" t="s">
        <v>6521</v>
      </c>
      <c r="M165" s="49" t="s">
        <v>7673</v>
      </c>
      <c r="N165" s="48">
        <v>46021</v>
      </c>
      <c r="O165" s="47"/>
      <c r="P165" s="50"/>
      <c r="Q165" s="47"/>
      <c r="R165" s="47" t="s">
        <v>7294</v>
      </c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7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7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7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 t="s">
        <v>7456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7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7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7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7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 t="s">
        <v>8244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7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7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 t="s">
        <v>7618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7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7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7955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7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7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7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7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7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7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 t="s">
        <v>8254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 t="shared" si="7"/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7588</v>
      </c>
      <c r="C184" s="47" t="s">
        <v>7588</v>
      </c>
      <c r="D184" s="47" t="s">
        <v>7589</v>
      </c>
      <c r="E184" s="47" t="s">
        <v>7590</v>
      </c>
      <c r="F184" s="47" t="s">
        <v>31</v>
      </c>
      <c r="G184" s="47" t="s">
        <v>200</v>
      </c>
      <c r="H184" s="47" t="str">
        <f t="shared" si="7"/>
        <v>PULWAMA</v>
      </c>
      <c r="I184" s="47" t="s">
        <v>7595</v>
      </c>
      <c r="J184" s="48">
        <v>46017</v>
      </c>
      <c r="K184" s="47">
        <v>8491093722</v>
      </c>
      <c r="L184" s="47" t="s">
        <v>6521</v>
      </c>
      <c r="M184" s="49" t="s">
        <v>7673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7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 t="s">
        <v>8076</v>
      </c>
      <c r="N185" s="48">
        <v>46027</v>
      </c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7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7277</v>
      </c>
      <c r="C187" s="47" t="s">
        <v>7274</v>
      </c>
      <c r="D187" s="47" t="s">
        <v>7275</v>
      </c>
      <c r="E187" s="47" t="s">
        <v>7276</v>
      </c>
      <c r="F187" s="47" t="s">
        <v>31</v>
      </c>
      <c r="G187" s="47" t="s">
        <v>200</v>
      </c>
      <c r="H187" s="47" t="str">
        <f t="shared" si="7"/>
        <v>SHOPIAN</v>
      </c>
      <c r="I187" s="47" t="s">
        <v>7278</v>
      </c>
      <c r="J187" s="48">
        <v>46009</v>
      </c>
      <c r="K187" s="47">
        <v>7006865316</v>
      </c>
      <c r="L187" s="47" t="s">
        <v>6521</v>
      </c>
      <c r="M187" s="49" t="s">
        <v>7673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7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 t="s">
        <v>8256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7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 t="shared" si="7"/>
        <v>NEW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 t="shared" si="7"/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si="7"/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6"/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7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6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7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6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7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6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7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6"/>
        <v>196</v>
      </c>
      <c r="B197" s="47" t="s">
        <v>6895</v>
      </c>
      <c r="C197" s="47" t="s">
        <v>6892</v>
      </c>
      <c r="D197" s="47" t="s">
        <v>6893</v>
      </c>
      <c r="E197" s="47" t="s">
        <v>6894</v>
      </c>
      <c r="F197" s="47" t="s">
        <v>31</v>
      </c>
      <c r="G197" s="47" t="s">
        <v>200</v>
      </c>
      <c r="H197" s="47" t="str">
        <f t="shared" si="7"/>
        <v>PULWAMA</v>
      </c>
      <c r="I197" s="47" t="s">
        <v>6906</v>
      </c>
      <c r="J197" s="48">
        <v>45999</v>
      </c>
      <c r="K197" s="47">
        <v>9797244437</v>
      </c>
      <c r="L197" s="47" t="s">
        <v>6521</v>
      </c>
      <c r="M197" s="49" t="s">
        <v>7673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6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7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6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7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 t="s">
        <v>7602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ref="A200:A263" si="8">ROW()-1</f>
        <v>199</v>
      </c>
      <c r="B200" s="47" t="s">
        <v>8112</v>
      </c>
      <c r="C200" s="47" t="s">
        <v>8113</v>
      </c>
      <c r="D200" s="47" t="s">
        <v>8114</v>
      </c>
      <c r="E200" s="47" t="s">
        <v>8115</v>
      </c>
      <c r="F200" s="47" t="s">
        <v>102</v>
      </c>
      <c r="G200" s="47" t="s">
        <v>199</v>
      </c>
      <c r="H200" s="47" t="str">
        <f t="shared" ref="H200:H263" si="9">IF(LEFT(I200,4)="JK13","PULWAMA",IF(LEFT(I200,4)="JK01","SRINAGAR",IF(LEFT(I200,4)="JK04","BUDGAM",IF(LEFT(I200,4)="JK03","ANANTNAG",IF(LEFT(I200,4)="JK05","BARAMULLA",IF(LEFT(I200,4)="26BH","BHARAT",IF(LEFT(I200,4)="25BH","BHARAT",IF(LEFT(I200,4)="JK12","POONCH",IF(LEFT(I200,4)="JK18","KULGAM",IF(LEFT(I200,4)="JK22","SHOPIAN",IF(LEFT(I200,4)="T102","TEMP",IF(LEFT(I200,4)="JK09","KUPWARA",IF(LEFT(I200,4)="JK15","BANDIPORA",IF(LEFT(I200,4)="JK17","KISHTWAR",IF(LEFT(I200,4)="T112","KARGIL","NEW")))))))))))))))</f>
        <v>PULWAMA</v>
      </c>
      <c r="I200" s="47" t="s">
        <v>8116</v>
      </c>
      <c r="J200" s="48">
        <v>46028</v>
      </c>
      <c r="K200" s="47">
        <v>7889385453</v>
      </c>
      <c r="L200" s="47" t="s">
        <v>6451</v>
      </c>
      <c r="M200" s="49" t="s">
        <v>8241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8"/>
        <v>200</v>
      </c>
      <c r="B201" s="47" t="s">
        <v>7966</v>
      </c>
      <c r="C201" s="47" t="s">
        <v>7963</v>
      </c>
      <c r="D201" s="47" t="s">
        <v>7964</v>
      </c>
      <c r="E201" s="47" t="s">
        <v>7965</v>
      </c>
      <c r="F201" s="47" t="s">
        <v>119</v>
      </c>
      <c r="G201" s="47" t="s">
        <v>200</v>
      </c>
      <c r="H201" s="47" t="str">
        <f t="shared" si="9"/>
        <v>PULWAMA</v>
      </c>
      <c r="I201" s="47" t="s">
        <v>7967</v>
      </c>
      <c r="J201" s="48">
        <v>46025</v>
      </c>
      <c r="K201" s="47">
        <v>7006861153</v>
      </c>
      <c r="L201" s="47" t="s">
        <v>6521</v>
      </c>
      <c r="M201" s="49" t="s">
        <v>7673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8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9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8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9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8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9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8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9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8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9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8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9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8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9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8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9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8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9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8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9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8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9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8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9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8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9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8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9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8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9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8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9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8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9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8"/>
        <v>218</v>
      </c>
      <c r="B219" s="47" t="s">
        <v>7144</v>
      </c>
      <c r="C219" s="47" t="s">
        <v>7141</v>
      </c>
      <c r="D219" s="47" t="s">
        <v>7142</v>
      </c>
      <c r="E219" s="47" t="s">
        <v>7143</v>
      </c>
      <c r="F219" s="47" t="s">
        <v>119</v>
      </c>
      <c r="G219" s="47" t="s">
        <v>200</v>
      </c>
      <c r="H219" s="47" t="str">
        <f t="shared" si="9"/>
        <v>BUDGAM</v>
      </c>
      <c r="I219" s="47" t="s">
        <v>7174</v>
      </c>
      <c r="J219" s="48">
        <v>46007</v>
      </c>
      <c r="K219" s="47">
        <v>9622878211</v>
      </c>
      <c r="L219" s="47" t="s">
        <v>6521</v>
      </c>
      <c r="M219" s="49" t="s">
        <v>7777</v>
      </c>
      <c r="N219" s="48">
        <v>46021</v>
      </c>
      <c r="O219" s="47"/>
      <c r="P219" s="50"/>
      <c r="Q219" s="47"/>
      <c r="R219" s="47" t="s">
        <v>7195</v>
      </c>
    </row>
    <row r="220" spans="1:18" x14ac:dyDescent="0.25">
      <c r="A220" s="47">
        <f t="shared" si="8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9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8"/>
        <v>220</v>
      </c>
      <c r="B221" s="47" t="s">
        <v>7799</v>
      </c>
      <c r="C221" s="47" t="s">
        <v>7796</v>
      </c>
      <c r="D221" s="47" t="s">
        <v>7797</v>
      </c>
      <c r="E221" s="47" t="s">
        <v>7798</v>
      </c>
      <c r="F221" s="47" t="s">
        <v>67</v>
      </c>
      <c r="G221" s="47" t="s">
        <v>200</v>
      </c>
      <c r="H221" s="47" t="str">
        <f t="shared" si="9"/>
        <v>PULWAMA</v>
      </c>
      <c r="I221" s="47" t="s">
        <v>7810</v>
      </c>
      <c r="J221" s="48">
        <v>46022</v>
      </c>
      <c r="K221" s="47">
        <v>8899294356</v>
      </c>
      <c r="L221" s="47" t="s">
        <v>6521</v>
      </c>
      <c r="M221" s="49" t="s">
        <v>7716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8"/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 t="shared" si="9"/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8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9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8"/>
        <v>223</v>
      </c>
      <c r="B224" s="47" t="s">
        <v>8192</v>
      </c>
      <c r="C224" s="47" t="s">
        <v>8195</v>
      </c>
      <c r="D224" s="47" t="s">
        <v>8196</v>
      </c>
      <c r="E224" s="47" t="s">
        <v>8197</v>
      </c>
      <c r="F224" s="47" t="s">
        <v>5</v>
      </c>
      <c r="G224" s="47" t="s">
        <v>181</v>
      </c>
      <c r="H224" s="47" t="str">
        <f t="shared" si="9"/>
        <v>SHOPIAN</v>
      </c>
      <c r="I224" s="47" t="s">
        <v>8207</v>
      </c>
      <c r="J224" s="48">
        <v>46030</v>
      </c>
      <c r="K224" s="47">
        <v>9906656754</v>
      </c>
      <c r="L224" s="47" t="s">
        <v>6451</v>
      </c>
      <c r="M224" s="49" t="s">
        <v>8241</v>
      </c>
      <c r="N224" s="48">
        <v>46032</v>
      </c>
      <c r="O224" s="47"/>
      <c r="P224" s="50"/>
      <c r="Q224" s="47"/>
      <c r="R224" s="47" t="s">
        <v>7177</v>
      </c>
    </row>
    <row r="225" spans="1:18" x14ac:dyDescent="0.25">
      <c r="A225" s="47">
        <f t="shared" si="8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9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8"/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 t="shared" si="9"/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8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9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8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9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8"/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 t="shared" si="9"/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8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9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8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9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 t="s">
        <v>8257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8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9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8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9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 t="s">
        <v>8258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8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9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 t="s">
        <v>8259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8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9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8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9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6928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8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9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 t="s">
        <v>8225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8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9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8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9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8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9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8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9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 t="s">
        <v>8254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8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9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8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9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8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9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 t="s">
        <v>8260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8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9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8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9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8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9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8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9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 t="s">
        <v>7955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8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9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8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9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 t="s">
        <v>8018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8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9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 t="s">
        <v>8095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8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9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8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9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8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9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8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9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8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9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8"/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9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8"/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9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 t="s">
        <v>7615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8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9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 t="s">
        <v>8261</v>
      </c>
      <c r="O259" s="47"/>
      <c r="P259" s="50"/>
      <c r="Q259" s="47"/>
      <c r="R259" s="47"/>
    </row>
    <row r="260" spans="1:18" x14ac:dyDescent="0.25">
      <c r="A260" s="47">
        <f t="shared" si="8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9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8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9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8"/>
        <v>261</v>
      </c>
      <c r="B262" s="47" t="s">
        <v>7154</v>
      </c>
      <c r="C262" s="47" t="s">
        <v>7155</v>
      </c>
      <c r="D262" s="47" t="s">
        <v>7156</v>
      </c>
      <c r="E262" s="47" t="s">
        <v>3493</v>
      </c>
      <c r="F262" s="47" t="s">
        <v>119</v>
      </c>
      <c r="G262" s="47" t="s">
        <v>174</v>
      </c>
      <c r="H262" s="47" t="str">
        <f t="shared" si="9"/>
        <v>PULWAMA</v>
      </c>
      <c r="I262" s="47" t="s">
        <v>7172</v>
      </c>
      <c r="J262" s="48">
        <v>46007</v>
      </c>
      <c r="K262" s="47">
        <v>8492997838</v>
      </c>
      <c r="L262" s="47" t="s">
        <v>6451</v>
      </c>
      <c r="M262" s="49"/>
      <c r="N262" s="48" t="s">
        <v>8262</v>
      </c>
      <c r="O262" s="47"/>
      <c r="P262" s="50"/>
      <c r="Q262" s="47"/>
      <c r="R262" s="47" t="s">
        <v>7177</v>
      </c>
    </row>
    <row r="263" spans="1:18" x14ac:dyDescent="0.25">
      <c r="A263" s="47">
        <f t="shared" si="8"/>
        <v>262</v>
      </c>
      <c r="B263" s="47" t="s">
        <v>7049</v>
      </c>
      <c r="C263" s="47" t="s">
        <v>7050</v>
      </c>
      <c r="D263" s="47" t="s">
        <v>7051</v>
      </c>
      <c r="E263" s="47" t="s">
        <v>7052</v>
      </c>
      <c r="F263" s="47" t="s">
        <v>31</v>
      </c>
      <c r="G263" s="47" t="s">
        <v>221</v>
      </c>
      <c r="H263" s="47" t="str">
        <f t="shared" si="9"/>
        <v>SRINAGAR</v>
      </c>
      <c r="I263" s="47" t="s">
        <v>7062</v>
      </c>
      <c r="J263" s="48">
        <v>46003</v>
      </c>
      <c r="K263" s="47">
        <v>7006646319</v>
      </c>
      <c r="L263" s="47" t="s">
        <v>6521</v>
      </c>
      <c r="M263" s="49" t="s">
        <v>7263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ref="A264:A327" si="10">ROW()-1</f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ref="H264:H327" si="11">IF(LEFT(I264,4)="JK13","PULWAMA",IF(LEFT(I264,4)="JK01","SRINAGAR",IF(LEFT(I264,4)="JK04","BUDGAM",IF(LEFT(I264,4)="JK03","ANANTNAG",IF(LEFT(I264,4)="JK05","BARAMULLA",IF(LEFT(I264,4)="26BH","BHARAT",IF(LEFT(I264,4)="25BH","BHARAT",IF(LEFT(I264,4)="JK12","POONCH",IF(LEFT(I264,4)="JK18","KULGAM",IF(LEFT(I264,4)="JK22","SHOPIAN",IF(LEFT(I264,4)="T102","TEMP",IF(LEFT(I264,4)="JK09","KUPWARA",IF(LEFT(I264,4)="JK15","BANDIPORA",IF(LEFT(I264,4)="JK17","KISHTWAR",IF(LEFT(I264,4)="T112","KARGIL","NEW")))))))))))))))</f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0"/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 t="shared" si="11"/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 t="s">
        <v>8254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10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1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0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1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0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1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0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1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0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1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0"/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 t="shared" si="11"/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 t="s">
        <v>7617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0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1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0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1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10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1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0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1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10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1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 t="s">
        <v>8263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0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1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0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1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0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1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0"/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 t="shared" si="11"/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10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1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 t="s">
        <v>7455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10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1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0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1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10"/>
        <v>283</v>
      </c>
      <c r="B284" s="47" t="s">
        <v>7384</v>
      </c>
      <c r="C284" s="47" t="s">
        <v>7381</v>
      </c>
      <c r="D284" s="47" t="s">
        <v>7382</v>
      </c>
      <c r="E284" s="47" t="s">
        <v>7383</v>
      </c>
      <c r="F284" s="47" t="s">
        <v>12</v>
      </c>
      <c r="G284" s="47" t="s">
        <v>181</v>
      </c>
      <c r="H284" s="47" t="str">
        <f t="shared" si="11"/>
        <v>PULWAMA</v>
      </c>
      <c r="I284" s="47" t="s">
        <v>7385</v>
      </c>
      <c r="J284" s="48">
        <v>46012</v>
      </c>
      <c r="K284" s="47">
        <v>9622838656</v>
      </c>
      <c r="L284" s="47" t="s">
        <v>6451</v>
      </c>
      <c r="M284" s="49"/>
      <c r="N284" s="48" t="s">
        <v>8264</v>
      </c>
      <c r="O284" s="47"/>
      <c r="P284" s="50"/>
      <c r="Q284" s="47"/>
      <c r="R284" s="47" t="s">
        <v>7177</v>
      </c>
    </row>
    <row r="285" spans="1:18" x14ac:dyDescent="0.25">
      <c r="A285" s="47">
        <f t="shared" si="10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1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 t="s">
        <v>7776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10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1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0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si="11"/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10"/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si="11"/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0"/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 t="shared" si="11"/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 t="s">
        <v>7617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10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1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0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1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 t="s">
        <v>8174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8124</v>
      </c>
    </row>
    <row r="292" spans="1:18" x14ac:dyDescent="0.25">
      <c r="A292" s="47">
        <f t="shared" si="10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1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0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1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10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1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 t="s">
        <v>7774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10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1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 t="s">
        <v>7955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10"/>
        <v>295</v>
      </c>
      <c r="B296" s="47" t="s">
        <v>7066</v>
      </c>
      <c r="C296" s="47" t="s">
        <v>7067</v>
      </c>
      <c r="D296" s="47" t="s">
        <v>7068</v>
      </c>
      <c r="E296" s="47" t="s">
        <v>7069</v>
      </c>
      <c r="F296" s="47" t="s">
        <v>193</v>
      </c>
      <c r="G296" s="47" t="s">
        <v>200</v>
      </c>
      <c r="H296" s="47" t="str">
        <f t="shared" si="11"/>
        <v>PULWAMA</v>
      </c>
      <c r="I296" s="47" t="s">
        <v>7077</v>
      </c>
      <c r="J296" s="48">
        <v>46003</v>
      </c>
      <c r="K296" s="47">
        <v>9797499942</v>
      </c>
      <c r="L296" s="47" t="s">
        <v>7070</v>
      </c>
      <c r="M296" s="49"/>
      <c r="N296" s="48" t="s">
        <v>8246</v>
      </c>
      <c r="O296" s="47"/>
      <c r="P296" s="50"/>
      <c r="Q296" s="47"/>
      <c r="R296" s="47"/>
    </row>
    <row r="297" spans="1:18" x14ac:dyDescent="0.25">
      <c r="A297" s="47">
        <f t="shared" si="10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si="11"/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0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1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0"/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str">
        <f t="shared" si="11"/>
        <v>NEW</v>
      </c>
      <c r="I299" s="47" t="s">
        <v>8017</v>
      </c>
      <c r="J299" s="48">
        <v>46020</v>
      </c>
      <c r="K299" s="47">
        <v>9622020576</v>
      </c>
      <c r="L299" s="47" t="s">
        <v>7713</v>
      </c>
      <c r="M299" s="49" t="s">
        <v>8125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0"/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si="11"/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8168</v>
      </c>
      <c r="R300" s="47"/>
    </row>
    <row r="301" spans="1:18" x14ac:dyDescent="0.25">
      <c r="A301" s="47">
        <f t="shared" si="10"/>
        <v>300</v>
      </c>
      <c r="B301" s="47" t="s">
        <v>7512</v>
      </c>
      <c r="C301" s="47" t="s">
        <v>7513</v>
      </c>
      <c r="D301" s="47" t="s">
        <v>7514</v>
      </c>
      <c r="E301" s="47" t="s">
        <v>7515</v>
      </c>
      <c r="F301" s="47" t="s">
        <v>12</v>
      </c>
      <c r="G301" s="47" t="s">
        <v>181</v>
      </c>
      <c r="H301" s="47" t="str">
        <f t="shared" si="11"/>
        <v>PULWAMA</v>
      </c>
      <c r="I301" s="47" t="s">
        <v>7520</v>
      </c>
      <c r="J301" s="48">
        <v>46016</v>
      </c>
      <c r="K301" s="47">
        <v>8825024324</v>
      </c>
      <c r="L301" s="47" t="s">
        <v>6521</v>
      </c>
      <c r="M301" s="49" t="s">
        <v>8224</v>
      </c>
      <c r="N301" s="48">
        <v>45972</v>
      </c>
      <c r="O301" s="47"/>
      <c r="P301" s="50"/>
      <c r="Q301" s="47"/>
      <c r="R301" s="47" t="s">
        <v>7522</v>
      </c>
    </row>
    <row r="302" spans="1:18" x14ac:dyDescent="0.25">
      <c r="A302" s="47">
        <f t="shared" si="10"/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 t="shared" si="11"/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 t="s">
        <v>7895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0"/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 t="shared" si="11"/>
        <v>BUDGAM</v>
      </c>
      <c r="I303" s="55" t="s">
        <v>7848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0"/>
        <v>303</v>
      </c>
      <c r="B304" s="47" t="s">
        <v>7744</v>
      </c>
      <c r="C304" s="47" t="s">
        <v>7745</v>
      </c>
      <c r="D304" s="47" t="s">
        <v>7747</v>
      </c>
      <c r="E304" s="47" t="s">
        <v>7746</v>
      </c>
      <c r="F304" s="47" t="s">
        <v>67</v>
      </c>
      <c r="G304" s="47" t="s">
        <v>199</v>
      </c>
      <c r="H304" s="47" t="str">
        <f t="shared" si="11"/>
        <v>PULWAMA</v>
      </c>
      <c r="I304" s="47" t="s">
        <v>7752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7769</v>
      </c>
    </row>
    <row r="305" spans="1:18" x14ac:dyDescent="0.25">
      <c r="A305" s="47">
        <f t="shared" si="10"/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 t="shared" si="11"/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 t="s">
        <v>8231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0"/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 t="shared" si="11"/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0"/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 t="shared" si="11"/>
        <v>BUDGAM</v>
      </c>
      <c r="I307" s="55" t="s">
        <v>7847</v>
      </c>
      <c r="J307" s="48">
        <v>46023</v>
      </c>
      <c r="K307" s="47">
        <v>7006000499</v>
      </c>
      <c r="L307" s="47" t="s">
        <v>106</v>
      </c>
      <c r="M307" s="49" t="s">
        <v>7602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0"/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 t="shared" si="11"/>
        <v>SRINAGAR</v>
      </c>
      <c r="I308" s="55" t="s">
        <v>7849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0"/>
        <v>308</v>
      </c>
      <c r="B309" s="47" t="s">
        <v>7827</v>
      </c>
      <c r="C309" s="47" t="s">
        <v>7828</v>
      </c>
      <c r="D309" s="47" t="s">
        <v>7829</v>
      </c>
      <c r="E309" s="47" t="s">
        <v>7830</v>
      </c>
      <c r="F309" s="47" t="s">
        <v>100</v>
      </c>
      <c r="G309" s="47" t="s">
        <v>200</v>
      </c>
      <c r="H309" s="47" t="str">
        <f t="shared" si="11"/>
        <v>SRINAGAR</v>
      </c>
      <c r="I309" s="55" t="s">
        <v>7850</v>
      </c>
      <c r="J309" s="48">
        <v>46023</v>
      </c>
      <c r="K309" s="47">
        <v>7006582052</v>
      </c>
      <c r="L309" s="47" t="s">
        <v>307</v>
      </c>
      <c r="M309" s="49" t="s">
        <v>7776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0"/>
        <v>309</v>
      </c>
      <c r="B310" s="47" t="s">
        <v>7834</v>
      </c>
      <c r="C310" s="47" t="s">
        <v>7831</v>
      </c>
      <c r="D310" s="47" t="s">
        <v>7832</v>
      </c>
      <c r="E310" s="47" t="s">
        <v>7833</v>
      </c>
      <c r="F310" s="47" t="s">
        <v>290</v>
      </c>
      <c r="G310" s="47" t="s">
        <v>200</v>
      </c>
      <c r="H310" s="47" t="str">
        <f t="shared" si="11"/>
        <v>SRINAGAR</v>
      </c>
      <c r="I310" s="55" t="s">
        <v>7851</v>
      </c>
      <c r="J310" s="48">
        <v>46023</v>
      </c>
      <c r="K310" s="47">
        <v>9906405123</v>
      </c>
      <c r="L310" s="47" t="s">
        <v>2248</v>
      </c>
      <c r="M310" s="49" t="s">
        <v>8165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0"/>
        <v>310</v>
      </c>
      <c r="B311" s="47" t="s">
        <v>7835</v>
      </c>
      <c r="C311" s="47" t="s">
        <v>7836</v>
      </c>
      <c r="D311" s="47" t="s">
        <v>7837</v>
      </c>
      <c r="E311" s="47" t="s">
        <v>7838</v>
      </c>
      <c r="F311" s="47" t="s">
        <v>12</v>
      </c>
      <c r="G311" s="47" t="s">
        <v>200</v>
      </c>
      <c r="H311" s="47" t="str">
        <f t="shared" si="11"/>
        <v>BUDGAM</v>
      </c>
      <c r="I311" s="55" t="s">
        <v>7846</v>
      </c>
      <c r="J311" s="48">
        <v>46023</v>
      </c>
      <c r="K311" s="47">
        <v>7006016383</v>
      </c>
      <c r="L311" s="47" t="s">
        <v>307</v>
      </c>
      <c r="M311" s="49" t="s">
        <v>8094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0"/>
        <v>311</v>
      </c>
      <c r="B312" s="47" t="s">
        <v>7839</v>
      </c>
      <c r="C312" s="47" t="s">
        <v>7840</v>
      </c>
      <c r="D312" s="47" t="s">
        <v>7841</v>
      </c>
      <c r="E312" s="47" t="s">
        <v>7842</v>
      </c>
      <c r="F312" s="47" t="s">
        <v>31</v>
      </c>
      <c r="G312" s="47" t="s">
        <v>200</v>
      </c>
      <c r="H312" s="47" t="str">
        <f t="shared" si="11"/>
        <v>KULGAM</v>
      </c>
      <c r="I312" s="55" t="s">
        <v>7860</v>
      </c>
      <c r="J312" s="48">
        <v>46023</v>
      </c>
      <c r="K312" s="47">
        <v>7006176206</v>
      </c>
      <c r="L312" s="47" t="s">
        <v>6570</v>
      </c>
      <c r="M312" s="49"/>
      <c r="N312" s="48"/>
      <c r="O312" s="47"/>
      <c r="P312" s="50"/>
      <c r="Q312" s="47"/>
      <c r="R312" s="47"/>
    </row>
    <row r="313" spans="1:18" x14ac:dyDescent="0.25">
      <c r="A313" s="47">
        <f t="shared" si="10"/>
        <v>312</v>
      </c>
      <c r="B313" s="47" t="s">
        <v>7843</v>
      </c>
      <c r="C313" s="47" t="s">
        <v>7844</v>
      </c>
      <c r="D313" s="47" t="s">
        <v>7845</v>
      </c>
      <c r="E313" s="47" t="s">
        <v>2915</v>
      </c>
      <c r="F313" s="47" t="s">
        <v>193</v>
      </c>
      <c r="G313" s="47" t="s">
        <v>6440</v>
      </c>
      <c r="H313" s="47" t="str">
        <f t="shared" si="11"/>
        <v>SRINAGAR</v>
      </c>
      <c r="I313" s="55" t="s">
        <v>7862</v>
      </c>
      <c r="J313" s="48">
        <v>46023</v>
      </c>
      <c r="K313" s="47">
        <v>9596187640</v>
      </c>
      <c r="L313" s="47" t="s">
        <v>48</v>
      </c>
      <c r="M313" s="49" t="s">
        <v>7774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0"/>
        <v>313</v>
      </c>
      <c r="B314" s="47" t="s">
        <v>7852</v>
      </c>
      <c r="C314" s="47" t="s">
        <v>7853</v>
      </c>
      <c r="D314" s="47" t="s">
        <v>7854</v>
      </c>
      <c r="E314" s="47" t="s">
        <v>7855</v>
      </c>
      <c r="F314" s="47" t="s">
        <v>7856</v>
      </c>
      <c r="G314" s="47" t="s">
        <v>181</v>
      </c>
      <c r="H314" s="47" t="str">
        <f t="shared" si="11"/>
        <v>SRINAGAR</v>
      </c>
      <c r="I314" s="55" t="s">
        <v>7861</v>
      </c>
      <c r="J314" s="48">
        <v>46023</v>
      </c>
      <c r="K314" s="47">
        <v>9622459354</v>
      </c>
      <c r="L314" s="47" t="s">
        <v>75</v>
      </c>
      <c r="M314" s="49" t="s">
        <v>7456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0"/>
        <v>314</v>
      </c>
      <c r="B315" s="47" t="s">
        <v>7857</v>
      </c>
      <c r="C315" s="47" t="s">
        <v>7858</v>
      </c>
      <c r="D315" s="47" t="s">
        <v>7859</v>
      </c>
      <c r="E315" s="47" t="s">
        <v>2841</v>
      </c>
      <c r="F315" s="47" t="s">
        <v>119</v>
      </c>
      <c r="G315" s="47" t="s">
        <v>200</v>
      </c>
      <c r="H315" s="47" t="str">
        <f t="shared" si="11"/>
        <v>BARAMULLA</v>
      </c>
      <c r="I315" s="55" t="s">
        <v>7867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0"/>
        <v>315</v>
      </c>
      <c r="B316" s="47" t="s">
        <v>7863</v>
      </c>
      <c r="C316" s="47" t="s">
        <v>7864</v>
      </c>
      <c r="D316" s="47" t="s">
        <v>7865</v>
      </c>
      <c r="E316" s="47" t="s">
        <v>7866</v>
      </c>
      <c r="F316" s="47" t="s">
        <v>12</v>
      </c>
      <c r="G316" s="47" t="s">
        <v>200</v>
      </c>
      <c r="H316" s="47" t="str">
        <f t="shared" si="11"/>
        <v>BARAMULLA</v>
      </c>
      <c r="I316" s="55" t="s">
        <v>7868</v>
      </c>
      <c r="J316" s="48">
        <v>46023</v>
      </c>
      <c r="K316" s="47">
        <v>9906759399</v>
      </c>
      <c r="L316" s="47" t="s">
        <v>6683</v>
      </c>
      <c r="M316" s="49"/>
      <c r="N316" s="48">
        <v>46327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0"/>
        <v>316</v>
      </c>
      <c r="B317" s="47" t="s">
        <v>7869</v>
      </c>
      <c r="C317" s="47" t="s">
        <v>7870</v>
      </c>
      <c r="D317" s="47" t="s">
        <v>7871</v>
      </c>
      <c r="E317" s="47" t="s">
        <v>7872</v>
      </c>
      <c r="F317" s="47" t="s">
        <v>119</v>
      </c>
      <c r="G317" s="47" t="s">
        <v>174</v>
      </c>
      <c r="H317" s="47" t="str">
        <f t="shared" si="11"/>
        <v>BUDGAM</v>
      </c>
      <c r="I317" s="55" t="s">
        <v>7880</v>
      </c>
      <c r="J317" s="48">
        <v>46023</v>
      </c>
      <c r="K317" s="47">
        <v>9596167274</v>
      </c>
      <c r="L317" s="47" t="s">
        <v>7873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0"/>
        <v>317</v>
      </c>
      <c r="B318" s="47" t="s">
        <v>7874</v>
      </c>
      <c r="C318" s="47" t="s">
        <v>7884</v>
      </c>
      <c r="D318" s="47" t="s">
        <v>7885</v>
      </c>
      <c r="E318" s="47" t="s">
        <v>7886</v>
      </c>
      <c r="F318" s="47" t="s">
        <v>31</v>
      </c>
      <c r="G318" s="47" t="s">
        <v>199</v>
      </c>
      <c r="H318" s="47" t="str">
        <f t="shared" si="11"/>
        <v>BUDGAM</v>
      </c>
      <c r="I318" s="47" t="s">
        <v>7879</v>
      </c>
      <c r="J318" s="48">
        <v>46023</v>
      </c>
      <c r="K318" s="47">
        <v>8082623899</v>
      </c>
      <c r="L318" s="47" t="s">
        <v>48</v>
      </c>
      <c r="M318" s="49" t="s">
        <v>7774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0"/>
        <v>318</v>
      </c>
      <c r="B319" s="47" t="s">
        <v>7875</v>
      </c>
      <c r="C319" s="47" t="s">
        <v>7876</v>
      </c>
      <c r="D319" s="47" t="s">
        <v>7877</v>
      </c>
      <c r="E319" s="47" t="s">
        <v>7878</v>
      </c>
      <c r="F319" s="47" t="s">
        <v>12</v>
      </c>
      <c r="G319" s="47" t="s">
        <v>181</v>
      </c>
      <c r="H319" s="47" t="str">
        <f t="shared" si="11"/>
        <v>SRINAGAR</v>
      </c>
      <c r="I319" s="47" t="s">
        <v>7892</v>
      </c>
      <c r="J319" s="48">
        <v>46023</v>
      </c>
      <c r="K319" s="47">
        <v>7889588496</v>
      </c>
      <c r="L319" s="47" t="s">
        <v>8243</v>
      </c>
      <c r="M319" s="49" t="s">
        <v>7774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0"/>
        <v>319</v>
      </c>
      <c r="B320" s="47" t="s">
        <v>7888</v>
      </c>
      <c r="C320" s="47" t="s">
        <v>7881</v>
      </c>
      <c r="D320" s="47" t="s">
        <v>7882</v>
      </c>
      <c r="E320" s="47" t="s">
        <v>7883</v>
      </c>
      <c r="F320" s="47" t="s">
        <v>290</v>
      </c>
      <c r="G320" s="47" t="s">
        <v>200</v>
      </c>
      <c r="H320" s="47" t="str">
        <f t="shared" si="11"/>
        <v>SRINAGAR</v>
      </c>
      <c r="I320" s="47" t="s">
        <v>7893</v>
      </c>
      <c r="J320" s="48">
        <v>46023</v>
      </c>
      <c r="K320" s="47">
        <v>7006759527</v>
      </c>
      <c r="L320" s="47" t="s">
        <v>8242</v>
      </c>
      <c r="M320" s="49"/>
      <c r="N320" s="48"/>
      <c r="O320" s="47"/>
      <c r="P320" s="50"/>
      <c r="Q320" s="47"/>
      <c r="R320" s="47" t="s">
        <v>7942</v>
      </c>
    </row>
    <row r="321" spans="1:18" x14ac:dyDescent="0.25">
      <c r="A321" s="47">
        <f t="shared" si="10"/>
        <v>320</v>
      </c>
      <c r="B321" s="47" t="s">
        <v>7887</v>
      </c>
      <c r="C321" s="47" t="s">
        <v>7889</v>
      </c>
      <c r="D321" s="47" t="s">
        <v>7890</v>
      </c>
      <c r="E321" s="47" t="s">
        <v>7891</v>
      </c>
      <c r="F321" s="47" t="s">
        <v>633</v>
      </c>
      <c r="G321" s="47" t="s">
        <v>199</v>
      </c>
      <c r="H321" s="47" t="str">
        <f t="shared" si="11"/>
        <v>SRINAGAR</v>
      </c>
      <c r="I321" s="47" t="s">
        <v>7894</v>
      </c>
      <c r="J321" s="48">
        <v>46023</v>
      </c>
      <c r="K321" s="47">
        <v>7006616090</v>
      </c>
      <c r="L321" s="47" t="s">
        <v>2248</v>
      </c>
      <c r="M321" s="49" t="s">
        <v>8165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0"/>
        <v>321</v>
      </c>
      <c r="B322" s="47" t="s">
        <v>7898</v>
      </c>
      <c r="C322" s="47" t="s">
        <v>7896</v>
      </c>
      <c r="D322" s="47" t="s">
        <v>7897</v>
      </c>
      <c r="E322" s="47" t="s">
        <v>658</v>
      </c>
      <c r="F322" s="47" t="s">
        <v>119</v>
      </c>
      <c r="G322" s="47" t="s">
        <v>174</v>
      </c>
      <c r="H322" s="47" t="str">
        <f t="shared" si="11"/>
        <v>BARAMULLA</v>
      </c>
      <c r="I322" s="47" t="s">
        <v>7927</v>
      </c>
      <c r="J322" s="48">
        <v>46024</v>
      </c>
      <c r="K322" s="47">
        <v>7006898324</v>
      </c>
      <c r="L322" s="47" t="s">
        <v>2172</v>
      </c>
      <c r="M322" s="49" t="s">
        <v>7717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0"/>
        <v>322</v>
      </c>
      <c r="B323" s="47" t="s">
        <v>7902</v>
      </c>
      <c r="C323" s="47" t="s">
        <v>7899</v>
      </c>
      <c r="D323" s="47" t="s">
        <v>7900</v>
      </c>
      <c r="E323" s="47" t="s">
        <v>7901</v>
      </c>
      <c r="F323" s="47" t="s">
        <v>119</v>
      </c>
      <c r="G323" s="47" t="s">
        <v>200</v>
      </c>
      <c r="H323" s="47" t="str">
        <f t="shared" si="11"/>
        <v>SRINAGAR</v>
      </c>
      <c r="I323" s="47" t="s">
        <v>7924</v>
      </c>
      <c r="J323" s="48">
        <v>46024</v>
      </c>
      <c r="K323" s="47">
        <v>9149638830</v>
      </c>
      <c r="L323" s="47" t="s">
        <v>2248</v>
      </c>
      <c r="M323" s="49" t="s">
        <v>8165</v>
      </c>
      <c r="N323" s="48">
        <v>46029</v>
      </c>
      <c r="O323" s="47" t="s">
        <v>23</v>
      </c>
      <c r="P323" s="50">
        <v>46029</v>
      </c>
      <c r="Q323" s="47" t="s">
        <v>8168</v>
      </c>
      <c r="R323" s="47"/>
    </row>
    <row r="324" spans="1:18" x14ac:dyDescent="0.25">
      <c r="A324" s="47">
        <f t="shared" si="10"/>
        <v>323</v>
      </c>
      <c r="B324" s="47" t="s">
        <v>7903</v>
      </c>
      <c r="C324" s="47" t="s">
        <v>7920</v>
      </c>
      <c r="D324" s="47" t="s">
        <v>7921</v>
      </c>
      <c r="E324" s="47" t="s">
        <v>7922</v>
      </c>
      <c r="F324" s="47" t="s">
        <v>5</v>
      </c>
      <c r="G324" s="47" t="s">
        <v>199</v>
      </c>
      <c r="H324" s="47" t="str">
        <f t="shared" si="11"/>
        <v>BANDIPORA</v>
      </c>
      <c r="I324" s="47" t="s">
        <v>7923</v>
      </c>
      <c r="J324" s="48">
        <v>46024</v>
      </c>
      <c r="K324" s="47">
        <v>9906605048</v>
      </c>
      <c r="L324" s="47" t="s">
        <v>307</v>
      </c>
      <c r="M324" s="49" t="s">
        <v>8094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0"/>
        <v>324</v>
      </c>
      <c r="B325" s="47" t="s">
        <v>7904</v>
      </c>
      <c r="C325" s="47" t="s">
        <v>7905</v>
      </c>
      <c r="D325" s="47" t="s">
        <v>7906</v>
      </c>
      <c r="E325" s="47" t="s">
        <v>7907</v>
      </c>
      <c r="F325" s="47" t="s">
        <v>100</v>
      </c>
      <c r="G325" s="47" t="s">
        <v>200</v>
      </c>
      <c r="H325" s="47" t="str">
        <f t="shared" si="11"/>
        <v>SRINAGAR</v>
      </c>
      <c r="I325" s="47" t="s">
        <v>7926</v>
      </c>
      <c r="J325" s="48">
        <v>46024</v>
      </c>
      <c r="K325" s="47">
        <v>9906473272</v>
      </c>
      <c r="L325" s="47" t="s">
        <v>70</v>
      </c>
      <c r="M325" s="49" t="s">
        <v>8225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0"/>
        <v>325</v>
      </c>
      <c r="B326" s="47" t="s">
        <v>7908</v>
      </c>
      <c r="C326" s="47" t="s">
        <v>7909</v>
      </c>
      <c r="D326" s="47" t="s">
        <v>7910</v>
      </c>
      <c r="E326" s="47" t="s">
        <v>7911</v>
      </c>
      <c r="F326" s="47" t="s">
        <v>119</v>
      </c>
      <c r="G326" s="47" t="s">
        <v>200</v>
      </c>
      <c r="H326" s="47" t="str">
        <f t="shared" si="11"/>
        <v>SRINAGAR</v>
      </c>
      <c r="I326" s="47" t="s">
        <v>7925</v>
      </c>
      <c r="J326" s="48">
        <v>46024</v>
      </c>
      <c r="K326" s="47">
        <v>9906786675</v>
      </c>
      <c r="L326" s="47" t="s">
        <v>70</v>
      </c>
      <c r="M326" s="49" t="s">
        <v>7618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0"/>
        <v>326</v>
      </c>
      <c r="B327" s="47" t="s">
        <v>7912</v>
      </c>
      <c r="C327" s="47" t="s">
        <v>7913</v>
      </c>
      <c r="D327" s="47" t="s">
        <v>7914</v>
      </c>
      <c r="E327" s="47" t="s">
        <v>7915</v>
      </c>
      <c r="F327" s="47" t="s">
        <v>486</v>
      </c>
      <c r="G327" s="47" t="s">
        <v>199</v>
      </c>
      <c r="H327" s="47" t="str">
        <f t="shared" si="11"/>
        <v>SHOPIAN</v>
      </c>
      <c r="I327" s="47" t="s">
        <v>7956</v>
      </c>
      <c r="J327" s="48">
        <v>46024</v>
      </c>
      <c r="K327" s="47">
        <v>7780943149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ref="A328:A371" si="12">ROW()-1</f>
        <v>327</v>
      </c>
      <c r="B328" s="47" t="s">
        <v>7916</v>
      </c>
      <c r="C328" s="47" t="s">
        <v>7917</v>
      </c>
      <c r="D328" s="47" t="s">
        <v>7918</v>
      </c>
      <c r="E328" s="47" t="s">
        <v>7919</v>
      </c>
      <c r="F328" s="47" t="s">
        <v>119</v>
      </c>
      <c r="G328" s="47" t="s">
        <v>200</v>
      </c>
      <c r="H328" s="47" t="str">
        <f t="shared" ref="H328:H391" si="13">IF(LEFT(I328,4)="JK13","PULWAMA",IF(LEFT(I328,4)="JK01","SRINAGAR",IF(LEFT(I328,4)="JK04","BUDGAM",IF(LEFT(I328,4)="JK03","ANANTNAG",IF(LEFT(I328,4)="JK05","BARAMULLA",IF(LEFT(I328,4)="26BH","BHARAT",IF(LEFT(I328,4)="25BH","BHARAT",IF(LEFT(I328,4)="JK12","POONCH",IF(LEFT(I328,4)="JK18","KULGAM",IF(LEFT(I328,4)="JK22","SHOPIAN",IF(LEFT(I328,4)="T102","TEMP",IF(LEFT(I328,4)="JK09","KUPWARA",IF(LEFT(I328,4)="JK15","BANDIPORA",IF(LEFT(I328,4)="JK17","KISHTWAR",IF(LEFT(I328,4)="T112","KARGIL","NEW")))))))))))))))</f>
        <v>ANANTNAG</v>
      </c>
      <c r="I328" s="47" t="s">
        <v>8015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2"/>
        <v>328</v>
      </c>
      <c r="B329" s="47" t="s">
        <v>8042</v>
      </c>
      <c r="C329" s="47" t="s">
        <v>8040</v>
      </c>
      <c r="D329" s="47" t="s">
        <v>8041</v>
      </c>
      <c r="E329" s="47" t="s">
        <v>556</v>
      </c>
      <c r="F329" s="47" t="s">
        <v>119</v>
      </c>
      <c r="G329" s="47" t="s">
        <v>200</v>
      </c>
      <c r="H329" s="47" t="str">
        <f t="shared" si="13"/>
        <v>PULWAMA</v>
      </c>
      <c r="I329" s="47" t="s">
        <v>8083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2"/>
        <v>329</v>
      </c>
      <c r="B330" s="47" t="s">
        <v>7935</v>
      </c>
      <c r="C330" s="47" t="s">
        <v>7931</v>
      </c>
      <c r="D330" s="47" t="s">
        <v>7932</v>
      </c>
      <c r="E330" s="47" t="s">
        <v>7933</v>
      </c>
      <c r="F330" s="47" t="s">
        <v>5</v>
      </c>
      <c r="G330" s="47" t="s">
        <v>200</v>
      </c>
      <c r="H330" s="47" t="str">
        <f t="shared" si="13"/>
        <v>SRINAGAR</v>
      </c>
      <c r="I330" s="47" t="s">
        <v>7934</v>
      </c>
      <c r="J330" s="48">
        <v>46024</v>
      </c>
      <c r="K330" s="47">
        <v>7006197341</v>
      </c>
      <c r="L330" s="47" t="s">
        <v>1126</v>
      </c>
      <c r="M330" s="49" t="s">
        <v>7776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2"/>
        <v>330</v>
      </c>
      <c r="B331" s="47" t="s">
        <v>7943</v>
      </c>
      <c r="C331" s="47" t="s">
        <v>7944</v>
      </c>
      <c r="D331" s="47" t="s">
        <v>7945</v>
      </c>
      <c r="E331" s="47" t="s">
        <v>7946</v>
      </c>
      <c r="F331" s="47" t="s">
        <v>12</v>
      </c>
      <c r="G331" s="47" t="s">
        <v>181</v>
      </c>
      <c r="H331" s="47" t="str">
        <f t="shared" si="13"/>
        <v>SRINAGAR</v>
      </c>
      <c r="I331" s="47" t="s">
        <v>7999</v>
      </c>
      <c r="J331" s="48">
        <v>46024</v>
      </c>
      <c r="K331" s="47">
        <v>9906730950</v>
      </c>
      <c r="L331" s="47" t="s">
        <v>194</v>
      </c>
      <c r="M331" s="49" t="s">
        <v>7596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2"/>
        <v>331</v>
      </c>
      <c r="B332" s="47" t="s">
        <v>7947</v>
      </c>
      <c r="C332" s="47" t="s">
        <v>7948</v>
      </c>
      <c r="D332" s="47" t="s">
        <v>7949</v>
      </c>
      <c r="E332" s="47" t="s">
        <v>7950</v>
      </c>
      <c r="F332" s="47" t="s">
        <v>31</v>
      </c>
      <c r="G332" s="47" t="s">
        <v>200</v>
      </c>
      <c r="H332" s="47" t="str">
        <f t="shared" si="13"/>
        <v>SRINAGAR</v>
      </c>
      <c r="I332" s="47" t="s">
        <v>8016</v>
      </c>
      <c r="J332" s="48">
        <v>46024</v>
      </c>
      <c r="K332" s="47">
        <v>9419004025</v>
      </c>
      <c r="L332" s="47" t="s">
        <v>6833</v>
      </c>
      <c r="M332" s="49" t="s">
        <v>8238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2"/>
        <v>332</v>
      </c>
      <c r="B333" s="47" t="s">
        <v>7951</v>
      </c>
      <c r="C333" s="47" t="s">
        <v>7952</v>
      </c>
      <c r="D333" s="47" t="s">
        <v>7953</v>
      </c>
      <c r="E333" s="47" t="s">
        <v>7954</v>
      </c>
      <c r="F333" s="47" t="s">
        <v>5</v>
      </c>
      <c r="G333" s="47" t="s">
        <v>199</v>
      </c>
      <c r="H333" s="47" t="str">
        <f t="shared" si="13"/>
        <v>SHOPIAN</v>
      </c>
      <c r="I333" s="48" t="s">
        <v>8014</v>
      </c>
      <c r="J333" s="48">
        <v>46025</v>
      </c>
      <c r="K333" s="47">
        <v>7006820710</v>
      </c>
      <c r="L333" s="47" t="s">
        <v>6570</v>
      </c>
      <c r="M333" s="49"/>
      <c r="N333" s="48">
        <v>46347</v>
      </c>
      <c r="O333" s="47"/>
      <c r="P333" s="50"/>
      <c r="Q333" s="47"/>
      <c r="R333" s="47"/>
    </row>
    <row r="334" spans="1:18" x14ac:dyDescent="0.25">
      <c r="A334" s="47">
        <f t="shared" si="12"/>
        <v>333</v>
      </c>
      <c r="B334" s="47" t="s">
        <v>7962</v>
      </c>
      <c r="C334" s="47" t="s">
        <v>7957</v>
      </c>
      <c r="D334" s="47" t="s">
        <v>7958</v>
      </c>
      <c r="E334" s="47" t="s">
        <v>7959</v>
      </c>
      <c r="F334" s="47" t="s">
        <v>119</v>
      </c>
      <c r="G334" s="47" t="s">
        <v>200</v>
      </c>
      <c r="H334" s="47" t="str">
        <f t="shared" si="13"/>
        <v>PULWAMA</v>
      </c>
      <c r="I334" s="47" t="s">
        <v>7961</v>
      </c>
      <c r="J334" s="48">
        <v>46025</v>
      </c>
      <c r="K334" s="47">
        <v>9682505719</v>
      </c>
      <c r="L334" s="47" t="s">
        <v>7960</v>
      </c>
      <c r="M334" s="49"/>
      <c r="N334" s="48"/>
      <c r="O334" s="47"/>
      <c r="P334" s="50"/>
      <c r="Q334" s="47"/>
      <c r="R334" s="47"/>
    </row>
    <row r="335" spans="1:18" x14ac:dyDescent="0.25">
      <c r="A335" s="47">
        <f t="shared" si="12"/>
        <v>334</v>
      </c>
      <c r="B335" s="47" t="s">
        <v>8059</v>
      </c>
      <c r="C335" s="47" t="s">
        <v>8056</v>
      </c>
      <c r="D335" s="47" t="s">
        <v>8057</v>
      </c>
      <c r="E335" s="47" t="s">
        <v>8058</v>
      </c>
      <c r="F335" s="47" t="s">
        <v>12</v>
      </c>
      <c r="G335" s="47" t="s">
        <v>200</v>
      </c>
      <c r="H335" s="47" t="str">
        <f t="shared" si="13"/>
        <v>PULWAMA</v>
      </c>
      <c r="I335" s="47" t="s">
        <v>8084</v>
      </c>
      <c r="J335" s="48">
        <v>46027</v>
      </c>
      <c r="K335" s="47">
        <v>7298487838</v>
      </c>
      <c r="L335" s="47" t="s">
        <v>6521</v>
      </c>
      <c r="M335" s="49"/>
      <c r="N335" s="48">
        <v>46337</v>
      </c>
      <c r="O335" s="47"/>
      <c r="P335" s="50"/>
      <c r="Q335" s="47"/>
      <c r="R335" s="47"/>
    </row>
    <row r="336" spans="1:18" x14ac:dyDescent="0.25">
      <c r="A336" s="47">
        <f t="shared" si="12"/>
        <v>335</v>
      </c>
      <c r="B336" s="47" t="s">
        <v>7971</v>
      </c>
      <c r="C336" s="47" t="s">
        <v>7968</v>
      </c>
      <c r="D336" s="47" t="s">
        <v>7969</v>
      </c>
      <c r="E336" s="47" t="s">
        <v>7970</v>
      </c>
      <c r="F336" s="47" t="s">
        <v>5</v>
      </c>
      <c r="G336" s="47" t="s">
        <v>199</v>
      </c>
      <c r="H336" s="47" t="str">
        <f t="shared" si="13"/>
        <v>SHOPIAN</v>
      </c>
      <c r="I336" s="47" t="s">
        <v>7977</v>
      </c>
      <c r="J336" s="48">
        <v>46025</v>
      </c>
      <c r="K336" s="47">
        <v>9103275011</v>
      </c>
      <c r="L336" s="47" t="s">
        <v>6570</v>
      </c>
      <c r="M336" s="49" t="s">
        <v>8229</v>
      </c>
      <c r="N336" s="48">
        <v>46034</v>
      </c>
      <c r="O336" s="47"/>
      <c r="P336" s="50"/>
      <c r="Q336" s="47"/>
      <c r="R336" s="47"/>
    </row>
    <row r="337" spans="1:18" x14ac:dyDescent="0.25">
      <c r="A337" s="47">
        <f t="shared" si="12"/>
        <v>336</v>
      </c>
      <c r="B337" s="47" t="s">
        <v>7978</v>
      </c>
      <c r="C337" s="47" t="s">
        <v>7972</v>
      </c>
      <c r="D337" s="47" t="s">
        <v>7973</v>
      </c>
      <c r="E337" s="47" t="s">
        <v>7974</v>
      </c>
      <c r="F337" s="47" t="s">
        <v>7975</v>
      </c>
      <c r="G337" s="47" t="s">
        <v>200</v>
      </c>
      <c r="H337" s="47" t="str">
        <f t="shared" si="13"/>
        <v>SRINAGAR</v>
      </c>
      <c r="I337" s="47" t="s">
        <v>7976</v>
      </c>
      <c r="J337" s="48">
        <v>46025</v>
      </c>
      <c r="K337" s="47">
        <v>9149592772</v>
      </c>
      <c r="L337" s="47" t="s">
        <v>194</v>
      </c>
      <c r="M337" s="49" t="s">
        <v>7596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2"/>
        <v>337</v>
      </c>
      <c r="B338" s="47" t="s">
        <v>7982</v>
      </c>
      <c r="C338" s="47" t="s">
        <v>7979</v>
      </c>
      <c r="D338" s="47" t="s">
        <v>7980</v>
      </c>
      <c r="E338" s="47" t="s">
        <v>7981</v>
      </c>
      <c r="F338" s="47" t="s">
        <v>290</v>
      </c>
      <c r="G338" s="47" t="s">
        <v>200</v>
      </c>
      <c r="H338" s="47" t="str">
        <f t="shared" si="13"/>
        <v>SRINAGAR</v>
      </c>
      <c r="I338" s="47" t="s">
        <v>7983</v>
      </c>
      <c r="J338" s="48">
        <v>46025</v>
      </c>
      <c r="K338" s="47">
        <v>9149592772</v>
      </c>
      <c r="L338" s="47" t="s">
        <v>48</v>
      </c>
      <c r="M338" s="49" t="s">
        <v>7774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2"/>
        <v>338</v>
      </c>
      <c r="B339" s="47" t="s">
        <v>7986</v>
      </c>
      <c r="C339" s="47" t="s">
        <v>7984</v>
      </c>
      <c r="D339" s="47" t="s">
        <v>7985</v>
      </c>
      <c r="E339" s="47" t="s">
        <v>4284</v>
      </c>
      <c r="F339" s="47" t="s">
        <v>193</v>
      </c>
      <c r="G339" s="47" t="s">
        <v>199</v>
      </c>
      <c r="H339" s="47" t="str">
        <f t="shared" si="13"/>
        <v>SRINAGAR</v>
      </c>
      <c r="I339" s="47" t="s">
        <v>7987</v>
      </c>
      <c r="J339" s="48">
        <v>46025</v>
      </c>
      <c r="K339" s="47">
        <v>8899926488</v>
      </c>
      <c r="L339" s="47" t="s">
        <v>106</v>
      </c>
      <c r="M339" s="49" t="s">
        <v>7602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2"/>
        <v>339</v>
      </c>
      <c r="B340" s="47" t="s">
        <v>7991</v>
      </c>
      <c r="C340" s="47" t="s">
        <v>7988</v>
      </c>
      <c r="D340" s="47" t="s">
        <v>7989</v>
      </c>
      <c r="E340" s="47" t="s">
        <v>7990</v>
      </c>
      <c r="F340" s="47" t="s">
        <v>31</v>
      </c>
      <c r="G340" s="47" t="s">
        <v>175</v>
      </c>
      <c r="H340" s="47" t="str">
        <f t="shared" si="13"/>
        <v>SRINAGAR</v>
      </c>
      <c r="I340" s="47" t="s">
        <v>7992</v>
      </c>
      <c r="J340" s="48">
        <v>46025</v>
      </c>
      <c r="K340" s="47">
        <v>9596382727</v>
      </c>
      <c r="L340" s="47" t="s">
        <v>106</v>
      </c>
      <c r="M340" s="49" t="s">
        <v>7602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2"/>
        <v>340</v>
      </c>
      <c r="B341" s="47" t="s">
        <v>7997</v>
      </c>
      <c r="C341" s="47" t="s">
        <v>7993</v>
      </c>
      <c r="D341" s="47" t="s">
        <v>7994</v>
      </c>
      <c r="E341" s="47" t="s">
        <v>7995</v>
      </c>
      <c r="F341" s="47" t="s">
        <v>31</v>
      </c>
      <c r="G341" s="47" t="s">
        <v>175</v>
      </c>
      <c r="H341" s="47" t="str">
        <f t="shared" si="13"/>
        <v>SRINAGAR</v>
      </c>
      <c r="I341" s="47" t="s">
        <v>7996</v>
      </c>
      <c r="J341" s="48">
        <v>46025</v>
      </c>
      <c r="K341" s="47">
        <v>9906863125</v>
      </c>
      <c r="L341" s="47" t="s">
        <v>2172</v>
      </c>
      <c r="M341" s="49" t="s">
        <v>7715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2"/>
        <v>341</v>
      </c>
      <c r="B342" s="47" t="s">
        <v>7998</v>
      </c>
      <c r="C342" s="47" t="s">
        <v>8000</v>
      </c>
      <c r="D342" s="47" t="s">
        <v>8001</v>
      </c>
      <c r="E342" s="47" t="s">
        <v>8002</v>
      </c>
      <c r="F342" s="47" t="s">
        <v>125</v>
      </c>
      <c r="G342" s="47" t="s">
        <v>174</v>
      </c>
      <c r="H342" s="47" t="str">
        <f t="shared" si="13"/>
        <v>SRINAGAR</v>
      </c>
      <c r="I342" s="47" t="s">
        <v>8003</v>
      </c>
      <c r="J342" s="48">
        <v>46025</v>
      </c>
      <c r="K342" s="47">
        <v>9419004044</v>
      </c>
      <c r="L342" s="47" t="s">
        <v>48</v>
      </c>
      <c r="M342" s="49" t="s">
        <v>7776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2"/>
        <v>342</v>
      </c>
      <c r="B343" s="47" t="s">
        <v>8004</v>
      </c>
      <c r="C343" s="47" t="s">
        <v>8005</v>
      </c>
      <c r="D343" s="47" t="s">
        <v>8006</v>
      </c>
      <c r="E343" s="47" t="s">
        <v>8007</v>
      </c>
      <c r="F343" s="47" t="s">
        <v>31</v>
      </c>
      <c r="G343" s="47" t="s">
        <v>199</v>
      </c>
      <c r="H343" s="47" t="str">
        <f t="shared" si="13"/>
        <v>SRINAGAR</v>
      </c>
      <c r="I343" s="47" t="s">
        <v>8008</v>
      </c>
      <c r="J343" s="48">
        <v>46025</v>
      </c>
      <c r="K343" s="47">
        <v>7889441591</v>
      </c>
      <c r="L343" s="47" t="s">
        <v>110</v>
      </c>
      <c r="M343" s="49" t="s">
        <v>8229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2"/>
        <v>343</v>
      </c>
      <c r="B344" s="47" t="s">
        <v>8009</v>
      </c>
      <c r="C344" s="47" t="s">
        <v>8010</v>
      </c>
      <c r="D344" s="47" t="s">
        <v>8012</v>
      </c>
      <c r="E344" s="47" t="s">
        <v>8011</v>
      </c>
      <c r="F344" s="47" t="s">
        <v>119</v>
      </c>
      <c r="G344" s="47" t="s">
        <v>174</v>
      </c>
      <c r="H344" s="47" t="str">
        <f t="shared" si="13"/>
        <v>SRINAGAR</v>
      </c>
      <c r="I344" s="47" t="s">
        <v>8013</v>
      </c>
      <c r="J344" s="48">
        <v>46025</v>
      </c>
      <c r="K344" s="47">
        <v>7006441266</v>
      </c>
      <c r="L344" s="47" t="s">
        <v>43</v>
      </c>
      <c r="M344" s="49" t="s">
        <v>7618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2"/>
        <v>344</v>
      </c>
      <c r="B345" s="47" t="s">
        <v>8019</v>
      </c>
      <c r="C345" s="47" t="s">
        <v>8020</v>
      </c>
      <c r="D345" s="47" t="s">
        <v>8021</v>
      </c>
      <c r="E345" s="47" t="s">
        <v>5417</v>
      </c>
      <c r="F345" s="47" t="s">
        <v>12</v>
      </c>
      <c r="G345" s="47" t="s">
        <v>181</v>
      </c>
      <c r="H345" s="47" t="str">
        <f t="shared" si="13"/>
        <v>ANANTNAG</v>
      </c>
      <c r="I345" s="47" t="s">
        <v>8031</v>
      </c>
      <c r="J345" s="48">
        <v>46025</v>
      </c>
      <c r="K345" s="47">
        <v>7889730611</v>
      </c>
      <c r="L345" s="47" t="s">
        <v>6540</v>
      </c>
      <c r="M345" s="49" t="s">
        <v>7617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2"/>
        <v>345</v>
      </c>
      <c r="B346" s="47" t="s">
        <v>8025</v>
      </c>
      <c r="C346" s="47" t="s">
        <v>8022</v>
      </c>
      <c r="D346" s="47" t="s">
        <v>8023</v>
      </c>
      <c r="E346" s="47" t="s">
        <v>8024</v>
      </c>
      <c r="F346" s="47" t="s">
        <v>12</v>
      </c>
      <c r="G346" s="47" t="s">
        <v>200</v>
      </c>
      <c r="H346" s="47" t="str">
        <f t="shared" si="13"/>
        <v>KUPWARA</v>
      </c>
      <c r="I346" s="47" t="s">
        <v>8026</v>
      </c>
      <c r="J346" s="48">
        <v>46025</v>
      </c>
      <c r="K346" s="47">
        <v>6005210447</v>
      </c>
      <c r="L346" s="47" t="s">
        <v>2248</v>
      </c>
      <c r="M346" s="49" t="s">
        <v>7618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2"/>
        <v>346</v>
      </c>
      <c r="B347" s="47" t="s">
        <v>7482</v>
      </c>
      <c r="C347" s="47" t="s">
        <v>7474</v>
      </c>
      <c r="D347" s="47" t="s">
        <v>7497</v>
      </c>
      <c r="E347" s="47" t="s">
        <v>7466</v>
      </c>
      <c r="F347" s="47" t="s">
        <v>7486</v>
      </c>
      <c r="G347" s="47" t="s">
        <v>199</v>
      </c>
      <c r="H347" s="47" t="str">
        <f t="shared" si="13"/>
        <v>SRINAGAR</v>
      </c>
      <c r="I347" s="47" t="s">
        <v>7492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2"/>
        <v>347</v>
      </c>
      <c r="B348" s="47" t="s">
        <v>8035</v>
      </c>
      <c r="C348" s="47" t="s">
        <v>8033</v>
      </c>
      <c r="D348" s="47" t="s">
        <v>8034</v>
      </c>
      <c r="E348" s="47" t="s">
        <v>6433</v>
      </c>
      <c r="F348" s="47" t="s">
        <v>7402</v>
      </c>
      <c r="G348" s="47" t="s">
        <v>200</v>
      </c>
      <c r="H348" s="47" t="str">
        <f t="shared" si="13"/>
        <v>BARAMULLA</v>
      </c>
      <c r="I348" s="47" t="s">
        <v>8081</v>
      </c>
      <c r="J348" s="48">
        <v>46027</v>
      </c>
      <c r="K348" s="47">
        <v>7298545112</v>
      </c>
      <c r="L348" s="47" t="s">
        <v>26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2"/>
        <v>348</v>
      </c>
      <c r="B349" s="47" t="s">
        <v>8039</v>
      </c>
      <c r="C349" s="47" t="s">
        <v>8036</v>
      </c>
      <c r="D349" s="47" t="s">
        <v>8037</v>
      </c>
      <c r="E349" s="47" t="s">
        <v>8038</v>
      </c>
      <c r="F349" s="47" t="s">
        <v>102</v>
      </c>
      <c r="G349" s="47" t="s">
        <v>181</v>
      </c>
      <c r="H349" s="47" t="str">
        <f t="shared" si="13"/>
        <v>NEW</v>
      </c>
      <c r="I349" s="47" t="s">
        <v>8082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2"/>
        <v>349</v>
      </c>
      <c r="B350" s="47" t="s">
        <v>8068</v>
      </c>
      <c r="C350" s="47" t="s">
        <v>8069</v>
      </c>
      <c r="D350" s="47" t="s">
        <v>8070</v>
      </c>
      <c r="E350" s="47" t="s">
        <v>8071</v>
      </c>
      <c r="F350" s="47" t="s">
        <v>5</v>
      </c>
      <c r="G350" s="47" t="s">
        <v>200</v>
      </c>
      <c r="H350" s="47" t="str">
        <f t="shared" si="13"/>
        <v>PULWAMA</v>
      </c>
      <c r="I350" s="47" t="s">
        <v>8085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8093</v>
      </c>
    </row>
    <row r="351" spans="1:18" x14ac:dyDescent="0.25">
      <c r="A351" s="47">
        <f t="shared" si="12"/>
        <v>350</v>
      </c>
      <c r="B351" s="47" t="s">
        <v>8046</v>
      </c>
      <c r="C351" s="47" t="s">
        <v>8043</v>
      </c>
      <c r="D351" s="47" t="s">
        <v>8044</v>
      </c>
      <c r="E351" s="47" t="s">
        <v>8045</v>
      </c>
      <c r="F351" s="47" t="s">
        <v>31</v>
      </c>
      <c r="G351" s="47" t="s">
        <v>199</v>
      </c>
      <c r="H351" s="47" t="str">
        <f t="shared" si="13"/>
        <v>NEW</v>
      </c>
      <c r="I351" s="47" t="s">
        <v>8086</v>
      </c>
      <c r="J351" s="48">
        <v>46027</v>
      </c>
      <c r="K351" s="47">
        <v>9906284454</v>
      </c>
      <c r="L351" s="47" t="s">
        <v>2172</v>
      </c>
      <c r="M351" s="49" t="s">
        <v>8165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2"/>
        <v>351</v>
      </c>
      <c r="B352" s="47" t="s">
        <v>8047</v>
      </c>
      <c r="C352" s="47" t="s">
        <v>8048</v>
      </c>
      <c r="D352" s="47" t="s">
        <v>8049</v>
      </c>
      <c r="E352" s="47" t="s">
        <v>8050</v>
      </c>
      <c r="F352" s="47" t="s">
        <v>119</v>
      </c>
      <c r="G352" s="47" t="s">
        <v>175</v>
      </c>
      <c r="H352" s="47" t="str">
        <f t="shared" si="13"/>
        <v>SRINAGAR</v>
      </c>
      <c r="I352" s="47" t="s">
        <v>8091</v>
      </c>
      <c r="J352" s="48">
        <v>46027</v>
      </c>
      <c r="K352" s="47">
        <v>9070111588</v>
      </c>
      <c r="L352" s="47" t="s">
        <v>194</v>
      </c>
      <c r="M352" s="49" t="s">
        <v>7596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2"/>
        <v>352</v>
      </c>
      <c r="B353" s="47" t="s">
        <v>8051</v>
      </c>
      <c r="C353" s="47" t="s">
        <v>8052</v>
      </c>
      <c r="D353" s="47" t="s">
        <v>8053</v>
      </c>
      <c r="E353" s="47" t="s">
        <v>8054</v>
      </c>
      <c r="F353" s="47" t="s">
        <v>8055</v>
      </c>
      <c r="G353" s="47" t="s">
        <v>226</v>
      </c>
      <c r="H353" s="47" t="str">
        <f t="shared" si="13"/>
        <v>SRINAGAR</v>
      </c>
      <c r="I353" s="47" t="s">
        <v>8090</v>
      </c>
      <c r="J353" s="48">
        <v>46027</v>
      </c>
      <c r="K353" s="47">
        <v>9797897619</v>
      </c>
      <c r="L353" s="47" t="s">
        <v>26</v>
      </c>
      <c r="M353" s="49" t="s">
        <v>7456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2"/>
        <v>353</v>
      </c>
      <c r="B354" s="47" t="s">
        <v>7603</v>
      </c>
      <c r="C354" s="47" t="s">
        <v>7604</v>
      </c>
      <c r="D354" s="47" t="s">
        <v>7605</v>
      </c>
      <c r="E354" s="47" t="s">
        <v>7606</v>
      </c>
      <c r="F354" s="47" t="s">
        <v>31</v>
      </c>
      <c r="G354" s="47" t="s">
        <v>174</v>
      </c>
      <c r="H354" s="47" t="str">
        <f t="shared" si="13"/>
        <v>SHOPIAN</v>
      </c>
      <c r="I354" s="48" t="s">
        <v>7611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2"/>
        <v>354</v>
      </c>
      <c r="B355" s="47" t="s">
        <v>8060</v>
      </c>
      <c r="C355" s="47" t="s">
        <v>8061</v>
      </c>
      <c r="D355" s="47" t="s">
        <v>8062</v>
      </c>
      <c r="E355" s="47" t="s">
        <v>8063</v>
      </c>
      <c r="F355" s="47" t="s">
        <v>31</v>
      </c>
      <c r="G355" s="47" t="s">
        <v>221</v>
      </c>
      <c r="H355" s="47" t="str">
        <f t="shared" si="13"/>
        <v>SRINAGAR</v>
      </c>
      <c r="I355" s="47" t="s">
        <v>8087</v>
      </c>
      <c r="J355" s="48">
        <v>46027</v>
      </c>
      <c r="K355" s="47">
        <v>9070599346</v>
      </c>
      <c r="L355" s="47" t="s">
        <v>166</v>
      </c>
      <c r="M355" s="49" t="s">
        <v>7673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2"/>
        <v>355</v>
      </c>
      <c r="B356" s="47" t="s">
        <v>8064</v>
      </c>
      <c r="C356" s="47" t="s">
        <v>8065</v>
      </c>
      <c r="D356" s="47" t="s">
        <v>8066</v>
      </c>
      <c r="E356" s="47" t="s">
        <v>8067</v>
      </c>
      <c r="F356" s="47" t="s">
        <v>119</v>
      </c>
      <c r="G356" s="47" t="s">
        <v>200</v>
      </c>
      <c r="H356" s="47" t="str">
        <f t="shared" si="13"/>
        <v>SHOPIAN</v>
      </c>
      <c r="I356" s="47" t="s">
        <v>8089</v>
      </c>
      <c r="J356" s="48">
        <v>46027</v>
      </c>
      <c r="K356" s="47">
        <v>9797071432</v>
      </c>
      <c r="L356" s="47" t="s">
        <v>6540</v>
      </c>
      <c r="M356" s="49" t="s">
        <v>7617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8124</v>
      </c>
    </row>
    <row r="357" spans="1:18" x14ac:dyDescent="0.25">
      <c r="A357" s="47">
        <f t="shared" si="12"/>
        <v>356</v>
      </c>
      <c r="B357" s="47" t="s">
        <v>7936</v>
      </c>
      <c r="C357" s="47" t="s">
        <v>7928</v>
      </c>
      <c r="D357" s="47" t="s">
        <v>7929</v>
      </c>
      <c r="E357" s="47" t="s">
        <v>7930</v>
      </c>
      <c r="F357" s="47" t="s">
        <v>31</v>
      </c>
      <c r="G357" s="47" t="s">
        <v>199</v>
      </c>
      <c r="H357" s="47" t="str">
        <f t="shared" si="13"/>
        <v>SRINAGAR</v>
      </c>
      <c r="I357" s="47" t="s">
        <v>7937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2"/>
        <v>357</v>
      </c>
      <c r="B358" s="47" t="s">
        <v>8072</v>
      </c>
      <c r="C358" s="47" t="s">
        <v>8073</v>
      </c>
      <c r="D358" s="47" t="s">
        <v>8074</v>
      </c>
      <c r="E358" s="47" t="s">
        <v>8075</v>
      </c>
      <c r="F358" s="47" t="s">
        <v>31</v>
      </c>
      <c r="G358" s="47" t="s">
        <v>199</v>
      </c>
      <c r="H358" s="47" t="str">
        <f t="shared" si="13"/>
        <v>KISHTWAR</v>
      </c>
      <c r="I358" s="47" t="s">
        <v>8088</v>
      </c>
      <c r="J358" s="48">
        <v>46027</v>
      </c>
      <c r="K358" s="47">
        <v>6005254071</v>
      </c>
      <c r="L358" s="47" t="s">
        <v>194</v>
      </c>
      <c r="M358" s="49" t="s">
        <v>7596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2"/>
        <v>358</v>
      </c>
      <c r="B359" s="47" t="s">
        <v>8080</v>
      </c>
      <c r="C359" s="47" t="s">
        <v>8077</v>
      </c>
      <c r="D359" s="47" t="s">
        <v>8078</v>
      </c>
      <c r="E359" s="47" t="s">
        <v>8079</v>
      </c>
      <c r="F359" s="47" t="s">
        <v>37</v>
      </c>
      <c r="G359" s="47" t="s">
        <v>199</v>
      </c>
      <c r="H359" s="47" t="str">
        <f t="shared" si="13"/>
        <v>BHARAT</v>
      </c>
      <c r="I359" s="47" t="s">
        <v>8132</v>
      </c>
      <c r="J359" s="48">
        <v>46027</v>
      </c>
      <c r="K359" s="47">
        <v>9086008167</v>
      </c>
      <c r="L359" s="47" t="s">
        <v>26</v>
      </c>
      <c r="M359" s="49"/>
      <c r="N359" s="48" t="s">
        <v>8265</v>
      </c>
      <c r="O359" s="47"/>
      <c r="P359" s="50"/>
      <c r="Q359" s="47"/>
      <c r="R359" s="47"/>
    </row>
    <row r="360" spans="1:18" x14ac:dyDescent="0.25">
      <c r="A360" s="47">
        <f t="shared" si="12"/>
        <v>359</v>
      </c>
      <c r="B360" s="47" t="s">
        <v>8099</v>
      </c>
      <c r="C360" s="47" t="s">
        <v>8096</v>
      </c>
      <c r="D360" s="47" t="s">
        <v>8097</v>
      </c>
      <c r="E360" s="47" t="s">
        <v>8098</v>
      </c>
      <c r="F360" s="47" t="s">
        <v>31</v>
      </c>
      <c r="G360" s="47" t="s">
        <v>200</v>
      </c>
      <c r="H360" s="47" t="str">
        <f t="shared" si="13"/>
        <v>BUDGAM</v>
      </c>
      <c r="I360" s="47" t="s">
        <v>8119</v>
      </c>
      <c r="J360" s="48">
        <v>46028</v>
      </c>
      <c r="K360" s="47">
        <v>7780804850</v>
      </c>
      <c r="L360" s="47" t="s">
        <v>2172</v>
      </c>
      <c r="M360" s="49" t="s">
        <v>7717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2"/>
        <v>360</v>
      </c>
      <c r="B361" s="47" t="s">
        <v>8100</v>
      </c>
      <c r="C361" s="47" t="s">
        <v>8101</v>
      </c>
      <c r="D361" s="47" t="s">
        <v>8102</v>
      </c>
      <c r="E361" s="47" t="s">
        <v>8103</v>
      </c>
      <c r="F361" s="47" t="s">
        <v>31</v>
      </c>
      <c r="G361" s="47" t="s">
        <v>200</v>
      </c>
      <c r="H361" s="47" t="str">
        <f t="shared" si="13"/>
        <v>BUDGAM</v>
      </c>
      <c r="I361" s="47" t="s">
        <v>8118</v>
      </c>
      <c r="J361" s="48">
        <v>46028</v>
      </c>
      <c r="K361" s="47">
        <v>9622595048</v>
      </c>
      <c r="L361" s="47" t="s">
        <v>8104</v>
      </c>
      <c r="M361" s="49" t="s">
        <v>8230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si="12"/>
        <v>361</v>
      </c>
      <c r="B362" s="47" t="s">
        <v>8105</v>
      </c>
      <c r="C362" s="47" t="s">
        <v>8106</v>
      </c>
      <c r="D362" s="47" t="s">
        <v>8107</v>
      </c>
      <c r="E362" s="47" t="s">
        <v>8108</v>
      </c>
      <c r="F362" s="47" t="s">
        <v>238</v>
      </c>
      <c r="G362" s="47" t="s">
        <v>200</v>
      </c>
      <c r="H362" s="47" t="str">
        <f t="shared" si="13"/>
        <v>SRINAGAR</v>
      </c>
      <c r="I362" s="47" t="s">
        <v>8120</v>
      </c>
      <c r="J362" s="48">
        <v>46028</v>
      </c>
      <c r="K362" s="47">
        <v>8899110779</v>
      </c>
      <c r="L362" s="47" t="s">
        <v>48</v>
      </c>
      <c r="M362" s="49" t="s">
        <v>7776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2"/>
        <v>362</v>
      </c>
      <c r="B363" s="47" t="s">
        <v>8109</v>
      </c>
      <c r="C363" s="47" t="s">
        <v>8110</v>
      </c>
      <c r="D363" s="47" t="s">
        <v>8111</v>
      </c>
      <c r="E363" s="47" t="s">
        <v>2303</v>
      </c>
      <c r="F363" s="47" t="s">
        <v>31</v>
      </c>
      <c r="G363" s="47" t="s">
        <v>175</v>
      </c>
      <c r="H363" s="47" t="str">
        <f t="shared" si="13"/>
        <v>POONCH</v>
      </c>
      <c r="I363" s="47" t="s">
        <v>8117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2"/>
        <v>363</v>
      </c>
      <c r="B364" s="47" t="s">
        <v>7508</v>
      </c>
      <c r="C364" s="47" t="s">
        <v>7509</v>
      </c>
      <c r="D364" s="47" t="s">
        <v>7510</v>
      </c>
      <c r="E364" s="47" t="s">
        <v>7511</v>
      </c>
      <c r="F364" s="47" t="s">
        <v>12</v>
      </c>
      <c r="G364" s="47" t="s">
        <v>181</v>
      </c>
      <c r="H364" s="47" t="str">
        <f t="shared" si="13"/>
        <v>SHOPIAN</v>
      </c>
      <c r="I364" s="47" t="s">
        <v>7519</v>
      </c>
      <c r="J364" s="48">
        <v>46016</v>
      </c>
      <c r="K364" s="47">
        <v>7889339504</v>
      </c>
      <c r="L364" s="47" t="s">
        <v>6451</v>
      </c>
      <c r="M364" s="49"/>
      <c r="N364" s="48" t="s">
        <v>8262</v>
      </c>
      <c r="O364" s="47"/>
      <c r="P364" s="50"/>
      <c r="Q364" s="47"/>
      <c r="R364" s="47"/>
    </row>
    <row r="365" spans="1:18" x14ac:dyDescent="0.25">
      <c r="A365" s="47">
        <f t="shared" si="12"/>
        <v>364</v>
      </c>
      <c r="B365" s="47" t="s">
        <v>8039</v>
      </c>
      <c r="C365" s="47" t="s">
        <v>8126</v>
      </c>
      <c r="D365" s="47" t="s">
        <v>8127</v>
      </c>
      <c r="E365" s="47" t="s">
        <v>3192</v>
      </c>
      <c r="F365" s="47" t="s">
        <v>119</v>
      </c>
      <c r="G365" s="47" t="s">
        <v>221</v>
      </c>
      <c r="H365" s="47" t="str">
        <f t="shared" si="13"/>
        <v>SRINAGAR</v>
      </c>
      <c r="I365" s="47" t="s">
        <v>8166</v>
      </c>
      <c r="J365" s="48">
        <v>46028</v>
      </c>
      <c r="K365" s="47">
        <v>9906796717</v>
      </c>
      <c r="L365" s="47" t="s">
        <v>75</v>
      </c>
      <c r="M365" s="49" t="s">
        <v>7895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2"/>
        <v>365</v>
      </c>
      <c r="B366" s="47" t="s">
        <v>8128</v>
      </c>
      <c r="C366" s="47" t="s">
        <v>8129</v>
      </c>
      <c r="D366" s="47" t="s">
        <v>8130</v>
      </c>
      <c r="E366" s="47" t="s">
        <v>8131</v>
      </c>
      <c r="F366" s="47" t="s">
        <v>119</v>
      </c>
      <c r="G366" s="47" t="s">
        <v>175</v>
      </c>
      <c r="H366" s="47" t="str">
        <f t="shared" si="13"/>
        <v>PULWAMA</v>
      </c>
      <c r="I366" s="47" t="s">
        <v>8167</v>
      </c>
      <c r="J366" s="48">
        <v>46028</v>
      </c>
      <c r="K366" s="47">
        <v>9018734100</v>
      </c>
      <c r="L366" s="47" t="s">
        <v>166</v>
      </c>
      <c r="M366" s="49" t="s">
        <v>7776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2"/>
        <v>366</v>
      </c>
      <c r="B367" s="47" t="s">
        <v>8172</v>
      </c>
      <c r="C367" s="47" t="s">
        <v>8169</v>
      </c>
      <c r="D367" s="47" t="s">
        <v>8170</v>
      </c>
      <c r="E367" s="47" t="s">
        <v>8171</v>
      </c>
      <c r="F367" s="47" t="s">
        <v>3130</v>
      </c>
      <c r="G367" s="47" t="s">
        <v>6475</v>
      </c>
      <c r="H367" s="47" t="str">
        <f t="shared" si="13"/>
        <v>BANDIPORA</v>
      </c>
      <c r="I367" s="47" t="s">
        <v>8173</v>
      </c>
      <c r="J367" s="48">
        <v>46029</v>
      </c>
      <c r="K367" s="47">
        <v>9596443329</v>
      </c>
      <c r="L367" s="47" t="s">
        <v>6833</v>
      </c>
      <c r="M367" s="49" t="s">
        <v>8238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2"/>
        <v>367</v>
      </c>
      <c r="B368" s="47" t="s">
        <v>8183</v>
      </c>
      <c r="C368" s="47" t="s">
        <v>8179</v>
      </c>
      <c r="D368" s="47" t="s">
        <v>8180</v>
      </c>
      <c r="E368" s="47" t="s">
        <v>8182</v>
      </c>
      <c r="F368" s="47" t="s">
        <v>8181</v>
      </c>
      <c r="G368" s="47" t="s">
        <v>200</v>
      </c>
      <c r="H368" s="47" t="str">
        <f t="shared" si="13"/>
        <v>SRINAGAR</v>
      </c>
      <c r="I368" s="47" t="s">
        <v>8194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2"/>
        <v>368</v>
      </c>
      <c r="B369" s="47" t="s">
        <v>8184</v>
      </c>
      <c r="C369" s="47" t="s">
        <v>8186</v>
      </c>
      <c r="D369" s="47" t="s">
        <v>8193</v>
      </c>
      <c r="E369" s="47" t="s">
        <v>8185</v>
      </c>
      <c r="F369" s="47" t="s">
        <v>5</v>
      </c>
      <c r="G369" s="47" t="s">
        <v>200</v>
      </c>
      <c r="H369" s="47" t="str">
        <f t="shared" si="13"/>
        <v>SRINAGAR</v>
      </c>
      <c r="I369" s="47" t="s">
        <v>8187</v>
      </c>
      <c r="J369" s="48">
        <v>46030</v>
      </c>
      <c r="K369" s="47">
        <v>7889664350</v>
      </c>
      <c r="L369" s="47" t="s">
        <v>18</v>
      </c>
      <c r="M369" s="49" t="s">
        <v>8229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2"/>
        <v>369</v>
      </c>
      <c r="B370" s="47" t="s">
        <v>8191</v>
      </c>
      <c r="C370" s="47" t="s">
        <v>8188</v>
      </c>
      <c r="D370" s="47" t="s">
        <v>8189</v>
      </c>
      <c r="E370" s="47" t="s">
        <v>8190</v>
      </c>
      <c r="F370" s="47" t="s">
        <v>6546</v>
      </c>
      <c r="G370" s="47" t="s">
        <v>200</v>
      </c>
      <c r="H370" s="47" t="str">
        <f t="shared" si="13"/>
        <v>KULGAM</v>
      </c>
      <c r="I370" s="47" t="s">
        <v>8198</v>
      </c>
      <c r="J370" s="48">
        <v>46030</v>
      </c>
      <c r="K370" s="47">
        <v>9541822070</v>
      </c>
      <c r="L370" s="47" t="s">
        <v>6570</v>
      </c>
      <c r="M370" s="49" t="s">
        <v>8229</v>
      </c>
      <c r="N370" s="48">
        <v>46034</v>
      </c>
      <c r="O370" s="47"/>
      <c r="P370" s="50"/>
      <c r="Q370" s="47"/>
      <c r="R370" s="47" t="s">
        <v>8212</v>
      </c>
    </row>
    <row r="371" spans="1:18" x14ac:dyDescent="0.25">
      <c r="A371" s="47">
        <f t="shared" si="12"/>
        <v>370</v>
      </c>
      <c r="B371" s="47" t="s">
        <v>7667</v>
      </c>
      <c r="C371" s="47" t="s">
        <v>7663</v>
      </c>
      <c r="D371" s="47" t="s">
        <v>7664</v>
      </c>
      <c r="E371" s="47" t="s">
        <v>7666</v>
      </c>
      <c r="F371" s="47" t="s">
        <v>31</v>
      </c>
      <c r="G371" s="47" t="s">
        <v>175</v>
      </c>
      <c r="H371" s="47" t="str">
        <f t="shared" si="13"/>
        <v>PULWAMA</v>
      </c>
      <c r="I371" s="47" t="s">
        <v>7665</v>
      </c>
      <c r="J371" s="48">
        <v>46018</v>
      </c>
      <c r="K371" s="47">
        <v>8715028576</v>
      </c>
      <c r="L371" s="47" t="s">
        <v>6451</v>
      </c>
      <c r="M371" s="49"/>
      <c r="N371" s="48" t="s">
        <v>8263</v>
      </c>
      <c r="O371" s="47"/>
      <c r="P371" s="50"/>
      <c r="Q371" s="47"/>
      <c r="R371" s="47"/>
    </row>
    <row r="372" spans="1:18" x14ac:dyDescent="0.25">
      <c r="A372" s="47">
        <f t="shared" ref="A372:A388" si="14">ROW()-1</f>
        <v>371</v>
      </c>
      <c r="B372" s="47" t="s">
        <v>8199</v>
      </c>
      <c r="C372" s="47" t="s">
        <v>8200</v>
      </c>
      <c r="D372" s="47" t="s">
        <v>8201</v>
      </c>
      <c r="E372" s="47" t="s">
        <v>8202</v>
      </c>
      <c r="F372" s="47" t="s">
        <v>2701</v>
      </c>
      <c r="G372" s="47" t="s">
        <v>200</v>
      </c>
      <c r="H372" s="47" t="str">
        <f t="shared" ref="H372:H386" si="15">IF(LEFT(I372,4)="JK13","PULWAMA",IF(LEFT(I372,4)="JK01","SRINAGAR",IF(LEFT(I372,4)="JK04","BUDGAM",IF(LEFT(I372,4)="JK03","ANANTNAG",IF(LEFT(I372,4)="JK05","BARAMULLA",IF(LEFT(I372,4)="26BH","BHARAT",IF(LEFT(I372,4)="25BH","BHARAT",IF(LEFT(I372,4)="JK12","POONCH",IF(LEFT(I372,4)="JK18","KULGAM",IF(LEFT(I372,4)="JK22","SHOPIAN",IF(LEFT(I372,4)="T102","TEMP",IF(LEFT(I372,4)="JK09","KUPWARA",IF(LEFT(I372,4)="JK15","BANDIPORA",IF(LEFT(I372,4)="JK17","KISHTWAR",IF(LEFT(I372,4)="T112","KARGIL","NEW")))))))))))))))</f>
        <v>SRINAGAR</v>
      </c>
      <c r="I372" s="47" t="s">
        <v>8209</v>
      </c>
      <c r="J372" s="48">
        <v>46030</v>
      </c>
      <c r="K372" s="47">
        <v>8491882203</v>
      </c>
      <c r="L372" s="47" t="s">
        <v>2248</v>
      </c>
      <c r="M372" s="49" t="s">
        <v>8165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4"/>
        <v>372</v>
      </c>
      <c r="B373" s="47" t="s">
        <v>8206</v>
      </c>
      <c r="C373" s="47" t="s">
        <v>8203</v>
      </c>
      <c r="D373" s="47" t="s">
        <v>8204</v>
      </c>
      <c r="E373" s="47" t="s">
        <v>8205</v>
      </c>
      <c r="F373" s="47" t="s">
        <v>67</v>
      </c>
      <c r="G373" s="47" t="s">
        <v>181</v>
      </c>
      <c r="H373" s="47" t="str">
        <f t="shared" si="15"/>
        <v>SRINAGAR</v>
      </c>
      <c r="I373" s="47" t="s">
        <v>8208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4"/>
        <v>373</v>
      </c>
      <c r="B374" s="47" t="s">
        <v>8214</v>
      </c>
      <c r="C374" s="47" t="s">
        <v>8215</v>
      </c>
      <c r="D374" s="47" t="s">
        <v>8216</v>
      </c>
      <c r="E374" s="47" t="s">
        <v>8217</v>
      </c>
      <c r="F374" s="47" t="s">
        <v>67</v>
      </c>
      <c r="G374" s="47" t="s">
        <v>181</v>
      </c>
      <c r="H374" s="47" t="str">
        <f t="shared" si="15"/>
        <v>SRINAGAR</v>
      </c>
      <c r="I374" s="47" t="s">
        <v>8222</v>
      </c>
      <c r="J374" s="48">
        <v>46030</v>
      </c>
      <c r="K374" s="47">
        <v>6005379500</v>
      </c>
      <c r="L374" s="47" t="s">
        <v>8218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14"/>
        <v>374</v>
      </c>
      <c r="B375" s="47" t="s">
        <v>8236</v>
      </c>
      <c r="C375" s="47" t="s">
        <v>8234</v>
      </c>
      <c r="D375" s="47" t="s">
        <v>8235</v>
      </c>
      <c r="E375" s="47" t="s">
        <v>3775</v>
      </c>
      <c r="F375" s="47" t="s">
        <v>31</v>
      </c>
      <c r="G375" s="47" t="s">
        <v>200</v>
      </c>
      <c r="H375" s="47" t="str">
        <f t="shared" si="15"/>
        <v>PULWAMA</v>
      </c>
      <c r="I375" s="47" t="s">
        <v>8237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8240</v>
      </c>
    </row>
    <row r="376" spans="1:18" x14ac:dyDescent="0.25">
      <c r="A376" s="47">
        <f t="shared" si="14"/>
        <v>375</v>
      </c>
      <c r="B376" s="47"/>
      <c r="C376" s="47"/>
      <c r="D376" s="47"/>
      <c r="E376" s="47"/>
      <c r="F376" s="47"/>
      <c r="G376" s="47"/>
      <c r="H376" s="47" t="str">
        <f t="shared" si="15"/>
        <v>NEW</v>
      </c>
      <c r="I376" s="47"/>
      <c r="J376" s="48"/>
      <c r="K376" s="47"/>
      <c r="L376" s="47"/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4"/>
        <v>376</v>
      </c>
      <c r="B377" s="47"/>
      <c r="C377" s="47"/>
      <c r="D377" s="47"/>
      <c r="E377" s="47"/>
      <c r="F377" s="47"/>
      <c r="G377" s="47"/>
      <c r="H377" s="47" t="str">
        <f t="shared" si="15"/>
        <v>NEW</v>
      </c>
      <c r="I377" s="47"/>
      <c r="J377" s="48"/>
      <c r="K377" s="47"/>
      <c r="L377" s="47"/>
      <c r="M377" s="49"/>
      <c r="N377" s="48"/>
      <c r="O377" s="47"/>
      <c r="P377" s="50"/>
      <c r="Q377" s="47"/>
      <c r="R377" s="47"/>
    </row>
    <row r="378" spans="1:18" x14ac:dyDescent="0.25">
      <c r="A378" s="47">
        <f t="shared" si="14"/>
        <v>377</v>
      </c>
      <c r="B378" s="47"/>
      <c r="C378" s="47"/>
      <c r="D378" s="47"/>
      <c r="E378" s="47"/>
      <c r="F378" s="47"/>
      <c r="G378" s="47"/>
      <c r="H378" s="47" t="str">
        <f t="shared" si="15"/>
        <v>NEW</v>
      </c>
      <c r="I378" s="47"/>
      <c r="J378" s="48"/>
      <c r="K378" s="47"/>
      <c r="L378" s="47"/>
      <c r="M378" s="49"/>
      <c r="N378" s="48"/>
      <c r="O378" s="47"/>
      <c r="P378" s="50"/>
      <c r="Q378" s="47"/>
      <c r="R378" s="47"/>
    </row>
    <row r="379" spans="1:18" x14ac:dyDescent="0.25">
      <c r="A379" s="47">
        <f t="shared" si="14"/>
        <v>378</v>
      </c>
      <c r="B379" s="47"/>
      <c r="C379" s="47"/>
      <c r="D379" s="47"/>
      <c r="E379" s="47"/>
      <c r="F379" s="47"/>
      <c r="G379" s="47"/>
      <c r="H379" s="47" t="str">
        <f t="shared" si="15"/>
        <v>NEW</v>
      </c>
      <c r="I379" s="47"/>
      <c r="J379" s="48"/>
      <c r="K379" s="47"/>
      <c r="L379" s="47"/>
      <c r="M379" s="49"/>
      <c r="N379" s="48"/>
      <c r="O379" s="47"/>
      <c r="P379" s="50"/>
      <c r="Q379" s="47"/>
      <c r="R379" s="47"/>
    </row>
    <row r="380" spans="1:18" x14ac:dyDescent="0.25">
      <c r="A380" s="47">
        <f t="shared" si="14"/>
        <v>379</v>
      </c>
      <c r="B380" s="47"/>
      <c r="C380" s="47"/>
      <c r="D380" s="47"/>
      <c r="E380" s="47"/>
      <c r="F380" s="47"/>
      <c r="G380" s="47"/>
      <c r="H380" s="47" t="str">
        <f t="shared" si="15"/>
        <v>NEW</v>
      </c>
      <c r="I380" s="47"/>
      <c r="J380" s="48"/>
      <c r="K380" s="47"/>
      <c r="L380" s="47"/>
      <c r="M380" s="49"/>
      <c r="N380" s="48"/>
      <c r="O380" s="47"/>
      <c r="P380" s="50"/>
      <c r="Q380" s="47"/>
      <c r="R380" s="47"/>
    </row>
    <row r="381" spans="1:18" x14ac:dyDescent="0.25">
      <c r="A381" s="47">
        <f t="shared" si="14"/>
        <v>380</v>
      </c>
      <c r="B381" s="47"/>
      <c r="C381" s="47"/>
      <c r="D381" s="47"/>
      <c r="E381" s="47"/>
      <c r="F381" s="47"/>
      <c r="G381" s="47"/>
      <c r="H381" s="47" t="str">
        <f t="shared" si="15"/>
        <v>NEW</v>
      </c>
      <c r="I381" s="47"/>
      <c r="J381" s="48"/>
      <c r="K381" s="47"/>
      <c r="L381" s="47"/>
      <c r="M381" s="49"/>
      <c r="N381" s="48"/>
      <c r="O381" s="47"/>
      <c r="P381" s="50"/>
      <c r="Q381" s="47"/>
      <c r="R381" s="47"/>
    </row>
    <row r="382" spans="1:18" x14ac:dyDescent="0.25">
      <c r="A382" s="47">
        <f t="shared" si="14"/>
        <v>381</v>
      </c>
      <c r="B382" s="47"/>
      <c r="C382" s="47"/>
      <c r="D382" s="47"/>
      <c r="E382" s="47"/>
      <c r="F382" s="47"/>
      <c r="G382" s="47"/>
      <c r="H382" s="47" t="str">
        <f t="shared" si="15"/>
        <v>NEW</v>
      </c>
      <c r="I382" s="47"/>
      <c r="J382" s="48"/>
      <c r="K382" s="47"/>
      <c r="L382" s="47"/>
      <c r="M382" s="49"/>
      <c r="N382" s="48"/>
      <c r="O382" s="47"/>
      <c r="P382" s="50"/>
      <c r="Q382" s="47"/>
      <c r="R382" s="47"/>
    </row>
    <row r="383" spans="1:18" x14ac:dyDescent="0.25">
      <c r="A383" s="47">
        <f t="shared" si="14"/>
        <v>382</v>
      </c>
      <c r="B383" s="47"/>
      <c r="C383" s="47"/>
      <c r="D383" s="47"/>
      <c r="E383" s="47"/>
      <c r="F383" s="47"/>
      <c r="G383" s="47"/>
      <c r="H383" s="47" t="str">
        <f t="shared" si="15"/>
        <v>NEW</v>
      </c>
      <c r="I383" s="47"/>
      <c r="J383" s="48"/>
      <c r="K383" s="47"/>
      <c r="L383" s="47"/>
      <c r="M383" s="49"/>
      <c r="N383" s="48"/>
      <c r="O383" s="47"/>
      <c r="P383" s="50"/>
      <c r="Q383" s="47"/>
      <c r="R383" s="47"/>
    </row>
    <row r="384" spans="1:18" x14ac:dyDescent="0.25">
      <c r="A384" s="47">
        <f t="shared" si="14"/>
        <v>383</v>
      </c>
      <c r="B384" s="47"/>
      <c r="C384" s="47"/>
      <c r="D384" s="47"/>
      <c r="E384" s="47"/>
      <c r="F384" s="47"/>
      <c r="G384" s="47"/>
      <c r="H384" s="47" t="str">
        <f t="shared" si="15"/>
        <v>NEW</v>
      </c>
      <c r="I384" s="47"/>
      <c r="J384" s="48"/>
      <c r="K384" s="47"/>
      <c r="L384" s="47"/>
      <c r="M384" s="49"/>
      <c r="N384" s="48"/>
      <c r="O384" s="47"/>
      <c r="P384" s="50"/>
      <c r="Q384" s="47"/>
      <c r="R384" s="47"/>
    </row>
    <row r="385" spans="1:18" x14ac:dyDescent="0.25">
      <c r="A385" s="47">
        <f t="shared" si="14"/>
        <v>384</v>
      </c>
      <c r="B385" s="47"/>
      <c r="C385" s="47"/>
      <c r="D385" s="47"/>
      <c r="E385" s="47"/>
      <c r="F385" s="47"/>
      <c r="G385" s="47"/>
      <c r="H385" s="47" t="str">
        <f t="shared" si="15"/>
        <v>NEW</v>
      </c>
      <c r="I385" s="47"/>
      <c r="J385" s="48"/>
      <c r="K385" s="47"/>
      <c r="L385" s="47"/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4"/>
        <v>385</v>
      </c>
      <c r="B386" s="47"/>
      <c r="C386" s="47"/>
      <c r="D386" s="47"/>
      <c r="E386" s="47"/>
      <c r="F386" s="47"/>
      <c r="G386" s="47"/>
      <c r="H386" s="47" t="str">
        <f t="shared" si="15"/>
        <v>NEW</v>
      </c>
      <c r="I386" s="47"/>
      <c r="J386" s="48"/>
      <c r="K386" s="47"/>
      <c r="L386" s="47"/>
      <c r="M386" s="49"/>
      <c r="N386" s="48"/>
      <c r="O386" s="47"/>
      <c r="P386" s="50"/>
      <c r="Q386" s="47"/>
      <c r="R386" s="47"/>
    </row>
    <row r="387" spans="1:18" x14ac:dyDescent="0.25">
      <c r="A387" s="47">
        <f t="shared" si="14"/>
        <v>386</v>
      </c>
      <c r="B387" s="47"/>
      <c r="C387" s="47"/>
      <c r="D387" s="47"/>
      <c r="E387" s="47"/>
      <c r="F387" s="47"/>
      <c r="G387" s="47"/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T102","TEMP",IF(LEFT(I387,4)="JK09","KUPWARA",IF(LEFT(I387,4)="JK15","BANDIPORA",IF(LEFT(I387,4)="JK17","KISHTWAR",IF(LEFT(I387,4)="T112","KARGIL","NEW")))))))))))))))</f>
        <v>NEW</v>
      </c>
      <c r="I387" s="47"/>
      <c r="J387" s="48"/>
      <c r="K387" s="47"/>
      <c r="L387" s="47"/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4"/>
        <v>387</v>
      </c>
      <c r="B388" s="47"/>
      <c r="C388" s="47"/>
      <c r="D388" s="47"/>
      <c r="E388" s="47"/>
      <c r="F388" s="47"/>
      <c r="G388" s="47"/>
      <c r="H388" s="47" t="str">
        <f t="shared" si="16"/>
        <v>NEW</v>
      </c>
      <c r="I388" s="47"/>
      <c r="J388" s="48"/>
      <c r="K388" s="47"/>
      <c r="L388" s="47"/>
      <c r="M388" s="49"/>
      <c r="N388" s="48"/>
      <c r="O388" s="47"/>
      <c r="P388" s="50"/>
      <c r="Q388" s="47"/>
      <c r="R388" s="47"/>
    </row>
    <row r="389" spans="1:18" ht="15.75" x14ac:dyDescent="0.25">
      <c r="B389" s="47"/>
      <c r="C389" s="47"/>
      <c r="D389" s="47"/>
      <c r="E389" s="47"/>
      <c r="F389" s="47"/>
      <c r="G389" s="47"/>
      <c r="H389" s="1"/>
      <c r="I389" s="55"/>
      <c r="J389" s="19"/>
      <c r="K389" s="47"/>
      <c r="M389" t="s">
        <v>44</v>
      </c>
    </row>
    <row r="390" spans="1:18" ht="15.75" x14ac:dyDescent="0.25">
      <c r="F390" s="1"/>
      <c r="G390" s="1"/>
      <c r="H390" s="1"/>
      <c r="I390" s="20"/>
      <c r="K390" s="47"/>
    </row>
    <row r="391" spans="1:18" ht="15.75" x14ac:dyDescent="0.25">
      <c r="F391" s="1"/>
      <c r="G391" s="1"/>
      <c r="H391" s="1"/>
      <c r="I391" s="20"/>
      <c r="K391" s="47"/>
    </row>
    <row r="392" spans="1:18" ht="15.75" x14ac:dyDescent="0.25">
      <c r="F392" s="1"/>
      <c r="G392" s="1"/>
      <c r="H392" s="1"/>
      <c r="I392" s="20"/>
      <c r="K392" s="47"/>
    </row>
    <row r="393" spans="1:18" ht="15.75" x14ac:dyDescent="0.25">
      <c r="C393" s="1"/>
      <c r="D393" s="1"/>
      <c r="E393" s="1"/>
      <c r="F393" s="1"/>
      <c r="G393" s="1"/>
      <c r="H393" s="1"/>
      <c r="I393" s="20"/>
      <c r="K393" s="47"/>
    </row>
    <row r="394" spans="1:18" x14ac:dyDescent="0.25">
      <c r="A394" s="5"/>
      <c r="B394" s="6"/>
      <c r="C394" s="7"/>
      <c r="D394" s="7"/>
      <c r="E394" s="7"/>
      <c r="F394" s="7"/>
      <c r="G394" s="7"/>
      <c r="H394" s="7"/>
      <c r="I394" s="7"/>
      <c r="J394" s="7"/>
      <c r="K394" s="47"/>
      <c r="L394" s="7"/>
      <c r="M394" s="7"/>
      <c r="N394" s="7"/>
      <c r="O394" s="7"/>
      <c r="P394" s="7"/>
      <c r="Q394" s="7"/>
    </row>
    <row r="395" spans="1:18" x14ac:dyDescent="0.25">
      <c r="A395" s="5"/>
      <c r="B395" s="6"/>
      <c r="C395" s="7"/>
      <c r="D395" s="7"/>
      <c r="E395" s="7"/>
      <c r="F395" s="7"/>
      <c r="G395" s="7"/>
      <c r="H395" s="7"/>
      <c r="I395" s="7"/>
      <c r="J395" s="7"/>
      <c r="K395" s="47"/>
      <c r="L395" s="7"/>
      <c r="M395" s="7"/>
      <c r="N395" s="7"/>
      <c r="O395" s="7"/>
      <c r="P395" s="7"/>
      <c r="Q395" s="7"/>
    </row>
    <row r="396" spans="1:18" x14ac:dyDescent="0.25">
      <c r="K396" s="47"/>
    </row>
    <row r="397" spans="1:18" x14ac:dyDescent="0.25">
      <c r="K397" s="47"/>
    </row>
    <row r="398" spans="1:18" x14ac:dyDescent="0.25">
      <c r="K398" s="47"/>
    </row>
    <row r="399" spans="1:18" x14ac:dyDescent="0.25">
      <c r="K399" s="47"/>
    </row>
    <row r="400" spans="1:18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x14ac:dyDescent="0.25">
      <c r="K528" s="44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379 A298:A300 K298:R300 K299:K325 A301:B301 L301:R325 A302:A379 I308:I317 J313:J314 I315:J328 I325:I332 J329:J333 I331:J332 I334:J360 I357:I368 J361:J368 I369:J375 I376:R388 A380:G388 B389:G389 I389 K389:K478 K326:R375">
    <cfRule type="expression" dxfId="13" priority="7">
      <formula>CELL("row")=ROW()</formula>
    </cfRule>
  </conditionalFormatting>
  <conditionalFormatting sqref="B257:G290 B291:B300 C291:G301">
    <cfRule type="expression" dxfId="12" priority="5">
      <formula>CELL("row")=ROW()</formula>
    </cfRule>
  </conditionalFormatting>
  <conditionalFormatting sqref="F326:G326">
    <cfRule type="expression" dxfId="11" priority="2">
      <formula>CELL("row")=ROW()</formula>
    </cfRule>
  </conditionalFormatting>
  <conditionalFormatting sqref="G266">
    <cfRule type="expression" dxfId="10" priority="4">
      <formula>CELL("row")=ROW()</formula>
    </cfRule>
  </conditionalFormatting>
  <conditionalFormatting sqref="K390:O400 L389:O389">
    <cfRule type="expression" dxfId="9" priority="16">
      <formula>ROW(M93)=HighlightRow</formula>
    </cfRule>
  </conditionalFormatting>
  <conditionalFormatting sqref="P389:Q400">
    <cfRule type="expression" dxfId="8" priority="20">
      <formula>ROW(S93)=HighlightRow</formula>
    </cfRule>
  </conditionalFormatting>
  <conditionalFormatting sqref="S105:XFD105">
    <cfRule type="expression" dxfId="7" priority="21">
      <formula>ROW(T94)=HighlightRow</formula>
    </cfRule>
  </conditionalFormatting>
  <conditionalFormatting sqref="S106:XFD114">
    <cfRule type="expression" dxfId="6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F548" zoomScaleNormal="100" workbookViewId="0">
      <selection activeCell="I560" sqref="I56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86"/>
  <sheetViews>
    <sheetView topLeftCell="A140" zoomScale="85" zoomScaleNormal="85" workbookViewId="0">
      <selection activeCell="E155" sqref="E155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7939</v>
      </c>
      <c r="C3" s="19">
        <v>7006955275</v>
      </c>
      <c r="D3" s="19" t="s">
        <v>7940</v>
      </c>
      <c r="E3" s="19" t="s">
        <v>7941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7806</v>
      </c>
      <c r="C4" s="19">
        <v>7889324122</v>
      </c>
      <c r="D4" s="19" t="s">
        <v>7815</v>
      </c>
      <c r="E4" s="19" t="s">
        <v>7812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7820</v>
      </c>
      <c r="C5" s="19">
        <v>7006000499</v>
      </c>
      <c r="D5" s="19" t="s">
        <v>8153</v>
      </c>
      <c r="E5" s="19" t="s">
        <v>7847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8154</v>
      </c>
      <c r="C6" s="19">
        <v>7006582052</v>
      </c>
      <c r="D6" s="19" t="s">
        <v>8155</v>
      </c>
      <c r="E6" s="19" t="s">
        <v>7850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7886</v>
      </c>
      <c r="C7" s="19">
        <v>8082623899</v>
      </c>
      <c r="D7" s="19" t="s">
        <v>8156</v>
      </c>
      <c r="E7" s="19" t="s">
        <v>7879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7793</v>
      </c>
      <c r="C8" s="19">
        <v>7780996739</v>
      </c>
      <c r="D8" s="19" t="s">
        <v>8157</v>
      </c>
      <c r="E8" s="19" t="s">
        <v>7848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7878</v>
      </c>
      <c r="C9" s="19">
        <v>7889588496</v>
      </c>
      <c r="D9" s="19" t="s">
        <v>7938</v>
      </c>
      <c r="E9" s="19" t="s">
        <v>7892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7933</v>
      </c>
      <c r="C10" s="19">
        <v>7006197341</v>
      </c>
      <c r="D10" s="19" t="s">
        <v>8158</v>
      </c>
      <c r="E10" s="19" t="s">
        <v>7934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7922</v>
      </c>
      <c r="C11" s="19">
        <v>9906605048</v>
      </c>
      <c r="D11" s="19" t="s">
        <v>8159</v>
      </c>
      <c r="E11" s="19" t="s">
        <v>7923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7907</v>
      </c>
      <c r="C12" s="19">
        <v>9906473272</v>
      </c>
      <c r="D12" s="19" t="s">
        <v>8150</v>
      </c>
      <c r="E12" s="19" t="s">
        <v>7926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8160</v>
      </c>
      <c r="C13" s="19">
        <v>9906786675</v>
      </c>
      <c r="D13" s="19" t="s">
        <v>8161</v>
      </c>
      <c r="E13" s="19" t="s">
        <v>7925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7855</v>
      </c>
      <c r="C14" s="19">
        <v>9622459354</v>
      </c>
      <c r="D14" s="19" t="s">
        <v>8162</v>
      </c>
      <c r="E14" s="19" t="s">
        <v>7861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7891</v>
      </c>
      <c r="C15" s="19">
        <v>7006616090</v>
      </c>
      <c r="D15" s="19" t="s">
        <v>8122</v>
      </c>
      <c r="E15" s="19" t="s">
        <v>7894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8151</v>
      </c>
      <c r="C16" s="19">
        <v>9906730950</v>
      </c>
      <c r="D16" s="19" t="s">
        <v>8152</v>
      </c>
      <c r="E16" s="19" t="s">
        <v>7999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8163</v>
      </c>
      <c r="C17" s="19">
        <v>7006441266</v>
      </c>
      <c r="D17" s="19" t="s">
        <v>8164</v>
      </c>
      <c r="E17" s="19" t="s">
        <v>8013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6748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6746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6745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6747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6777</v>
      </c>
      <c r="C36" s="43">
        <v>7780824558</v>
      </c>
      <c r="D36" s="43" t="s">
        <v>6778</v>
      </c>
      <c r="E36" s="43" t="s">
        <v>6764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6756</v>
      </c>
      <c r="C37" s="43">
        <v>8899778092</v>
      </c>
      <c r="D37" s="43" t="s">
        <v>6776</v>
      </c>
      <c r="E37" s="43" t="s">
        <v>6763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6779</v>
      </c>
      <c r="C38" s="43">
        <v>9906337730</v>
      </c>
      <c r="D38" s="43" t="s">
        <v>6780</v>
      </c>
      <c r="E38" s="43" t="s">
        <v>6765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6769</v>
      </c>
      <c r="C39" s="43">
        <v>9606595001</v>
      </c>
      <c r="D39" s="43" t="s">
        <v>6781</v>
      </c>
      <c r="E39" s="43" t="s">
        <v>6770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6792</v>
      </c>
      <c r="C40" s="43">
        <v>7006748463</v>
      </c>
      <c r="D40" s="43" t="s">
        <v>6796</v>
      </c>
      <c r="E40" s="43" t="s">
        <v>6795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6797</v>
      </c>
      <c r="E41" s="43" t="s">
        <v>6789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6804</v>
      </c>
      <c r="C42" s="43">
        <v>7006009589</v>
      </c>
      <c r="D42" s="43" t="s">
        <v>6837</v>
      </c>
      <c r="E42" s="43" t="s">
        <v>6821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6829</v>
      </c>
      <c r="C43" s="43">
        <v>7006154383</v>
      </c>
      <c r="D43" s="43" t="s">
        <v>6880</v>
      </c>
      <c r="E43" s="43" t="s">
        <v>6842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6817</v>
      </c>
      <c r="C44" s="43">
        <v>8493043123</v>
      </c>
      <c r="D44" s="43" t="s">
        <v>6879</v>
      </c>
      <c r="E44" s="43" t="s">
        <v>6822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6887</v>
      </c>
      <c r="C45" s="43">
        <v>9149984428</v>
      </c>
      <c r="D45" s="43" t="s">
        <v>6888</v>
      </c>
      <c r="E45" s="43" t="s">
        <v>6889</v>
      </c>
      <c r="F45" s="21">
        <v>45999</v>
      </c>
      <c r="G45" s="21" t="s">
        <v>341</v>
      </c>
      <c r="H45" s="19" t="s">
        <v>8270</v>
      </c>
    </row>
    <row r="46" spans="1:14" ht="15.75" x14ac:dyDescent="0.25">
      <c r="A46" s="19">
        <f t="shared" si="1"/>
        <v>44</v>
      </c>
      <c r="B46" s="43" t="s">
        <v>6832</v>
      </c>
      <c r="C46" s="43">
        <v>9797004941</v>
      </c>
      <c r="D46" s="43" t="s">
        <v>6890</v>
      </c>
      <c r="E46" s="43" t="s">
        <v>6849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6936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6898</v>
      </c>
      <c r="C48" s="43">
        <v>9906488569</v>
      </c>
      <c r="D48" s="43" t="s">
        <v>6947</v>
      </c>
      <c r="E48" s="43" t="s">
        <v>6899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6949</v>
      </c>
      <c r="E49" s="43" t="s">
        <v>6941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6932</v>
      </c>
      <c r="C50" s="43">
        <v>9419052455</v>
      </c>
      <c r="D50" s="43" t="s">
        <v>6950</v>
      </c>
      <c r="E50" s="43" t="s">
        <v>6937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6840</v>
      </c>
      <c r="C51" s="43">
        <v>9682362746</v>
      </c>
      <c r="D51" s="43" t="s">
        <v>6957</v>
      </c>
      <c r="E51" s="43" t="s">
        <v>6848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6958</v>
      </c>
      <c r="C52" s="43">
        <v>7889471670</v>
      </c>
      <c r="D52" s="43" t="s">
        <v>6959</v>
      </c>
      <c r="E52" s="43" t="s">
        <v>6946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6966</v>
      </c>
      <c r="C53" s="43">
        <v>7889467793</v>
      </c>
      <c r="D53" s="43" t="s">
        <v>6978</v>
      </c>
      <c r="E53" s="43" t="s">
        <v>6974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6977</v>
      </c>
      <c r="E54" s="43" t="s">
        <v>6973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6962</v>
      </c>
      <c r="C55" s="43">
        <v>9103172002</v>
      </c>
      <c r="D55" s="43" t="s">
        <v>6976</v>
      </c>
      <c r="E55" s="43" t="s">
        <v>6972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6981</v>
      </c>
      <c r="C56" s="43">
        <v>9797126573</v>
      </c>
      <c r="D56" s="43" t="s">
        <v>6991</v>
      </c>
      <c r="E56" s="43" t="s">
        <v>6985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7030</v>
      </c>
      <c r="C57" s="43">
        <v>8082636745</v>
      </c>
      <c r="D57" s="43" t="s">
        <v>7034</v>
      </c>
      <c r="E57" s="43" t="s">
        <v>7028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7029</v>
      </c>
      <c r="C58" s="43">
        <v>9541537572</v>
      </c>
      <c r="D58" s="43" t="s">
        <v>7033</v>
      </c>
      <c r="E58" s="43" t="s">
        <v>7009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7032</v>
      </c>
      <c r="E59" s="43" t="s">
        <v>7026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7004</v>
      </c>
      <c r="C60" s="43">
        <v>9149852485</v>
      </c>
      <c r="D60" s="43" t="s">
        <v>7031</v>
      </c>
      <c r="E60" s="43" t="s">
        <v>7027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7036</v>
      </c>
      <c r="C61" s="43">
        <v>9469001234</v>
      </c>
      <c r="D61" s="43" t="s">
        <v>7037</v>
      </c>
      <c r="E61" s="43" t="s">
        <v>7038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7047</v>
      </c>
      <c r="C62" s="43">
        <v>9622901567</v>
      </c>
      <c r="D62" s="43" t="s">
        <v>7078</v>
      </c>
      <c r="E62" s="43" t="s">
        <v>7065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7079</v>
      </c>
      <c r="C63" s="43">
        <v>9419015767</v>
      </c>
      <c r="D63" s="43" t="s">
        <v>7080</v>
      </c>
      <c r="E63" s="43" t="s">
        <v>7063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7081</v>
      </c>
      <c r="C64" s="43">
        <v>9419705595</v>
      </c>
      <c r="D64" s="43" t="s">
        <v>7082</v>
      </c>
      <c r="E64" s="43" t="s">
        <v>7075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7061</v>
      </c>
      <c r="C65" s="43">
        <v>9682101195</v>
      </c>
      <c r="D65" s="43" t="s">
        <v>7083</v>
      </c>
      <c r="E65" s="43" t="s">
        <v>7076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7087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7088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7093</v>
      </c>
      <c r="C68" s="43">
        <v>7006296665</v>
      </c>
      <c r="D68" s="43" t="s">
        <v>7111</v>
      </c>
      <c r="E68" s="43" t="s">
        <v>7094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7102</v>
      </c>
      <c r="C69" s="43">
        <v>7006224132</v>
      </c>
      <c r="D69" s="43" t="s">
        <v>7110</v>
      </c>
      <c r="E69" s="43" t="s">
        <v>7109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7116</v>
      </c>
      <c r="E70" s="43" t="s">
        <v>6983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7119</v>
      </c>
      <c r="C71" s="43">
        <v>7006159140</v>
      </c>
      <c r="D71" s="43" t="s">
        <v>7137</v>
      </c>
      <c r="E71" s="43" t="s">
        <v>7121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7125</v>
      </c>
      <c r="C72" s="43">
        <v>7006417231</v>
      </c>
      <c r="D72" s="43" t="s">
        <v>7138</v>
      </c>
      <c r="E72" s="43" t="s">
        <v>7127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7134</v>
      </c>
      <c r="C73" s="43">
        <v>9419007332</v>
      </c>
      <c r="D73" s="43" t="s">
        <v>7139</v>
      </c>
      <c r="E73" s="43" t="s">
        <v>7135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7130</v>
      </c>
      <c r="C74" s="43">
        <v>6006807265</v>
      </c>
      <c r="D74" s="43" t="s">
        <v>7140</v>
      </c>
      <c r="E74" s="43" t="s">
        <v>7136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7163</v>
      </c>
      <c r="C75" s="43">
        <v>8493000467</v>
      </c>
      <c r="D75" s="43" t="s">
        <v>7176</v>
      </c>
      <c r="E75" s="43" t="s">
        <v>7170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7148</v>
      </c>
      <c r="C76" s="43">
        <v>7889821425</v>
      </c>
      <c r="D76" s="43" t="s">
        <v>7175</v>
      </c>
      <c r="E76" s="43" t="s">
        <v>7173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7180</v>
      </c>
      <c r="C77" s="43">
        <v>8825095120</v>
      </c>
      <c r="D77" s="43" t="s">
        <v>7191</v>
      </c>
      <c r="E77" s="43" t="s">
        <v>7189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7190</v>
      </c>
      <c r="C78" s="43">
        <v>9622347307</v>
      </c>
      <c r="D78" s="43" t="s">
        <v>7192</v>
      </c>
      <c r="E78" s="43" t="s">
        <v>7188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7169</v>
      </c>
      <c r="C79" s="43">
        <v>9797255546</v>
      </c>
      <c r="D79" s="43" t="s">
        <v>7193</v>
      </c>
      <c r="E79" s="43" t="s">
        <v>7187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7185</v>
      </c>
      <c r="C80" s="43">
        <v>6005890836</v>
      </c>
      <c r="D80" s="43" t="s">
        <v>7194</v>
      </c>
      <c r="E80" s="43" t="s">
        <v>7186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7256</v>
      </c>
      <c r="C81" s="43">
        <v>6005634614</v>
      </c>
      <c r="D81" s="43" t="s">
        <v>7257</v>
      </c>
      <c r="E81" s="43" t="s">
        <v>7209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7254</v>
      </c>
      <c r="C82" s="43">
        <v>9419273796</v>
      </c>
      <c r="D82" s="43" t="s">
        <v>7255</v>
      </c>
      <c r="E82" s="43" t="s">
        <v>7232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7220</v>
      </c>
      <c r="C83" s="43">
        <v>6005112387</v>
      </c>
      <c r="D83" s="43" t="s">
        <v>7252</v>
      </c>
      <c r="E83" s="43" t="s">
        <v>7230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7253</v>
      </c>
      <c r="E84" s="43" t="s">
        <v>7235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7204</v>
      </c>
      <c r="C85" s="43">
        <v>7006565352</v>
      </c>
      <c r="D85" s="43" t="s">
        <v>7262</v>
      </c>
      <c r="E85" s="43" t="s">
        <v>7210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7264</v>
      </c>
      <c r="C86" s="43">
        <v>7006646319</v>
      </c>
      <c r="D86" s="43" t="s">
        <v>7265</v>
      </c>
      <c r="E86" s="43" t="s">
        <v>7062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7199</v>
      </c>
      <c r="C87" s="43">
        <v>9906946331</v>
      </c>
      <c r="D87" s="43" t="s">
        <v>7272</v>
      </c>
      <c r="E87" s="43" t="s">
        <v>7231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7273</v>
      </c>
      <c r="E88" s="43" t="s">
        <v>7258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7229</v>
      </c>
      <c r="C89" s="43">
        <v>8825002572</v>
      </c>
      <c r="D89" s="43" t="s">
        <v>7279</v>
      </c>
      <c r="E89" s="43" t="s">
        <v>7234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7298</v>
      </c>
      <c r="C90" s="43">
        <v>9797150382</v>
      </c>
      <c r="D90" s="43" t="s">
        <v>7319</v>
      </c>
      <c r="E90" s="43" t="s">
        <v>7299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7310</v>
      </c>
      <c r="C91" s="43">
        <v>9797913220</v>
      </c>
      <c r="D91" s="43" t="s">
        <v>7333</v>
      </c>
      <c r="E91" s="43" t="s">
        <v>7322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7328</v>
      </c>
      <c r="C92" s="43">
        <v>9622755213</v>
      </c>
      <c r="D92" s="43" t="s">
        <v>7334</v>
      </c>
      <c r="E92" s="43" t="s">
        <v>7329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7331</v>
      </c>
      <c r="C93" s="43">
        <v>9596209114</v>
      </c>
      <c r="D93" s="43" t="s">
        <v>7335</v>
      </c>
      <c r="E93" s="43" t="s">
        <v>7332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7313</v>
      </c>
      <c r="C94" s="43">
        <v>7006878734</v>
      </c>
      <c r="D94" s="43" t="s">
        <v>7336</v>
      </c>
      <c r="E94" s="43" t="s">
        <v>7321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7338</v>
      </c>
      <c r="C95" s="43">
        <v>8899903781</v>
      </c>
      <c r="D95" s="43" t="s">
        <v>7337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7291</v>
      </c>
      <c r="C96" s="43">
        <v>9018112121</v>
      </c>
      <c r="D96" s="43" t="s">
        <v>7349</v>
      </c>
      <c r="E96" s="43" t="s">
        <v>7293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7350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7366</v>
      </c>
      <c r="C98" s="43">
        <v>7780927793</v>
      </c>
      <c r="D98" s="43" t="s">
        <v>7388</v>
      </c>
      <c r="E98" s="43" t="s">
        <v>7377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7354</v>
      </c>
      <c r="C99" s="43">
        <v>7006028890</v>
      </c>
      <c r="D99" s="43" t="s">
        <v>7389</v>
      </c>
      <c r="E99" s="43" t="s">
        <v>7375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7417</v>
      </c>
      <c r="C100" s="43">
        <v>8491813907</v>
      </c>
      <c r="D100" s="43" t="s">
        <v>7418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7396</v>
      </c>
      <c r="C101" s="43">
        <v>7006740143</v>
      </c>
      <c r="D101" s="43" t="s">
        <v>7423</v>
      </c>
      <c r="E101" s="43" t="s">
        <v>7397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7401</v>
      </c>
      <c r="C102" s="43">
        <v>9906387311</v>
      </c>
      <c r="D102" s="43" t="s">
        <v>7422</v>
      </c>
      <c r="E102" s="43" t="s">
        <v>7405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7411</v>
      </c>
      <c r="C103" s="43">
        <v>8899080830</v>
      </c>
      <c r="D103" s="43" t="s">
        <v>7424</v>
      </c>
      <c r="E103" s="43" t="s">
        <v>7420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7425</v>
      </c>
      <c r="E104" s="43" t="s">
        <v>7419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7415</v>
      </c>
      <c r="C105" s="43">
        <v>7780857793</v>
      </c>
      <c r="D105" s="43" t="s">
        <v>7439</v>
      </c>
      <c r="E105" s="43" t="s">
        <v>7421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7393</v>
      </c>
      <c r="C106" s="43">
        <v>9622737390</v>
      </c>
      <c r="D106" s="43" t="s">
        <v>7440</v>
      </c>
      <c r="E106" s="43" t="s">
        <v>7404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7437</v>
      </c>
      <c r="C107" s="43">
        <v>9906998728</v>
      </c>
      <c r="D107" s="43" t="s">
        <v>7442</v>
      </c>
      <c r="E107" s="43" t="s">
        <v>7441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7432</v>
      </c>
      <c r="C108" s="43">
        <v>7889474847</v>
      </c>
      <c r="D108" s="43" t="s">
        <v>7452</v>
      </c>
      <c r="E108" s="43" t="s">
        <v>7376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7247</v>
      </c>
      <c r="C109" s="43">
        <v>7889801873</v>
      </c>
      <c r="D109" s="43" t="s">
        <v>7553</v>
      </c>
      <c r="E109" s="43" t="s">
        <v>7261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7357</v>
      </c>
      <c r="C110" s="43">
        <v>8491929306</v>
      </c>
      <c r="D110" s="43" t="s">
        <v>7453</v>
      </c>
      <c r="E110" s="43" t="s">
        <v>7438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7464</v>
      </c>
      <c r="C111" s="43">
        <v>7889383674</v>
      </c>
      <c r="D111" s="43" t="s">
        <v>7551</v>
      </c>
      <c r="E111" s="43" t="s">
        <v>7490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7468</v>
      </c>
      <c r="C112" s="43">
        <v>9541622336</v>
      </c>
      <c r="D112" s="43" t="s">
        <v>7550</v>
      </c>
      <c r="E112" s="43" t="s">
        <v>7494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7346</v>
      </c>
      <c r="C113" s="43">
        <v>7006565342</v>
      </c>
      <c r="D113" s="43" t="s">
        <v>7548</v>
      </c>
      <c r="E113" s="43" t="s">
        <v>7348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7546</v>
      </c>
      <c r="C114" s="43">
        <v>7889605207</v>
      </c>
      <c r="D114" s="43" t="s">
        <v>7547</v>
      </c>
      <c r="E114" s="43" t="s">
        <v>7347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7463</v>
      </c>
      <c r="C115" s="43">
        <v>9018754974</v>
      </c>
      <c r="D115" s="43" t="s">
        <v>7549</v>
      </c>
      <c r="E115" s="43" t="s">
        <v>7489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7572</v>
      </c>
      <c r="E116" s="43" t="s">
        <v>6500</v>
      </c>
      <c r="F116" s="21"/>
      <c r="G116" s="21"/>
      <c r="H116" s="19" t="s">
        <v>7573</v>
      </c>
    </row>
    <row r="117" spans="1:8" ht="15.75" x14ac:dyDescent="0.25">
      <c r="A117" s="19">
        <f t="shared" si="3"/>
        <v>115</v>
      </c>
      <c r="B117" s="43" t="s">
        <v>7503</v>
      </c>
      <c r="C117" s="43">
        <v>6005068829</v>
      </c>
      <c r="D117" s="43" t="s">
        <v>7552</v>
      </c>
      <c r="E117" s="43" t="s">
        <v>7517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7570</v>
      </c>
      <c r="C118" s="43">
        <v>7889559968</v>
      </c>
      <c r="D118" s="43" t="s">
        <v>7571</v>
      </c>
      <c r="E118" s="43" t="s">
        <v>7554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7569</v>
      </c>
      <c r="E119" s="43" t="s">
        <v>7555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7451</v>
      </c>
      <c r="C120" s="43">
        <v>7298772174</v>
      </c>
      <c r="D120" s="43" t="s">
        <v>7567</v>
      </c>
      <c r="E120" s="43" t="s">
        <v>7458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7462</v>
      </c>
      <c r="C121" s="43">
        <v>9906539681</v>
      </c>
      <c r="D121" s="43" t="s">
        <v>7568</v>
      </c>
      <c r="E121" s="43" t="s">
        <v>7488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7544</v>
      </c>
      <c r="C122" s="43">
        <v>8825061187</v>
      </c>
      <c r="D122" s="43" t="s">
        <v>7624</v>
      </c>
      <c r="E122" s="43" t="s">
        <v>7556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7622</v>
      </c>
      <c r="C123" s="43">
        <v>7889773670</v>
      </c>
      <c r="D123" s="43" t="s">
        <v>7623</v>
      </c>
      <c r="E123" s="43" t="s">
        <v>7594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7575</v>
      </c>
      <c r="C124" s="43">
        <v>9419002237</v>
      </c>
      <c r="D124" s="43" t="s">
        <v>7614</v>
      </c>
      <c r="E124" s="43" t="s">
        <v>7592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7609</v>
      </c>
      <c r="C125" s="43">
        <v>9149416177</v>
      </c>
      <c r="D125" s="43" t="s">
        <v>7621</v>
      </c>
      <c r="E125" s="43" t="s">
        <v>7610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6865</v>
      </c>
      <c r="C126" s="43">
        <v>9596341802</v>
      </c>
      <c r="D126" s="43" t="s">
        <v>7619</v>
      </c>
      <c r="E126" s="43" t="s">
        <v>6873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7565</v>
      </c>
      <c r="C127" s="43">
        <v>9906918176</v>
      </c>
      <c r="D127" s="43" t="s">
        <v>7620</v>
      </c>
      <c r="E127" s="43" t="s">
        <v>7591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7601</v>
      </c>
      <c r="C128" s="43">
        <v>9797222635</v>
      </c>
      <c r="D128" s="43" t="s">
        <v>7686</v>
      </c>
      <c r="E128" s="43" t="s">
        <v>7612</v>
      </c>
      <c r="F128" s="21"/>
      <c r="G128" s="21" t="s">
        <v>341</v>
      </c>
      <c r="H128" s="19" t="s">
        <v>7778</v>
      </c>
    </row>
    <row r="129" spans="1:8" ht="15.75" x14ac:dyDescent="0.25">
      <c r="A129" s="19">
        <f t="shared" si="3"/>
        <v>127</v>
      </c>
      <c r="B129" s="43" t="s">
        <v>7582</v>
      </c>
      <c r="C129" s="43">
        <v>7006907205</v>
      </c>
      <c r="D129" s="43" t="s">
        <v>7638</v>
      </c>
      <c r="E129" s="43" t="s">
        <v>7593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7633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7635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7467</v>
      </c>
      <c r="C132" s="43">
        <v>9205000009</v>
      </c>
      <c r="D132" s="43" t="s">
        <v>7674</v>
      </c>
      <c r="E132" s="43" t="s">
        <v>7493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7429</v>
      </c>
      <c r="C133" s="43">
        <v>9797999350</v>
      </c>
      <c r="D133" s="43" t="s">
        <v>7676</v>
      </c>
      <c r="E133" s="43" t="s">
        <v>7443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7507</v>
      </c>
      <c r="C134" s="43">
        <v>9858727429</v>
      </c>
      <c r="D134" s="43" t="s">
        <v>7675</v>
      </c>
      <c r="E134" s="43" t="s">
        <v>7518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7685</v>
      </c>
      <c r="E135" s="43" t="s">
        <v>3776</v>
      </c>
      <c r="F135" s="21"/>
      <c r="G135" s="21" t="s">
        <v>341</v>
      </c>
      <c r="H135" s="19" t="s">
        <v>7573</v>
      </c>
    </row>
    <row r="136" spans="1:8" ht="15.75" x14ac:dyDescent="0.25">
      <c r="A136" s="19">
        <f t="shared" si="4"/>
        <v>134</v>
      </c>
      <c r="B136" s="43" t="s">
        <v>7628</v>
      </c>
      <c r="C136" s="43">
        <v>9596366782</v>
      </c>
      <c r="D136" s="43" t="s">
        <v>7679</v>
      </c>
      <c r="E136" s="43" t="s">
        <v>7636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7362</v>
      </c>
      <c r="C137" s="43">
        <v>6005579912</v>
      </c>
      <c r="D137" s="43" t="s">
        <v>7677</v>
      </c>
      <c r="E137" s="43" t="s">
        <v>7380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7680</v>
      </c>
      <c r="C138" s="43">
        <v>9906687592</v>
      </c>
      <c r="D138" s="43" t="s">
        <v>7681</v>
      </c>
      <c r="E138" s="43" t="s">
        <v>7637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7642</v>
      </c>
      <c r="C139" s="43">
        <v>7006141977</v>
      </c>
      <c r="D139" s="43" t="s">
        <v>7678</v>
      </c>
      <c r="E139" s="43" t="s">
        <v>7652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7682</v>
      </c>
      <c r="C140" s="43">
        <v>9622531795</v>
      </c>
      <c r="D140" s="43" t="s">
        <v>7683</v>
      </c>
      <c r="E140" s="43" t="s">
        <v>7662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7656</v>
      </c>
      <c r="C141" s="43">
        <v>8715929114</v>
      </c>
      <c r="D141" s="43" t="s">
        <v>7708</v>
      </c>
      <c r="E141" s="43" t="s">
        <v>7658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7693</v>
      </c>
      <c r="C142" s="43">
        <v>9622716592</v>
      </c>
      <c r="D142" s="43" t="s">
        <v>7707</v>
      </c>
      <c r="E142" s="43" t="s">
        <v>7704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7729</v>
      </c>
      <c r="C143" s="43">
        <v>9541083744</v>
      </c>
      <c r="D143" s="43" t="s">
        <v>7786</v>
      </c>
      <c r="E143" s="43" t="s">
        <v>7748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7772</v>
      </c>
      <c r="C144" s="43">
        <v>9596336858</v>
      </c>
      <c r="D144" s="43" t="s">
        <v>8176</v>
      </c>
      <c r="E144" s="43" t="s">
        <v>7775</v>
      </c>
      <c r="F144" s="21"/>
      <c r="G144" s="21"/>
      <c r="H144" s="19" t="s">
        <v>8168</v>
      </c>
    </row>
    <row r="145" spans="1:8" ht="15.75" x14ac:dyDescent="0.25">
      <c r="A145" s="19">
        <f t="shared" si="4"/>
        <v>143</v>
      </c>
      <c r="B145" s="43" t="s">
        <v>7743</v>
      </c>
      <c r="C145" s="43">
        <v>7006409005</v>
      </c>
      <c r="D145" s="43" t="s">
        <v>7785</v>
      </c>
      <c r="E145" s="43" t="s">
        <v>7751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7766</v>
      </c>
      <c r="C146" s="43">
        <v>9622775800</v>
      </c>
      <c r="D146" s="43" t="s">
        <v>7816</v>
      </c>
      <c r="E146" s="43" t="s">
        <v>7768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7817</v>
      </c>
      <c r="E147" s="43" t="s">
        <v>7749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7813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7790</v>
      </c>
      <c r="C149" s="43">
        <v>9419070393</v>
      </c>
      <c r="D149" s="43" t="s">
        <v>7814</v>
      </c>
      <c r="E149" s="43" t="s">
        <v>7795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8145</v>
      </c>
      <c r="E150" s="43" t="s">
        <v>7927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8144</v>
      </c>
      <c r="E151" s="43" t="s">
        <v>7750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8063</v>
      </c>
      <c r="C152" s="43">
        <v>9070599346</v>
      </c>
      <c r="D152" s="43" t="s">
        <v>8092</v>
      </c>
      <c r="E152" s="43" t="s">
        <v>8087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8050</v>
      </c>
      <c r="C153" s="43">
        <v>9070111588</v>
      </c>
      <c r="D153" s="43" t="s">
        <v>8148</v>
      </c>
      <c r="E153" s="43" t="s">
        <v>8091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8075</v>
      </c>
      <c r="C154" s="19">
        <v>6005254071</v>
      </c>
      <c r="D154" s="19" t="s">
        <v>8121</v>
      </c>
      <c r="E154" s="19" t="s">
        <v>8088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8067</v>
      </c>
      <c r="C155" s="19">
        <v>9797071432</v>
      </c>
      <c r="D155" s="19" t="s">
        <v>8123</v>
      </c>
      <c r="E155" s="19" t="s">
        <v>8089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8141</v>
      </c>
      <c r="C156" s="19">
        <v>7780804850</v>
      </c>
      <c r="D156" s="19" t="s">
        <v>8142</v>
      </c>
      <c r="E156" s="19" t="s">
        <v>8119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7711</v>
      </c>
      <c r="C157" s="19">
        <v>9622020576</v>
      </c>
      <c r="D157" s="19" t="s">
        <v>8147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8146</v>
      </c>
      <c r="E158" s="19" t="s">
        <v>7862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8133</v>
      </c>
      <c r="C159" s="19">
        <v>7889666298</v>
      </c>
      <c r="D159" s="19" t="s">
        <v>8134</v>
      </c>
      <c r="E159" s="19" t="s">
        <v>7457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8045</v>
      </c>
      <c r="C160" s="19">
        <v>9906284454</v>
      </c>
      <c r="D160" s="19" t="s">
        <v>8135</v>
      </c>
      <c r="E160" s="19" t="s">
        <v>8086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6773</v>
      </c>
      <c r="C161" s="19">
        <v>7006274587</v>
      </c>
      <c r="D161" s="19" t="s">
        <v>8175</v>
      </c>
      <c r="E161" s="19" t="s">
        <v>7730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8177</v>
      </c>
      <c r="C162" s="19">
        <v>9018734100</v>
      </c>
      <c r="D162" s="19" t="s">
        <v>8178</v>
      </c>
      <c r="E162" s="19" t="s">
        <v>8167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185" si="5">ROW()-2</f>
        <v>161</v>
      </c>
      <c r="B163" s="19" t="s">
        <v>2303</v>
      </c>
      <c r="C163" s="19">
        <v>9797443009</v>
      </c>
      <c r="D163" s="19" t="s">
        <v>8211</v>
      </c>
      <c r="E163" s="19" t="s">
        <v>8117</v>
      </c>
      <c r="F163" s="21">
        <v>46030</v>
      </c>
      <c r="G163" s="21" t="s">
        <v>341</v>
      </c>
      <c r="H163" s="19" t="s">
        <v>8168</v>
      </c>
    </row>
    <row r="164" spans="1:8" ht="15.75" x14ac:dyDescent="0.25">
      <c r="A164" s="19">
        <f t="shared" si="5"/>
        <v>162</v>
      </c>
      <c r="B164" s="19" t="s">
        <v>8171</v>
      </c>
      <c r="C164" s="19">
        <v>9596443329</v>
      </c>
      <c r="D164" s="19" t="s">
        <v>8210</v>
      </c>
      <c r="E164" s="19" t="s">
        <v>8173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8108</v>
      </c>
      <c r="C165" s="19">
        <v>8899110779</v>
      </c>
      <c r="D165" s="19" t="s">
        <v>8213</v>
      </c>
      <c r="E165" s="19" t="s">
        <v>8120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8185</v>
      </c>
      <c r="C166" s="19">
        <v>7889664350</v>
      </c>
      <c r="D166" s="19" t="s">
        <v>8223</v>
      </c>
      <c r="E166" s="19" t="s">
        <v>8187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8220</v>
      </c>
      <c r="C167" s="19">
        <v>6006052436</v>
      </c>
      <c r="D167" s="19" t="s">
        <v>8221</v>
      </c>
      <c r="E167" s="19" t="s">
        <v>7784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47" t="s">
        <v>8217</v>
      </c>
      <c r="C168" s="47">
        <v>6005379500</v>
      </c>
      <c r="D168" s="19" t="s">
        <v>8227</v>
      </c>
      <c r="E168" s="19"/>
      <c r="F168" s="21">
        <v>46030</v>
      </c>
      <c r="G168" s="21" t="s">
        <v>341</v>
      </c>
      <c r="H168" s="19" t="s">
        <v>8168</v>
      </c>
    </row>
    <row r="169" spans="1:8" ht="15.75" x14ac:dyDescent="0.25">
      <c r="A169" s="19">
        <f t="shared" si="5"/>
        <v>167</v>
      </c>
      <c r="B169" s="19" t="s">
        <v>8182</v>
      </c>
      <c r="C169" s="19">
        <v>9906409906</v>
      </c>
      <c r="D169" s="19" t="s">
        <v>8226</v>
      </c>
      <c r="E169" s="19" t="s">
        <v>8194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7950</v>
      </c>
      <c r="C170" s="19">
        <v>9419004025</v>
      </c>
      <c r="D170" s="19" t="s">
        <v>8149</v>
      </c>
      <c r="E170" s="19" t="s">
        <v>8016</v>
      </c>
      <c r="F170" s="21">
        <v>46026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8007</v>
      </c>
      <c r="C171" s="19">
        <v>7889441591</v>
      </c>
      <c r="D171" s="19" t="s">
        <v>8143</v>
      </c>
      <c r="E171" s="19" t="s">
        <v>8008</v>
      </c>
      <c r="F171" s="21">
        <v>46029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2841</v>
      </c>
      <c r="C172" s="19">
        <v>7006960324</v>
      </c>
      <c r="D172" s="19" t="s">
        <v>8140</v>
      </c>
      <c r="E172" s="19" t="s">
        <v>7867</v>
      </c>
      <c r="F172" s="21">
        <v>46029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7866</v>
      </c>
      <c r="C173" s="19">
        <v>9906759399</v>
      </c>
      <c r="D173" s="19" t="s">
        <v>8139</v>
      </c>
      <c r="E173" s="19" t="s">
        <v>7868</v>
      </c>
      <c r="F173" s="21">
        <v>46029</v>
      </c>
      <c r="G173" s="21" t="s">
        <v>341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7974</v>
      </c>
      <c r="C174" s="19">
        <v>9149592772</v>
      </c>
      <c r="D174" s="19" t="s">
        <v>8138</v>
      </c>
      <c r="E174" s="19" t="s">
        <v>7976</v>
      </c>
      <c r="F174" s="21">
        <v>46029</v>
      </c>
      <c r="G174" s="21" t="s">
        <v>341</v>
      </c>
      <c r="H174" s="19" t="s">
        <v>6665</v>
      </c>
    </row>
    <row r="175" spans="1:8" ht="15.75" x14ac:dyDescent="0.25">
      <c r="A175" s="19">
        <f t="shared" si="5"/>
        <v>173</v>
      </c>
      <c r="B175" s="19" t="s">
        <v>7990</v>
      </c>
      <c r="C175" s="19">
        <v>9596382727</v>
      </c>
      <c r="D175" s="19" t="s">
        <v>8137</v>
      </c>
      <c r="E175" s="19" t="s">
        <v>7992</v>
      </c>
      <c r="F175" s="21">
        <v>46029</v>
      </c>
      <c r="G175" s="21" t="s">
        <v>341</v>
      </c>
      <c r="H175" s="19" t="s">
        <v>6665</v>
      </c>
    </row>
    <row r="176" spans="1:8" ht="15.75" x14ac:dyDescent="0.25">
      <c r="A176" s="19">
        <f t="shared" si="5"/>
        <v>174</v>
      </c>
      <c r="B176" s="19" t="s">
        <v>4284</v>
      </c>
      <c r="C176" s="19">
        <v>8899926488</v>
      </c>
      <c r="D176" s="19" t="s">
        <v>8136</v>
      </c>
      <c r="E176" s="19" t="s">
        <v>7987</v>
      </c>
      <c r="F176" s="21">
        <v>46029</v>
      </c>
      <c r="G176" s="21" t="s">
        <v>341</v>
      </c>
      <c r="H176" s="19" t="s">
        <v>6665</v>
      </c>
    </row>
    <row r="177" spans="1:8" ht="15.75" x14ac:dyDescent="0.25">
      <c r="A177" s="19">
        <f t="shared" si="5"/>
        <v>175</v>
      </c>
      <c r="B177" s="19" t="s">
        <v>8202</v>
      </c>
      <c r="C177" s="19">
        <v>8491882203</v>
      </c>
      <c r="D177" s="19" t="s">
        <v>8228</v>
      </c>
      <c r="E177" s="19" t="s">
        <v>8209</v>
      </c>
      <c r="F177" s="21">
        <v>46031</v>
      </c>
      <c r="G177" s="21" t="s">
        <v>341</v>
      </c>
      <c r="H177" s="19" t="s">
        <v>6665</v>
      </c>
    </row>
    <row r="178" spans="1:8" ht="15.75" x14ac:dyDescent="0.25">
      <c r="A178" s="19">
        <f t="shared" si="5"/>
        <v>176</v>
      </c>
      <c r="B178" s="19" t="s">
        <v>8205</v>
      </c>
      <c r="C178" s="19">
        <v>7780867070</v>
      </c>
      <c r="D178" s="19" t="s">
        <v>8232</v>
      </c>
      <c r="E178" s="19" t="s">
        <v>8208</v>
      </c>
      <c r="F178" s="21">
        <v>46031</v>
      </c>
      <c r="G178" s="21" t="s">
        <v>341</v>
      </c>
      <c r="H178" s="19" t="s">
        <v>6665</v>
      </c>
    </row>
    <row r="179" spans="1:8" ht="15.75" x14ac:dyDescent="0.25">
      <c r="A179" s="19">
        <f t="shared" si="5"/>
        <v>177</v>
      </c>
      <c r="B179" s="19" t="s">
        <v>8103</v>
      </c>
      <c r="C179" s="19">
        <v>9622595048</v>
      </c>
      <c r="D179" s="19" t="s">
        <v>8233</v>
      </c>
      <c r="E179" s="19" t="s">
        <v>8118</v>
      </c>
      <c r="F179" s="21">
        <v>46031</v>
      </c>
      <c r="G179" s="21" t="s">
        <v>341</v>
      </c>
      <c r="H179" s="19" t="s">
        <v>6665</v>
      </c>
    </row>
    <row r="180" spans="1:8" ht="15.75" x14ac:dyDescent="0.25">
      <c r="A180" s="19">
        <f t="shared" si="5"/>
        <v>178</v>
      </c>
      <c r="B180" s="19" t="s">
        <v>5986</v>
      </c>
      <c r="C180" s="19">
        <v>9149483760</v>
      </c>
      <c r="D180" s="19" t="s">
        <v>8239</v>
      </c>
      <c r="E180" s="19" t="s">
        <v>5987</v>
      </c>
      <c r="F180" s="21">
        <v>46032</v>
      </c>
      <c r="G180" s="21" t="s">
        <v>398</v>
      </c>
      <c r="H180" s="19" t="s">
        <v>6665</v>
      </c>
    </row>
    <row r="181" spans="1:8" ht="15.75" x14ac:dyDescent="0.25">
      <c r="A181" s="19">
        <f t="shared" si="5"/>
        <v>179</v>
      </c>
      <c r="B181" s="34" t="s">
        <v>8266</v>
      </c>
      <c r="C181" s="34">
        <v>9797723564</v>
      </c>
      <c r="D181" s="57" t="s">
        <v>8267</v>
      </c>
      <c r="E181" s="57" t="s">
        <v>8268</v>
      </c>
      <c r="F181" s="21">
        <v>46034</v>
      </c>
      <c r="G181" s="21" t="s">
        <v>8269</v>
      </c>
      <c r="H181" s="19" t="s">
        <v>6665</v>
      </c>
    </row>
    <row r="182" spans="1:8" ht="15.75" x14ac:dyDescent="0.25">
      <c r="A182" s="19">
        <f t="shared" si="5"/>
        <v>180</v>
      </c>
      <c r="B182" s="19"/>
      <c r="C182" s="19"/>
      <c r="D182" s="19"/>
      <c r="E182" s="19"/>
      <c r="F182" s="21"/>
      <c r="G182" s="21"/>
      <c r="H182" s="19"/>
    </row>
    <row r="183" spans="1:8" ht="15.75" x14ac:dyDescent="0.25">
      <c r="A183" s="19">
        <f t="shared" si="5"/>
        <v>181</v>
      </c>
      <c r="B183" s="19"/>
      <c r="C183" s="19"/>
      <c r="D183" s="19"/>
      <c r="E183" s="19"/>
      <c r="F183" s="21"/>
      <c r="G183" s="21"/>
      <c r="H183" s="19"/>
    </row>
    <row r="184" spans="1:8" ht="15.75" x14ac:dyDescent="0.25">
      <c r="A184" s="19">
        <f t="shared" si="5"/>
        <v>182</v>
      </c>
      <c r="B184" s="19"/>
      <c r="C184" s="19"/>
      <c r="D184" s="19"/>
      <c r="E184" s="19"/>
      <c r="F184" s="21"/>
      <c r="G184" s="21"/>
      <c r="H184" s="19"/>
    </row>
    <row r="185" spans="1:8" ht="15.75" x14ac:dyDescent="0.25">
      <c r="A185" s="19">
        <f t="shared" si="5"/>
        <v>183</v>
      </c>
      <c r="B185" s="19"/>
      <c r="C185" s="19"/>
      <c r="D185" s="19"/>
      <c r="E185" s="19"/>
      <c r="F185" s="21"/>
      <c r="G185" s="21"/>
      <c r="H185" s="19"/>
    </row>
    <row r="186" spans="1:8" ht="15.75" x14ac:dyDescent="0.25">
      <c r="B186" s="19"/>
      <c r="C186" s="19"/>
      <c r="D186" s="19"/>
      <c r="E186" s="19"/>
    </row>
  </sheetData>
  <mergeCells count="1">
    <mergeCell ref="A1:H1"/>
  </mergeCells>
  <conditionalFormatting sqref="B103 E103 B121:E154 B169:E180 B182:E186">
    <cfRule type="expression" dxfId="5" priority="13">
      <formula>CELL("row")=ROW()</formula>
    </cfRule>
  </conditionalFormatting>
  <conditionalFormatting sqref="C103">
    <cfRule type="expression" dxfId="4" priority="12">
      <formula>CELL("row")=ROW()</formula>
    </cfRule>
  </conditionalFormatting>
  <conditionalFormatting sqref="C122">
    <cfRule type="expression" dxfId="3" priority="9">
      <formula>CELL("row")=ROW()</formula>
    </cfRule>
  </conditionalFormatting>
  <conditionalFormatting sqref="C176">
    <cfRule type="expression" dxfId="2" priority="2">
      <formula>CELL("row")=ROW()</formula>
    </cfRule>
  </conditionalFormatting>
  <conditionalFormatting sqref="C178">
    <cfRule type="expression" dxfId="1" priority="1">
      <formula>CELL("row")=ROW()</formula>
    </cfRule>
  </conditionalFormatting>
  <conditionalFormatting sqref="E122">
    <cfRule type="expression" dxfId="0" priority="10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2026-01-12T10:43:56Z</dcterms:modified>
</cp:coreProperties>
</file>