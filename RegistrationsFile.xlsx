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E88F240-E484-4CB7-A8F9-37A36A4531AF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03" i="4" l="1"/>
  <c r="H800" i="4"/>
  <c r="H804" i="4"/>
  <c r="H805" i="4"/>
  <c r="H801" i="4"/>
  <c r="H806" i="4"/>
  <c r="H807" i="4"/>
  <c r="H808" i="4"/>
  <c r="A803" i="4"/>
  <c r="A800" i="4"/>
  <c r="A804" i="4"/>
  <c r="A805" i="4"/>
  <c r="A801" i="4"/>
  <c r="A806" i="4"/>
  <c r="A807" i="4"/>
  <c r="A808" i="4"/>
  <c r="A514" i="7" l="1"/>
  <c r="A515" i="7"/>
  <c r="A516" i="7"/>
  <c r="A517" i="7"/>
  <c r="A518" i="7"/>
  <c r="A519" i="7"/>
  <c r="A520" i="7"/>
  <c r="H793" i="4"/>
  <c r="H794" i="4"/>
  <c r="H795" i="4"/>
  <c r="H796" i="4"/>
  <c r="H797" i="4"/>
  <c r="H798" i="4"/>
  <c r="H799" i="4"/>
  <c r="H802" i="4"/>
  <c r="A793" i="4"/>
  <c r="A794" i="4"/>
  <c r="A795" i="4"/>
  <c r="A796" i="4"/>
  <c r="A797" i="4"/>
  <c r="A798" i="4"/>
  <c r="A799" i="4"/>
  <c r="A802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791" i="4"/>
  <c r="H790" i="4"/>
  <c r="H789" i="4"/>
  <c r="H792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791" i="4"/>
  <c r="A790" i="4"/>
  <c r="A789" i="4"/>
  <c r="A792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<sst xmlns="http://schemas.openxmlformats.org/spreadsheetml/2006/main" count="27264" uniqueCount="10938">
  <si>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</si>
  <si>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</si>
  <si>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</si>
  <si>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</si>
  <si>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</si>
  <si>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</si>
  <si>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</si>
  <si>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</si>
  <si>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</si>
  <si>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</si>
  <si>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</si>
  <si>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</si>
  <si>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</si>
  <si>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</si>
  <si>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</si>
  <si>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</si>
  <si>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</si>
  <si>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</si>
  <si>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</si>
  <si>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</si>
  <si>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</si>
  <si>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</si>
  <si>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</si>
  <si>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</si>
  <si>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</si>
  <si>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</si>
  <si>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</si>
  <si>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</si>
  <si>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</si>
  <si>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</si>
  <si>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</si>
  <si>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</si>
  <si>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</si>
  <si>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</si>
  <si>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</si>
  <si>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</si>
  <si>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</si>
  <si>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</si>
  <si>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</si>
  <si>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</si>
  <si>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</si>
  <si>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</si>
  <si>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</si>
  <si>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</si>
  <si>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</si>
  <si>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</si>
  <si>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</si>
  <si>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</si>
  <si>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</si>
  <si>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</si>
  <si>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</si>
  <si>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</si>
  <si>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</si>
  <si>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</si>
  <si>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</si>
  <si>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</si>
  <si>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</si>
  <si>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</si>
  <si>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</si>
  <si>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</si>
  <si>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</si>
  <si>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</si>
  <si>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</si>
  <si>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</si>
  <si>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</si>
  <si>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</si>
  <si>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</si>
  <si>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</si>
  <si>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</si>
  <si>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</si>
  <si>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</si>
  <si>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</si>
  <si>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</si>
  <si>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</si>
  <si>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</si>
  <si>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</si>
  <si>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</si>
  <si>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</si>
  <si>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</si>
  <si>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</si>
  <si>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</si>
  <si>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</si>
  <si>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</si>
  <si>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</si>
  <si>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</si>
  <si>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</si>
  <si>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</si>
  <si>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</si>
  <si>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</si>
  <si>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</si>
  <si>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</si>
  <si>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</si>
  <si>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</si>
  <si>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</si>
  <si>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</si>
  <si>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</si>
  <si>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</si>
  <si>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</si>
  <si>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</si>
  <si>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</si>
  <si>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</si>
  <si>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</si>
  <si>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</si>
  <si>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</si>
  <si>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</si>
  <si>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</si>
  <si>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</si>
  <si>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</si>
  <si>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</si>
  <si>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</si>
  <si>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</si>
  <si>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</si>
  <si>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</si>
  <si>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</si>
  <si>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</si>
  <si>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</si>
  <si>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</si>
  <si>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</si>
  <si>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</si>
  <si>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</si>
  <si>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</si>
  <si>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</si>
  <si>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</si>
  <si>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</si>
  <si>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</si>
  <si>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</si>
  <si>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</si>
  <si>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</si>
  <si>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</si>
  <si>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</si>
  <si>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</si>
  <si>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</si>
  <si>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</si>
  <si>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</si>
  <si>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</si>
  <si>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</si>
  <si>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</si>
  <si>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</si>
  <si>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</si>
  <si>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</si>
  <si>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</si>
  <si>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</si>
  <si>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</si>
  <si>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</si>
  <si>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</si>
  <si>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</si>
  <si>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</si>
  <si>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</si>
  <si>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</si>
  <si>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</si>
  <si>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</si>
  <si>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</si>
  <si>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</si>
  <si>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</si>
  <si>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</si>
  <si>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</si>
  <si>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</si>
  <si>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</si>
  <si>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</si>
  <si>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</si>
  <si>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</si>
  <si>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</si>
  <si>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</si>
  <si>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</si>
  <si>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</si>
  <si>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</si>
  <si>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</si>
  <si>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</si>
  <si>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</si>
  <si>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</si>
  <si>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</si>
  <si>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</si>
  <si>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</si>
  <si>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</si>
  <si>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</si>
  <si>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</si>
  <si>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</si>
  <si>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</si>
  <si>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</si>
  <si>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</si>
  <si>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</si>
  <si>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</si>
  <si>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</si>
  <si>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</si>
  <si>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</si>
  <si>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</si>
  <si>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</si>
  <si>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</si>
  <si>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</si>
  <si>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</si>
  <si>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</si>
  <si>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</si>
  <si>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</si>
  <si>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</si>
  <si>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</si>
  <si>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</si>
  <si>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</si>
  <si>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</si>
  <si>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</si>
  <si>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</si>
  <si>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</si>
  <si>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</si>
  <si>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</si>
  <si>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</si>
  <si>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</si>
  <si>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</si>
  <si>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</si>
  <si>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</si>
  <si>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</si>
  <si>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</si>
  <si>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</si>
  <si>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</si>
  <si>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</si>
  <si>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</si>
  <si>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</si>
  <si>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</si>
  <si>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</si>
  <si>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</si>
  <si>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</si>
  <si>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</si>
  <si>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</si>
  <si>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</si>
  <si>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</si>
  <si>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</si>
  <si>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</si>
  <si>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</si>
  <si>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</si>
  <si>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</si>
  <si>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</si>
  <si>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</si>
  <si>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</si>
  <si>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</si>
  <si>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</si>
  <si>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</si>
  <si>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</si>
  <si>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</si>
  <si>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</si>
  <si>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</si>
  <si>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</si>
  <si>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</si>
  <si>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</si>
  <si>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</si>
  <si>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</si>
  <si>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</si>
  <si>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</si>
  <si>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</si>
  <si>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</si>
  <si>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</si>
  <si>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</si>
  <si>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</si>
  <si>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</si>
  <si>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</si>
  <si>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</si>
  <si>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</si>
  <si>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</si>
  <si>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</si>
  <si>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</si>
  <si>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</si>
  <si>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</si>
  <si>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</si>
  <si>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</si>
  <si>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</si>
  <si>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</si>
  <si>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</si>
  <si>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</si>
  <si>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</si>
  <si>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</si>
  <si>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</si>
  <si>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</si>
  <si>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</si>
  <si>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</si>
  <si>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</si>
  <si>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</si>
  <si>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</si>
  <si>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</si>
  <si>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</si>
  <si>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</si>
  <si>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</si>
  <si>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</si>
  <si>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</si>
  <si>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</si>
  <si>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</si>
  <si>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</si>
  <si>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</si>
  <si>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</si>
  <si>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</si>
  <si>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</si>
  <si>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</si>
  <si>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</si>
  <si>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</si>
  <si>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</si>
  <si>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</si>
  <si>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</si>
  <si>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</si>
  <si>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</si>
  <si>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</si>
  <si>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</si>
  <si>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</si>
  <si>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</si>
  <si>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</si>
  <si>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</si>
  <si>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</si>
  <si>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</si>
  <si>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</si>
  <si>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</si>
  <si>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</si>
  <si>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</si>
  <si>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</si>
  <si>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</si>
  <si>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</si>
  <si>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</si>
  <si>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</si>
  <si>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</si>
  <si>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</si>
  <si>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</si>
  <si>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</si>
  <si>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</si>
  <si>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</si>
  <si>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</si>
  <si>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</si>
  <si>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</si>
  <si>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</si>
  <si>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</si>
  <si>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</si>
  <si>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</si>
  <si>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</si>
  <si>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</si>
  <si>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</si>
  <si>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</si>
  <si>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</si>
  <si>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</si>
  <si>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</si>
  <si>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</si>
  <si>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</si>
  <si>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</si>
  <si>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</si>
  <si>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</si>
  <si>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</si>
  <si>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</si>
  <si>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</si>
  <si>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</si>
  <si>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</si>
  <si>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</si>
  <si>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</si>
  <si>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</si>
  <si>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</si>
  <si>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</si>
  <si>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</si>
  <si>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</si>
  <si>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</si>
  <si>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</si>
  <si>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</si>
  <si>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</si>
  <si>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</si>
  <si>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</si>
  <si>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</si>
  <si>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</si>
  <si>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</si>
  <si>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</si>
  <si>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</si>
  <si>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</si>
  <si>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</si>
  <si>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</si>
  <si>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</si>
  <si>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</si>
  <si>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</si>
  <si>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</si>
  <si>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</si>
  <si>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</si>
  <si>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</si>
  <si>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</si>
  <si>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</si>
  <si>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</si>
  <si>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</si>
  <si>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</si>
  <si>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</si>
  <si>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</si>
  <si>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</si>
  <si>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</si>
  <si>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</si>
  <si>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</si>
  <si>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</si>
  <si>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</si>
  <si>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</si>
  <si>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</si>
  <si>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</si>
  <si>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</si>
  <si>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</si>
  <si>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</si>
  <si>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</si>
  <si>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</si>
  <si>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</si>
  <si>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</si>
  <si>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</si>
  <si>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</si>
  <si>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</si>
  <si>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</si>
  <si>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</si>
  <si>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</si>
  <si>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</si>
  <si>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</si>
  <si>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</si>
  <si>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</si>
  <si>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</si>
  <si>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</si>
  <si>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</si>
  <si>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</si>
  <si>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</si>
  <si>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</si>
  <si>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</si>
  <si>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</si>
  <si>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</si>
  <si>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</si>
  <si>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</si>
  <si>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</si>
  <si>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</si>
  <si>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</si>
  <si>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</si>
  <si>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</si>
  <si>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</si>
  <si>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</si>
  <si>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</si>
  <si>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</si>
  <si>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</si>
  <si>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</si>
  <si>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</si>
  <si>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</si>
  <si>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</si>
  <si>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</si>
  <si>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</si>
  <si>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</si>
  <si>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</si>
  <si>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</si>
  <si>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</si>
  <si>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</si>
  <si>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</si>
  <si>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</si>
  <si>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</si>
  <si>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</si>
  <si>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</si>
  <si>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</si>
  <si>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</si>
  <si>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</si>
  <si>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</si>
  <si>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</si>
  <si>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</si>
  <si>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</si>
  <si>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</si>
  <si>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</si>
  <si>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</si>
  <si>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</si>
  <si>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</si>
  <si>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</si>
  <si>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</si>
  <si>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</si>
  <si>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</si>
  <si>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</si>
  <si>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</si>
  <si>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</si>
  <si>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</si>
  <si>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</si>
  <si>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</si>
  <si>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</si>
  <si>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</si>
  <si>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</si>
  <si>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</si>
  <si>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</si>
  <si>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</si>
  <si>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</si>
  <si>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</si>
  <si>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</si>
  <si>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</si>
  <si>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</si>
  <si>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</si>
  <si>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</si>
  <si>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</si>
  <si>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</si>
  <si>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</si>
  <si>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</si>
  <si>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</si>
  <si>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</si>
  <si>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</si>
  <si>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</si>
  <si>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</si>
  <si>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</si>
  <si>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</si>
  <si>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</si>
  <si>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</si>
  <si>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</si>
  <si>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</si>
  <si>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</si>
  <si>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</si>
  <si>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</si>
  <si>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</si>
  <si>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</si>
  <si>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</si>
  <si>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</si>
  <si>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</si>
  <si>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</si>
  <si>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</si>
  <si>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</si>
  <si>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</si>
  <si>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</si>
  <si>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</si>
  <si>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</si>
  <si>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</si>
  <si>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</si>
  <si>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</si>
  <si>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</si>
  <si>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</si>
  <si>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</si>
  <si>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</si>
  <si>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</si>
  <si>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</si>
  <si>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</si>
  <si>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</si>
  <si>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</si>
  <si>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</si>
  <si>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</si>
  <si>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</si>
  <si>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</si>
  <si>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</si>
  <si>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</si>
  <si>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</si>
  <si>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</si>
  <si>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</si>
  <si>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</si>
  <si>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</si>
  <si>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</si>
  <si>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</si>
  <si>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</si>
  <si>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</si>
  <si>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</si>
  <si>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</si>
  <si>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</si>
  <si>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</si>
  <si>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</si>
  <si>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</si>
  <si>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</si>
  <si>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</si>
  <si>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</si>
  <si>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</si>
  <si>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</si>
  <si>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</si>
  <si>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</si>
  <si>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</si>
  <si>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</si>
  <si>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</si>
  <si>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</si>
  <si>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</si>
  <si>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</si>
  <si>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</si>
  <si>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</si>
  <si>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</si>
  <si>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</si>
  <si>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</si>
  <si>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</si>
  <si>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</si>
  <si>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</si>
  <si>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</si>
  <si>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</si>
  <si>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</si>
  <si>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</si>
  <si>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</si>
  <si>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</si>
  <si>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</si>
  <si>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</si>
  <si>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</si>
  <si>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</si>
  <si>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</si>
  <si>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</si>
  <si>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</si>
  <si>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</si>
  <si>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</si>
  <si>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</si>
  <si>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</si>
  <si>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</si>
  <si>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</si>
  <si>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</si>
  <si>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</si>
  <si>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</si>
  <si>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</si>
  <si>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</si>
  <si>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</si>
  <si>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</si>
  <si>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</si>
  <si>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</si>
  <si>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</si>
  <si>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</si>
  <si>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</si>
  <si>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</si>
  <si>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</si>
  <si>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</si>
  <si>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</si>
  <si>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</si>
  <si>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</si>
  <si>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</si>
  <si>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</si>
  <si>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</si>
  <si>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</si>
  <si>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</si>
  <si>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</si>
  <si>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</si>
  <si>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</si>
  <si>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</si>
  <si>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</si>
  <si>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</si>
  <si>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</si>
  <si>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</si>
  <si>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</si>
  <si>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</si>
  <si>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</si>
  <si>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</si>
  <si>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</si>
  <si>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</si>
  <si>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</si>
  <si>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</si>
  <si>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</si>
  <si>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</si>
  <si>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</si>
  <si>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</si>
  <si>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</si>
  <si>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</si>
  <si>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</si>
  <si>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</si>
  <si>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</si>
  <si>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</si>
  <si>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</si>
  <si>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</si>
  <si>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</si>
  <si>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</si>
  <si>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</si>
  <si>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</si>
  <si>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</si>
  <si>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</si>
  <si>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</si>
  <si>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</si>
  <si>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</si>
  <si>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</si>
  <si>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</si>
  <si>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</si>
  <si>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</si>
  <si>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</si>
  <si>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</si>
  <si>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</si>
  <si>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</si>
  <si>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</si>
  <si>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</si>
  <si>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</si>
  <si>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</si>
  <si>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</si>
  <si>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</si>
  <si>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</si>
  <si>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</si>
  <si>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</si>
  <si>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</si>
  <si>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</si>
  <si>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</si>
  <si>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</si>
  <si>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</si>
  <si>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</si>
  <si>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</si>
  <si>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</si>
  <si>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</si>
  <si>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</si>
  <si>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</si>
  <si>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</si>
  <si>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</si>
  <si>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</si>
  <si>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</si>
  <si>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</si>
  <si>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</si>
  <si>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</si>
  <si>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</si>
  <si>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</si>
  <si>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</si>
  <si>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</si>
  <si>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</si>
  <si>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</si>
  <si>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</si>
  <si>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</si>
  <si>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</si>
  <si>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</si>
  <si>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</si>
  <si>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</si>
  <si>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</si>
  <si>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</si>
  <si>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</si>
  <si>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</si>
  <si>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</si>
  <si>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</si>
  <si>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</si>
  <si>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</si>
  <si>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</si>
  <si>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</si>
  <si>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</si>
  <si>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</si>
  <si>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</si>
  <si>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</si>
  <si>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</si>
  <si>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</si>
  <si>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</si>
  <si>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</si>
  <si>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</si>
  <si>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</si>
  <si>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</si>
  <si>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</si>
  <si>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</si>
  <si>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</si>
  <si>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</si>
  <si>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</si>
  <si>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</si>
  <si>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</si>
  <si>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</si>
  <si>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</si>
  <si>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</si>
  <si>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</si>
  <si>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</si>
  <si>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</si>
  <si>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</si>
  <si>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</si>
  <si>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</si>
  <si>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</si>
  <si>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</si>
  <si>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</si>
  <si>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</si>
  <si>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</si>
  <si>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</si>
  <si>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</si>
  <si>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</si>
  <si>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</si>
  <si>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</si>
  <si>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</si>
  <si>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</si>
  <si>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</si>
  <si>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</si>
  <si>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</si>
  <si>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</si>
  <si>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</si>
  <si>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</si>
  <si>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</si>
  <si>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</si>
  <si>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</si>
  <si>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</si>
  <si>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</si>
  <si>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</si>
  <si>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</si>
  <si>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</si>
  <si>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</si>
  <si>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</si>
  <si>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</si>
  <si>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</si>
  <si>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</si>
  <si>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</si>
  <si>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</si>
  <si>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</si>
  <si>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</si>
  <si>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</si>
  <si>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</si>
  <si>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</si>
  <si>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</si>
  <si>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</si>
  <si>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</si>
  <si>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</si>
  <si>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</si>
  <si>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</si>
  <si>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</si>
  <si>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</si>
  <si>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</si>
  <si>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</si>
  <si>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</si>
  <si>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</si>
  <si>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</si>
  <si>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</si>
  <si>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</si>
  <si>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</si>
  <si>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</si>
  <si>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</si>
  <si>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</si>
  <si>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</si>
  <si>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</si>
  <si>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</si>
  <si>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</si>
  <si>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</si>
  <si>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</si>
  <si>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</si>
  <si>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</si>
  <si>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</si>
  <si>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</si>
  <si>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</si>
  <si>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</si>
  <si>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</si>
  <si>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</si>
  <si>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</si>
  <si>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</si>
  <si>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</si>
  <si>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</si>
  <si>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</si>
  <si>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</si>
  <si>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</si>
  <si>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</si>
  <si>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</si>
  <si>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</si>
  <si>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</si>
  <si>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</si>
  <si>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</si>
  <si>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</si>
  <si>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</si>
  <si>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</si>
  <si>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</si>
  <si>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</si>
  <si>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</si>
  <si>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</si>
  <si>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</si>
  <si>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</si>
  <si>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</si>
  <si>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</si>
  <si>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</si>
  <si>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</si>
  <si>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</si>
  <si>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</si>
  <si>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</si>
  <si>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</si>
  <si>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</si>
  <si>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</si>
  <si>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</si>
  <si>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</si>
  <si>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</si>
  <si>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</si>
  <si>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</si>
  <si>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</si>
  <si>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</si>
  <si>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</si>
  <si>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</si>
  <si>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</si>
  <si>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</si>
  <si>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</si>
  <si>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</si>
  <si>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</si>
  <si>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</si>
  <si>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</si>
  <si>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</si>
  <si>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</si>
  <si>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</si>
  <si>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</si>
  <si>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</si>
  <si>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</si>
  <si>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</si>
  <si>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</si>
  <si>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</si>
  <si>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</si>
  <si>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</si>
  <si>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</si>
  <si>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</si>
  <si>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</si>
  <si>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</si>
  <si>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</si>
  <si>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</si>
  <si>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</si>
  <si>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</si>
  <si>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</si>
  <si>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</si>
  <si>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</si>
  <si>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</si>
  <si>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</si>
  <si>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</si>
  <si>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</si>
  <si>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</si>
  <si>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</si>
  <si>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</si>
  <si>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</si>
  <si>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</si>
  <si>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</si>
  <si>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</si>
  <si>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</si>
  <si>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</si>
  <si>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</si>
  <si>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</si>
  <si>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</si>
  <si>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</si>
  <si>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</si>
  <si>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</si>
  <si>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</si>
  <si>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</si>
  <si>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</si>
  <si>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</si>
  <si>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</si>
  <si>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</si>
  <si>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</si>
  <si>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</si>
  <si>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</si>
  <si>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</si>
  <si>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</si>
  <si>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</si>
  <si>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</si>
  <si>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</si>
  <si>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</si>
  <si>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</si>
  <si>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</si>
  <si>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</si>
  <si>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</si>
  <si>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</si>
  <si>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</si>
  <si>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</si>
  <si>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</si>
  <si>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</si>
  <si>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</si>
  <si>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</si>
  <si>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</si>
  <si>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</si>
  <si>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</si>
  <si>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</si>
  <si>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</si>
  <si>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</si>
  <si>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</si>
  <si>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</si>
  <si>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</si>
  <si>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</si>
  <si>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</si>
  <si>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</si>
  <si>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</si>
  <si>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</si>
  <si>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</si>
  <si>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</si>
  <si>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</si>
  <si>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</si>
  <si>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</si>
  <si>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</si>
  <si>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</si>
  <si>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</si>
  <si>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</si>
  <si>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</si>
  <si>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</si>
  <si>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</si>
  <si>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</si>
  <si>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</si>
  <si>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</si>
  <si>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</si>
  <si>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</si>
  <si>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</si>
  <si>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</si>
  <si>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</si>
  <si>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</si>
  <si>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</si>
  <si>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</si>
  <si>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</si>
  <si>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</si>
  <si>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</si>
  <si>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</si>
  <si>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</si>
  <si>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</si>
  <si>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</si>
  <si>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</si>
  <si>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</si>
  <si>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</si>
  <si>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</si>
  <si>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</si>
  <si>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</si>
  <si>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</si>
  <si>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</si>
  <si>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</si>
  <si>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</si>
  <si>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</si>
  <si>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</si>
  <si>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</si>
  <si>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</si>
  <si>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</si>
  <si>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</si>
  <si>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</si>
  <si>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</si>
  <si>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</si>
  <si>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</si>
  <si>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</si>
  <si>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</si>
  <si>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</si>
  <si>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</si>
  <si>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</si>
  <si>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</si>
  <si>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</si>
  <si>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</si>
  <si>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</si>
  <si>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</si>
  <si>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</si>
  <si>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</si>
  <si>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</si>
  <si>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</si>
  <si>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</si>
  <si>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</si>
  <si>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</si>
  <si>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</si>
  <si>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</si>
  <si>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</si>
  <si>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</si>
  <si>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</si>
  <si>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</si>
  <si>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</si>
  <si>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</si>
  <si>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</si>
  <si>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</si>
  <si>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</si>
  <si>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</si>
  <si>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</si>
  <si>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</si>
  <si>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</si>
  <si>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</si>
  <si>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</si>
  <si>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</si>
  <si>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</si>
  <si>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</si>
  <si>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</si>
  <si>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</si>
  <si>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</si>
  <si>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</si>
  <si>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</si>
  <si>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</si>
  <si>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</si>
  <si>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</si>
  <si>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</si>
  <si>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</si>
  <si>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</si>
  <si>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</si>
  <si>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</si>
  <si>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</si>
  <si>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</si>
  <si>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</si>
  <si>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</si>
  <si>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</si>
  <si>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</si>
  <si>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</si>
  <si>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</si>
  <si>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</si>
  <si>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</si>
  <si>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</si>
  <si>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</si>
  <si>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</si>
  <si>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</si>
  <si>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</si>
  <si>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</si>
  <si>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</si>
  <si>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</si>
  <si>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</si>
  <si>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</si>
  <si>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</si>
  <si>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</si>
  <si>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</si>
  <si>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</si>
  <si>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</si>
  <si>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</si>
  <si>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</si>
  <si>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</si>
  <si>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</si>
  <si>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</si>
  <si>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</si>
  <si>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</si>
  <si>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</si>
  <si>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</si>
  <si>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</si>
  <si>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</si>
  <si>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</si>
  <si>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</si>
  <si>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</si>
  <si>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</si>
  <si>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</si>
  <si>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</si>
  <si>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</si>
  <si>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</si>
  <si>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</si>
  <si>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</si>
  <si>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</si>
  <si>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</si>
  <si>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</si>
  <si>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</si>
  <si>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</si>
  <si>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</si>
  <si>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</si>
  <si>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</si>
  <si>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</si>
  <si>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</si>
  <si>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</si>
  <si>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</si>
  <si>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</si>
  <si>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</si>
  <si>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</si>
  <si>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</si>
  <si>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</si>
  <si>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</si>
  <si>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</si>
  <si>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</si>
  <si>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</si>
  <si>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</si>
  <si>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</si>
  <si>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</si>
  <si>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</si>
  <si>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</si>
  <si>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</si>
  <si>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</si>
  <si>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</si>
  <si>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</si>
  <si>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</si>
  <si>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</si>
  <si>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</si>
  <si>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</si>
  <si>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</si>
  <si>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</si>
  <si>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</si>
  <si>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</si>
  <si>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</si>
  <si>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</si>
  <si>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</si>
  <si>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</si>
  <si>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</si>
  <si>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</si>
  <si>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</si>
  <si>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</si>
  <si>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</si>
  <si>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</si>
  <si>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</si>
  <si>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</si>
  <si>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</si>
  <si>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</si>
  <si>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</si>
  <si>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</si>
  <si>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</si>
  <si>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</si>
  <si>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</si>
  <si>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</si>
  <si>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</si>
  <si>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</si>
  <si>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</si>
  <si>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</si>
  <si>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</si>
  <si>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</si>
  <si>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</si>
  <si>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</si>
  <si>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</si>
  <si>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</si>
  <si>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</si>
  <si>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</si>
  <si>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</si>
  <si>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</si>
  <si>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</si>
  <si>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</si>
  <si>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</si>
  <si>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</si>
  <si>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</si>
  <si>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</si>
  <si>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</si>
  <si>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</si>
  <si>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</si>
  <si>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</si>
  <si>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</si>
  <si>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</si>
  <si>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</si>
  <si>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</si>
  <si>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</si>
  <si>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</si>
  <si>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</si>
  <si>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</si>
  <si>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</si>
  <si>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</si>
  <si>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</si>
  <si>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</si>
  <si>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</si>
  <si>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</si>
  <si>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</si>
  <si>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</si>
  <si>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</si>
  <si>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</si>
  <si>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</si>
  <si>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</si>
  <si>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</si>
  <si>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</si>
  <si>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</si>
  <si>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</si>
  <si>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</si>
  <si>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</si>
  <si>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</si>
  <si>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</si>
  <si>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</si>
  <si>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</si>
  <si>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</si>
  <si>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</si>
  <si>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</si>
  <si>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</si>
  <si>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</si>
  <si>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</si>
  <si>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</si>
  <si>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</si>
  <si>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</si>
  <si>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</si>
  <si>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</si>
  <si>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</si>
  <si>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</si>
  <si>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</si>
  <si>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</si>
  <si>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</si>
  <si>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</si>
  <si>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</si>
  <si>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</si>
  <si>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</si>
  <si>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</si>
  <si>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</si>
  <si>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</si>
  <si>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</si>
  <si>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</si>
  <si>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</si>
  <si>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</si>
  <si>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</si>
  <si>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</si>
  <si>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</si>
  <si>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</si>
  <si>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</si>
  <si>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</si>
  <si>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</si>
  <si>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</si>
  <si>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</si>
  <si>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</si>
  <si>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</si>
  <si>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</si>
  <si>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</si>
  <si>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</si>
  <si>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</si>
  <si>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</si>
  <si>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</si>
  <si>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</si>
  <si>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</si>
  <si>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</si>
  <si>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</si>
  <si>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</si>
  <si>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</si>
  <si>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</si>
  <si>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</si>
  <si>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</si>
  <si>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</si>
  <si>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</si>
  <si>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</si>
  <si>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</si>
  <si>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</si>
  <si>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</si>
  <si>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</si>
  <si>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</si>
  <si>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</si>
  <si>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</si>
  <si>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</si>
  <si>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</si>
  <si>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</si>
  <si>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</si>
  <si>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</si>
  <si>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</si>
  <si>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</si>
  <si>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</si>
  <si>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</si>
  <si>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</si>
  <si>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</si>
  <si>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</si>
  <si>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</si>
  <si>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</si>
  <si>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</si>
  <si>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</si>
  <si>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</si>
  <si>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</si>
  <si>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</si>
  <si>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</si>
  <si>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</si>
  <si>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</si>
  <si>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</si>
  <si>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</si>
  <si>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</si>
  <si>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</si>
  <si>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</si>
  <si>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</si>
  <si>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</si>
  <si>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</si>
  <si>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</si>
  <si>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</si>
  <si>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</si>
  <si>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</si>
  <si>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</si>
  <si>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</si>
  <si>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</si>
  <si>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</si>
  <si>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</si>
  <si>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</si>
  <si>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</si>
  <si>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</si>
  <si>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</si>
  <si>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</si>
  <si>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</si>
  <si>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</si>
  <si>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</si>
  <si>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</si>
  <si>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</si>
  <si>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</si>
  <si>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</si>
  <si>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</si>
  <si>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</si>
  <si>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</si>
  <si>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</si>
  <si>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</si>
  <si>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</si>
  <si>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</si>
  <si>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</si>
  <si>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</si>
  <si>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</si>
  <si>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</si>
  <si>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</si>
  <si>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</si>
  <si>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</si>
  <si>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</si>
  <si>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</si>
  <si>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</si>
  <si>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</si>
  <si>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</si>
  <si>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</si>
  <si>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</si>
  <si>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</si>
  <si>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</si>
  <si>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</si>
  <si>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</si>
  <si>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</si>
  <si>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</si>
  <si>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</si>
  <si>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</si>
  <si>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</si>
  <si>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</si>
  <si>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</si>
  <si>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</si>
  <si>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</si>
  <si>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</si>
  <si>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</si>
  <si>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</si>
  <si>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</si>
  <si>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</si>
  <si>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</si>
  <si>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</si>
  <si>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</si>
  <si>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</si>
  <si>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</si>
  <si>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</si>
  <si>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</si>
  <si>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</si>
  <si>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</si>
  <si>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</si>
  <si>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</si>
  <si>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</si>
  <si>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</si>
  <si>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</si>
  <si>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</si>
  <si>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</si>
  <si>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</si>
  <si>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</si>
  <si>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</si>
  <si>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</si>
  <si>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</si>
  <si>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</si>
  <si>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</si>
  <si>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</si>
  <si>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</si>
  <si>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</si>
  <si>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</si>
  <si>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</si>
  <si>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</si>
  <si>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</si>
  <si>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</si>
  <si>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</si>
  <si>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</si>
  <si>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</si>
  <si>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</si>
  <si>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</si>
  <si>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</si>
  <si>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</si>
  <si>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</si>
  <si>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</si>
  <si>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</si>
  <si>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</si>
  <si>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</si>
  <si>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</si>
  <si>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</si>
  <si>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</si>
  <si>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</si>
  <si>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</si>
  <si>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</si>
  <si>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</si>
  <si>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</si>
  <si>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</si>
  <si>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</si>
  <si>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</si>
  <si>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</si>
  <si>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</si>
  <si>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</si>
  <si>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</si>
  <si>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</si>
  <si>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</si>
  <si>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</si>
  <si>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</si>
  <si>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</si>
  <si>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</si>
  <si>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</si>
  <si>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</si>
  <si>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</si>
  <si>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</si>
  <si>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</si>
  <si>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</si>
  <si>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</si>
  <si>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</si>
  <si>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</si>
  <si>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</si>
  <si>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</si>
  <si>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</si>
  <si>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</si>
  <si>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</si>
  <si>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</si>
  <si>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</si>
  <si>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</si>
  <si>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</si>
  <si>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</si>
  <si>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</si>
  <si>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</si>
  <si>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</si>
  <si>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</si>
  <si>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</si>
  <si>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</si>
  <si>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</si>
  <si>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</si>
  <si>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</si>
  <si>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</si>
  <si>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</si>
  <si>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</si>
  <si>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</si>
  <si>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</si>
  <si>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</si>
  <si>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</si>
  <si>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</si>
  <si>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</si>
  <si>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</si>
  <si>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</si>
  <si>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</si>
  <si>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</si>
  <si>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</si>
  <si>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</si>
  <si>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</si>
  <si>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</si>
  <si>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</si>
  <si>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</si>
  <si>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</si>
  <si>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</si>
  <si>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</si>
  <si>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</si>
  <si>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</si>
  <si>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</si>
  <si>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</si>
  <si>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</si>
  <si>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</si>
  <si>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</si>
  <si>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</si>
  <si>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</si>
  <si>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</si>
  <si>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</si>
  <si>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</si>
  <si>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</si>
  <si>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</si>
  <si>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</si>
  <si>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</si>
  <si>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</si>
  <si>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</si>
  <si>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</si>
  <si>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</si>
  <si>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</si>
  <si>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</si>
  <si>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</si>
  <si>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</si>
  <si>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</si>
  <si>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</si>
  <si>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</si>
  <si>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</si>
  <si>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</si>
  <si>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</si>
  <si>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</si>
  <si>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</si>
  <si>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</si>
  <si>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</si>
  <si>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</si>
  <si>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</si>
  <si>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</si>
  <si>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</si>
  <si>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</si>
  <si>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</si>
  <si>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</si>
  <si>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</si>
  <si>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</si>
  <si>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</si>
  <si>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</si>
  <si>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</si>
  <si>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</si>
  <si>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</si>
  <si>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</si>
  <si>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</si>
  <si>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</si>
  <si>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</si>
  <si>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</si>
  <si>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</si>
  <si>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</si>
  <si>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</si>
  <si>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</si>
  <si>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</si>
  <si>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</si>
  <si>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</si>
  <si>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</si>
  <si>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</si>
  <si>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</si>
  <si>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</si>
  <si>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</si>
  <si>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</si>
  <si>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</si>
  <si>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</si>
  <si>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</si>
  <si>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</si>
  <si>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</si>
  <si>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</si>
  <si>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</si>
  <si>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</si>
  <si>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</si>
  <si>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</si>
  <si>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</si>
  <si>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</si>
  <si>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</si>
  <si>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</si>
  <si>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</si>
  <si>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</si>
  <si>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</si>
  <si>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</si>
  <si>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</si>
  <si>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</si>
  <si>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</si>
  <si>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</si>
  <si>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</si>
  <si>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</si>
  <si>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</si>
  <si>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</si>
  <si>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</si>
  <si>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</si>
  <si>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</si>
  <si>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</si>
  <si>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</si>
  <si>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</si>
  <si>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</si>
  <si>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</si>
  <si>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</si>
  <si>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</si>
  <si>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</si>
  <si>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</si>
  <si>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</si>
  <si>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</si>
  <si>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</si>
  <si>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</si>
  <si>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</si>
  <si>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</si>
  <si>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</si>
  <si>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</si>
  <si>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</si>
  <si>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</si>
  <si>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</si>
  <si>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</si>
  <si>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</si>
  <si>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</si>
  <si>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</si>
  <si>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</si>
  <si>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</si>
  <si>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</si>
  <si>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</si>
  <si>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</si>
  <si>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</si>
  <si>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</si>
  <si>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</si>
  <si>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</si>
  <si>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</si>
  <si>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</si>
  <si>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</si>
  <si>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</si>
  <si>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</si>
  <si>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</si>
  <si>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</si>
  <si>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</si>
  <si>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</si>
  <si>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</si>
  <si>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</si>
  <si>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</si>
  <si>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</si>
  <si>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</si>
  <si>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</si>
  <si>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</si>
  <si>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</si>
  <si>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</si>
  <si>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</si>
  <si>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</si>
  <si>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</si>
  <si>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</si>
  <si>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</si>
  <si>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</si>
  <si>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</si>
  <si>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</si>
  <si>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</si>
  <si>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</si>
  <si>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</si>
  <si>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</si>
  <si>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</si>
  <si>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</si>
  <si>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</si>
  <si>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</si>
  <si>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</si>
  <si>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</si>
  <si>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</si>
  <si>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</si>
  <si>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</si>
  <si>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</si>
  <si>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</si>
  <si>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</si>
  <si>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</si>
  <si>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</si>
  <si>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</si>
  <si>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</si>
  <si>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</si>
  <si>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</si>
  <si>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</si>
  <si>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</si>
  <si>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</si>
  <si>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</si>
  <si>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</si>
  <si>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</si>
  <si>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</si>
  <si>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</si>
  <si>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</si>
  <si>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</si>
  <si>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</si>
  <si>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</si>
  <si>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</si>
  <si>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</si>
  <si>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</si>
  <si>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</si>
  <si>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</si>
  <si>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</si>
  <si>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</si>
  <si>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</si>
  <si>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</si>
  <si>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</si>
  <si>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</si>
  <si>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</si>
  <si>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</si>
  <si>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</si>
  <si>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</si>
  <si>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</si>
  <si>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</si>
  <si>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</si>
  <si>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</si>
  <si>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</si>
  <si>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</si>
  <si>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</si>
  <si>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</si>
  <si>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</si>
  <si>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</si>
  <si>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</si>
  <si>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</si>
  <si>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</si>
  <si>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</si>
  <si>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</si>
  <si>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</si>
  <si>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</si>
  <si>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</si>
  <si>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</si>
  <si>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</si>
  <si>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</si>
  <si>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</si>
  <si>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</si>
  <si>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</si>
  <si>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</si>
  <si>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</si>
  <si>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</si>
  <si>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</si>
  <si>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</si>
  <si>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</si>
  <si>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</si>
  <si>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</si>
  <si>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</si>
  <si>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</si>
  <si>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</si>
  <si>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</si>
  <si>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</si>
  <si>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</si>
  <si>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</si>
  <si>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</si>
  <si>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</si>
  <si>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</si>
  <si>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</si>
  <si>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</si>
  <si>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</si>
  <si>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</si>
  <si>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</si>
  <si>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</si>
  <si>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</si>
  <si>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</si>
  <si>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</si>
  <si>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</si>
  <si>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</si>
  <si>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</si>
  <si>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</si>
  <si>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</si>
  <si>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</si>
  <si>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</si>
  <si>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</si>
  <si>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</si>
  <si>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</si>
  <si>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</si>
  <si>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</si>
  <si>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</si>
  <si>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</si>
  <si>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</si>
  <si>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</si>
  <si>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</si>
  <si>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</si>
  <si>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</si>
  <si>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</si>
  <si>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</si>
  <si>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</si>
  <si>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</si>
  <si>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</si>
  <si>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</si>
  <si>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</si>
  <si>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</si>
  <si>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</si>
  <si>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</si>
  <si>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</si>
  <si>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</si>
  <si>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</si>
  <si>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</si>
  <si>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</si>
  <si>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</si>
  <si>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</si>
  <si>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</si>
  <si>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</si>
  <si>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</si>
  <si>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</si>
  <si>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</si>
  <si>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</si>
  <si>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</si>
  <si>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</si>
  <si>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</si>
  <si>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</si>
  <si>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</si>
  <si>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</si>
  <si>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</si>
  <si>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</si>
  <si>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</si>
  <si>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</si>
  <si>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</si>
  <si>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</si>
  <si>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</si>
  <si>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</si>
  <si>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</si>
  <si>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</si>
  <si>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</si>
  <si>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</si>
  <si>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</si>
  <si>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</si>
  <si>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</si>
  <si>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</si>
  <si>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</si>
  <si>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</si>
  <si>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</si>
  <si>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</si>
  <si>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</si>
  <si>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</si>
  <si>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</si>
  <si>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</si>
  <si>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</si>
  <si>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</si>
  <si>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</si>
  <si>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</si>
  <si>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</si>
  <si>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</si>
  <si>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</si>
  <si>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</si>
  <si>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</si>
  <si>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</si>
  <si>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</si>
  <si>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</si>
  <si>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</si>
  <si>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</si>
  <si>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</si>
  <si>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</si>
  <si>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</si>
  <si>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</si>
  <si>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</si>
  <si>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</si>
  <si>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</si>
  <si>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</si>
  <si>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</si>
  <si>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</si>
  <si>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</si>
  <si>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</si>
  <si>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</si>
  <si>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</si>
  <si>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</si>
  <si>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</si>
  <si>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</si>
  <si>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</si>
  <si>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</si>
  <si>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</si>
  <si>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</si>
  <si>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</si>
  <si>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</si>
  <si>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</si>
  <si>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</si>
  <si>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</si>
  <si>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</si>
  <si>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</si>
  <si>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</si>
  <si>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</si>
  <si>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</si>
  <si>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</si>
  <si>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</si>
  <si>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</si>
  <si>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</si>
  <si>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</si>
  <si>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</si>
  <si>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</si>
  <si>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</si>
  <si>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</si>
  <si>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</si>
  <si>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</si>
  <si>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</si>
  <si>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</si>
  <si>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</si>
  <si>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</si>
  <si>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</si>
  <si>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</si>
  <si>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</si>
  <si>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</si>
  <si>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</si>
  <si>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</si>
  <si>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</si>
  <si>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</si>
  <si>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</si>
  <si>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</si>
  <si>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</si>
  <si>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</si>
  <si>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</si>
  <si>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</si>
  <si>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</si>
  <si>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</si>
  <si>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</si>
  <si>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</si>
  <si>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</si>
  <si>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</si>
  <si>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</si>
  <si>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</si>
  <si>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</si>
  <si>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</si>
  <si>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</si>
  <si>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</si>
  <si>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</si>
  <si>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</si>
  <si>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</si>
  <si>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</si>
  <si>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</si>
  <si>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</si>
  <si>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</si>
  <si>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</si>
  <si>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</si>
  <si>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</si>
  <si>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</si>
  <si>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</si>
  <si>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</si>
  <si>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</si>
  <si>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</si>
  <si>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</si>
  <si>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</si>
  <si>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</si>
  <si>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</si>
  <si>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</si>
  <si>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</si>
  <si>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</si>
  <si>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</si>
  <si>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</si>
  <si>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</si>
  <si>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</si>
  <si>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</si>
  <si>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</si>
  <si>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</si>
  <si>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</si>
  <si>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</si>
  <si>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</si>
  <si>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</si>
  <si>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</si>
  <si>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</si>
  <si>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</si>
  <si>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</si>
  <si>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</si>
  <si>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</si>
  <si>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</si>
  <si>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</si>
  <si>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</si>
  <si>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</si>
  <si>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</si>
  <si>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</si>
  <si>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</si>
  <si>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</si>
  <si>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</si>
  <si>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</si>
  <si>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</si>
  <si>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</si>
  <si>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</si>
  <si>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</si>
  <si>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</si>
  <si>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</si>
  <si>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</si>
  <si>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</si>
  <si>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</si>
  <si>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</si>
  <si>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</si>
  <si>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</si>
  <si>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</si>
  <si>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</si>
  <si>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</si>
  <si>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</si>
  <si>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</si>
  <si>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</si>
  <si>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</si>
  <si>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</si>
  <si>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</si>
  <si>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</si>
  <si>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</si>
  <si>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</si>
  <si>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</si>
  <si>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</si>
  <si>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</si>
  <si>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</si>
  <si>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</si>
  <si>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</si>
  <si>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</si>
  <si>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</si>
  <si>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</si>
  <si>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</si>
  <si>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</si>
  <si>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</si>
  <si>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</si>
  <si>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</si>
  <si>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</si>
  <si>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</si>
  <si>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</si>
  <si>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</si>
  <si>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</si>
  <si>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</si>
  <si>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</si>
  <si>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</si>
  <si>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</si>
  <si>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</si>
  <si>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</si>
  <si>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</si>
  <si>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</si>
  <si>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</si>
  <si>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</si>
  <si>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</si>
  <si>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</si>
  <si>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</si>
  <si>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</si>
  <si>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</si>
  <si>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</si>
  <si>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</si>
  <si>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</si>
  <si>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</si>
  <si>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</si>
  <si>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</si>
  <si>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</si>
  <si>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</si>
  <si>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</si>
  <si>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</si>
  <si>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</si>
  <si>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</si>
  <si>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</si>
  <si>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</si>
  <si>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</si>
  <si>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</si>
  <si>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</si>
  <si>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</si>
  <si>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</si>
  <si>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</si>
  <si>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</si>
  <si>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</si>
  <si>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</si>
  <si>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</si>
  <si>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</si>
  <si>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</si>
  <si>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</si>
  <si>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</si>
  <si>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</si>
  <si>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</si>
  <si>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</si>
  <si>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</si>
  <si>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</si>
  <si>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</si>
  <si>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</si>
  <si>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</si>
  <si>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</si>
  <si>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</si>
  <si>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</si>
  <si>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</si>
  <si>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</si>
  <si>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</si>
  <si>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</si>
  <si>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</si>
  <si>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</si>
  <si>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</si>
  <si>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</si>
  <si>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</si>
  <si>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</si>
  <si>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</si>
  <si>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</si>
  <si>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</si>
  <si>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</si>
  <si>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</si>
  <si>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</si>
  <si>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</si>
  <si>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</si>
  <si>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</si>
  <si>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</si>
  <si>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</si>
  <si>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</si>
  <si>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</si>
  <si>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</si>
  <si>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</si>
  <si>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</si>
  <si>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</si>
  <si>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</si>
  <si>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</si>
  <si>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</si>
  <si>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</si>
  <si>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</si>
  <si>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</si>
  <si>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</si>
  <si>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</si>
  <si>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</si>
  <si>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</si>
  <si>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</si>
  <si>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</si>
  <si>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</si>
  <si>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</si>
  <si>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</si>
  <si>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</si>
  <si>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</si>
  <si>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</si>
  <si>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</si>
  <si>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</si>
  <si>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</si>
  <si>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</si>
  <si>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</si>
  <si>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</si>
  <si>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</si>
  <si>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</si>
  <si>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</si>
  <si>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</si>
  <si>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</si>
  <si>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</si>
  <si>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</si>
  <si>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</si>
  <si>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</si>
  <si>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</si>
  <si>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</si>
  <si>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</si>
  <si>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</si>
  <si>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</si>
  <si>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</si>
  <si>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</si>
  <si>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</si>
  <si>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</si>
  <si>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</si>
  <si>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</si>
  <si>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</si>
  <si>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</si>
  <si>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</si>
  <si>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</si>
  <si>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</si>
  <si>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</si>
  <si>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</si>
  <si>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</si>
  <si>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</si>
  <si>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</si>
  <si>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</si>
  <si>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</si>
  <si>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</si>
  <si>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</si>
  <si>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</si>
  <si>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</si>
  <si>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</si>
  <si>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</si>
  <si>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</si>
  <si>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</si>
  <si>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</si>
  <si>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</si>
  <si>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</si>
  <si>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</si>
  <si>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</si>
  <si>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</si>
  <si>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</si>
  <si>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</si>
  <si>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</si>
  <si>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</si>
  <si>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</si>
  <si>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</si>
  <si>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</si>
  <si>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</si>
  <si>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</si>
  <si>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</si>
  <si>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</si>
  <si>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</si>
  <si>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</si>
  <si>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</si>
  <si>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</si>
  <si>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</si>
  <si>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</si>
  <si>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</si>
  <si>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</si>
  <si>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</si>
  <si>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</si>
  <si>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</si>
  <si>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</si>
  <si>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</si>
  <si>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</si>
  <si>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</si>
  <si>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</si>
  <si>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</si>
  <si>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</si>
  <si>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</si>
  <si>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</si>
  <si>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</si>
  <si>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</si>
  <si>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</si>
  <si>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</si>
  <si>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</si>
  <si>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</si>
  <si>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</si>
  <si>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</si>
  <si>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</si>
  <si>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</si>
  <si>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</si>
  <si>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</si>
  <si>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</si>
  <si>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</si>
  <si>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</si>
  <si>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</si>
  <si>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</si>
  <si>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</si>
  <si>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</si>
  <si>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</si>
  <si>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</si>
  <si>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</si>
  <si>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</si>
  <si>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</si>
  <si>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</si>
  <si>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</si>
  <si>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</si>
  <si>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</si>
  <si>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</si>
  <si>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</si>
  <si>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</si>
  <si>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</si>
  <si>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</si>
  <si>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</si>
  <si>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</si>
  <si>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</si>
  <si>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</si>
  <si>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</si>
  <si>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</si>
  <si>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</si>
  <si>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</si>
  <si>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</si>
  <si>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</si>
  <si>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</si>
  <si>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</si>
  <si>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</si>
  <si>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</si>
  <si>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</si>
  <si>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</si>
  <si>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</si>
  <si>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</si>
  <si>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</si>
  <si>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</si>
  <si>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</si>
  <si>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</si>
  <si>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</si>
  <si>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</si>
  <si>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</si>
  <si>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</si>
  <si>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</si>
  <si>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</si>
  <si>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</si>
  <si>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</si>
  <si>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</si>
  <si>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</si>
  <si>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</si>
  <si>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</si>
  <si>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</si>
  <si>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</si>
  <si>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</si>
  <si>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</si>
  <si>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</si>
  <si>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</si>
  <si>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</si>
  <si>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</si>
  <si>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</si>
  <si>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</si>
  <si>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</si>
  <si>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</si>
  <si>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</si>
  <si>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</si>
  <si>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</si>
  <si>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</si>
  <si>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</si>
  <si>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</si>
  <si>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</si>
  <si>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</si>
  <si>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</si>
  <si>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</si>
  <si>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</si>
  <si>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</si>
  <si>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</si>
  <si>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</si>
  <si>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</si>
  <si>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</si>
  <si>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</si>
  <si>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</si>
  <si>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</si>
  <si>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</si>
  <si>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</si>
  <si>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</si>
  <si>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</si>
  <si>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</si>
  <si>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</si>
  <si>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</si>
  <si>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</si>
  <si>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</si>
  <si>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</si>
  <si>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</si>
  <si>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</si>
  <si>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</si>
  <si>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</si>
  <si>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</si>
  <si>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</si>
  <si>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</si>
  <si>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</si>
  <si>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</si>
  <si>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</si>
  <si>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</si>
  <si>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</si>
  <si>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</si>
  <si>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</si>
  <si>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</si>
  <si>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</si>
  <si>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</si>
  <si>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</si>
  <si>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</si>
  <si>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</si>
  <si>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</si>
  <si>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</si>
  <si>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</si>
  <si>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</si>
  <si>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</si>
  <si>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</si>
  <si>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</si>
  <si>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</si>
  <si>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</si>
  <si>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</si>
  <si>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</si>
  <si>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</si>
  <si>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</si>
  <si>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</si>
  <si>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</si>
  <si>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</si>
  <si>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</si>
  <si>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</si>
  <si>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</si>
  <si>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</si>
  <si>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</si>
  <si>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</si>
  <si>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</si>
  <si>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</si>
  <si>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</si>
  <si>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</si>
  <si>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</si>
  <si>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</si>
  <si>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</si>
  <si>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</si>
  <si>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</si>
  <si>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</si>
  <si>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</si>
  <si>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</si>
  <si>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</si>
  <si>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</si>
  <si>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</si>
  <si>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</si>
  <si>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</si>
  <si>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</si>
  <si>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</si>
  <si>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</si>
  <si>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</si>
  <si>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</si>
  <si>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</si>
  <si>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</si>
  <si>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</si>
  <si>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</si>
  <si>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</si>
  <si>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</si>
  <si>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</si>
  <si>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</si>
  <si>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</si>
  <si>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</si>
  <si>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</si>
  <si>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</si>
  <si>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</si>
  <si>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</si>
  <si>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</si>
  <si>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</si>
  <si>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</si>
  <si>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</si>
  <si>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</si>
  <si>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</si>
  <si>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</si>
  <si>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</si>
  <si>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</si>
  <si>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</si>
  <si>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</si>
  <si>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</si>
  <si>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</si>
  <si>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</si>
  <si>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</si>
  <si>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</si>
  <si>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</si>
  <si>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</si>
  <si>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</si>
  <si>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</si>
  <si>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</si>
  <si>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</si>
  <si>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</si>
  <si>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</si>
  <si>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</si>
  <si>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</si>
  <si>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</si>
  <si>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</si>
  <si>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</si>
  <si>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</si>
  <si>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</si>
  <si>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</si>
  <si>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</si>
  <si>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</si>
  <si>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</si>
  <si>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</si>
  <si>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</si>
  <si>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</si>
  <si>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</si>
  <si>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</si>
  <si>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</si>
  <si>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</si>
  <si>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</si>
  <si>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</si>
  <si>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</si>
  <si>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</si>
  <si>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</si>
  <si>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</si>
  <si>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</si>
  <si>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</si>
  <si>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</si>
  <si>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</si>
  <si>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</si>
  <si>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</si>
  <si>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</si>
  <si>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</si>
  <si>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</si>
  <si>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</si>
  <si>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</si>
  <si>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</si>
  <si>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</si>
  <si>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</si>
  <si>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</si>
  <si>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</si>
  <si>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</si>
  <si>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</si>
  <si>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</si>
  <si>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</si>
  <si>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</si>
  <si>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</si>
  <si>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</si>
  <si>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</si>
  <si>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</si>
  <si>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</si>
  <si>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</si>
  <si>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</si>
  <si>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</si>
  <si>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</si>
  <si>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</si>
  <si>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</si>
  <si>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</si>
  <si>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</si>
  <si>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</si>
  <si>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</si>
  <si>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</si>
  <si>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</si>
  <si>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</si>
  <si>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</si>
  <si>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</si>
  <si>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</si>
  <si>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</si>
  <si>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</si>
  <si>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</si>
  <si>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</si>
  <si>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</si>
  <si>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</si>
  <si>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</si>
  <si>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</si>
  <si>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</si>
  <si>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</si>
  <si>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</si>
  <si>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</si>
  <si>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</si>
  <si>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</si>
  <si>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</si>
  <si>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</si>
  <si>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</si>
  <si>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</si>
  <si>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</si>
  <si>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</si>
  <si>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</si>
  <si>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</si>
  <si>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</si>
  <si>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</si>
  <si>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</si>
  <si>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</si>
  <si>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</si>
  <si>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</si>
  <si>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</si>
  <si>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</si>
  <si>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</si>
  <si>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</si>
  <si>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</si>
  <si>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</si>
  <si>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</si>
  <si>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</si>
  <si>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</si>
  <si>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</si>
  <si>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</si>
  <si>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</si>
  <si>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</si>
  <si>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</si>
  <si>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</si>
  <si>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</si>
  <si>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</si>
  <si>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</si>
  <si>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</si>
  <si>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</si>
  <si>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</si>
  <si>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</si>
  <si>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</si>
  <si>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</si>
  <si>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</si>
  <si>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</si>
  <si>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</si>
  <si>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</si>
  <si>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</si>
  <si>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</si>
  <si>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</si>
  <si>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</si>
  <si>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</si>
  <si>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</si>
  <si>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</si>
  <si>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</si>
  <si>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</si>
  <si>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</si>
  <si>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</si>
  <si>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</si>
  <si>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</si>
  <si>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</si>
  <si>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</si>
  <si>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</si>
  <si>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</si>
  <si>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</si>
  <si>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</si>
  <si>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</si>
  <si>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</si>
  <si>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</si>
  <si>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</si>
  <si>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</si>
  <si>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</si>
  <si>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</si>
  <si>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</si>
  <si>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</si>
  <si>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</si>
  <si>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</si>
  <si>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</si>
  <si>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</si>
  <si>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</si>
  <si>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</si>
  <si>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</si>
  <si>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</si>
  <si>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</si>
  <si>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</si>
  <si>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</si>
  <si>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</si>
  <si>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</si>
  <si>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</si>
  <si>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</si>
  <si>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</si>
  <si>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</si>
  <si>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</si>
  <si>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</si>
  <si>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</si>
  <si>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</si>
  <si>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</si>
  <si>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</si>
  <si>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</si>
  <si>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</si>
  <si>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</si>
  <si>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</si>
  <si>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</si>
  <si>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</si>
  <si>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</si>
  <si>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</si>
  <si>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</si>
  <si>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</si>
  <si>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</si>
  <si>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</si>
  <si>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</si>
  <si>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</si>
  <si>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</si>
  <si>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</si>
  <si>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</si>
  <si>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</si>
  <si>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</si>
  <si>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</si>
  <si>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</si>
  <si>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</si>
  <si>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</si>
  <si>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</si>
  <si>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</si>
  <si>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</si>
  <si>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</si>
  <si>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</si>
  <si>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</si>
  <si>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</si>
  <si>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</si>
  <si>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</si>
  <si>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</si>
  <si>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</si>
  <si>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</si>
  <si>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</si>
  <si>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</si>
  <si>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</si>
  <si>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</si>
  <si>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</si>
  <si>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</si>
  <si>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</si>
  <si>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</si>
  <si>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</si>
  <si>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</si>
  <si>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</si>
  <si>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</si>
  <si>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</si>
  <si>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</si>
  <si>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</si>
  <si>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</si>
  <si>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</si>
  <si>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</si>
  <si>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</si>
  <si>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</si>
  <si>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</si>
  <si>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</si>
  <si>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</si>
  <si>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</si>
  <si>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</si>
  <si>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</si>
  <si>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</si>
  <si>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</si>
  <si>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</si>
  <si>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</si>
  <si>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</si>
  <si>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</si>
  <si>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</si>
  <si>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</si>
  <si>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</si>
  <si>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</si>
  <si>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</si>
  <si>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</si>
  <si>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</si>
  <si>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</si>
  <si>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</si>
  <si>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</si>
  <si>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</si>
  <si>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</si>
  <si>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</si>
  <si>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</si>
  <si>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</si>
  <si>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</si>
  <si>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</si>
  <si>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</si>
  <si>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</si>
  <si>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</si>
  <si>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</si>
  <si>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</si>
  <si>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</si>
  <si>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</si>
  <si>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</si>
  <si>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</si>
  <si>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</si>
  <si>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</si>
  <si>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</si>
  <si>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</si>
  <si>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</si>
  <si>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</si>
  <si>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</si>
  <si>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</si>
  <si>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</si>
  <si>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</si>
  <si>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</si>
  <si>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</si>
  <si>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</si>
  <si>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</si>
  <si>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</si>
  <si>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</si>
  <si>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</si>
  <si>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</si>
  <si>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</si>
  <si>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</si>
  <si>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</si>
  <si>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</si>
  <si>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</si>
  <si>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</si>
  <si>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</si>
  <si>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</si>
  <si>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</si>
  <si>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</si>
  <si>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</si>
  <si>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</si>
  <si>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</si>
  <si>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</si>
  <si>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</si>
  <si>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</si>
  <si>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</si>
  <si>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</si>
  <si>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</si>
  <si>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</si>
  <si>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</si>
  <si>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</si>
  <si>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</si>
  <si>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</si>
  <si>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</si>
  <si>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</si>
  <si>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</si>
  <si>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</si>
  <si>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</si>
  <si>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</si>
  <si>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</si>
  <si>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</si>
  <si>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</si>
  <si>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</si>
  <si>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</si>
  <si>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</si>
  <si>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</si>
  <si>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</si>
  <si>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</si>
  <si>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</si>
  <si>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</si>
  <si>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</si>
  <si>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</si>
  <si>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</si>
  <si>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</si>
  <si>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</si>
  <si>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</si>
  <si>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</si>
  <si>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</si>
  <si>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</si>
  <si>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</si>
  <si>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</si>
  <si>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</si>
  <si>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</si>
  <si>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</si>
  <si>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</si>
  <si>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</si>
  <si>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</si>
  <si>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</si>
  <si>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</si>
  <si>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</si>
  <si>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</si>
  <si>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</si>
  <si>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</si>
  <si>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</si>
  <si>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</si>
  <si>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</si>
  <si>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</si>
  <si>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</si>
  <si>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</si>
  <si>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</si>
  <si>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</si>
  <si>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</si>
  <si>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</si>
  <si>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</si>
  <si>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</si>
  <si>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</si>
  <si>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</si>
  <si>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</si>
  <si>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</si>
  <si>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</si>
  <si>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</si>
  <si>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</si>
  <si>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</si>
  <si>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</si>
  <si>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</si>
  <si>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</si>
  <si>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</si>
  <si>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</si>
  <si>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</si>
  <si>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</si>
  <si>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</si>
  <si>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</si>
  <si>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</si>
  <si>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</si>
  <si>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</si>
  <si>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</si>
  <si>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</si>
  <si>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</si>
  <si>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</si>
  <si>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</si>
  <si>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</si>
  <si>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</si>
  <si>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</si>
  <si>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</si>
  <si>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</si>
  <si>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</si>
  <si>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</si>
  <si>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</si>
  <si>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</si>
  <si>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</si>
  <si>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</si>
  <si>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</si>
  <si>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</si>
  <si>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</si>
  <si>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</si>
  <si>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</si>
  <si>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</si>
  <si>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</si>
  <si>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</si>
  <si>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</si>
  <si>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</si>
  <si>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</si>
  <si>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</si>
  <si>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</si>
  <si>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</si>
  <si>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</si>
  <si>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</si>
  <si>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</si>
  <si>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</si>
  <si>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</si>
  <si>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</si>
  <si>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</si>
  <si>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</si>
  <si>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</si>
  <si>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</si>
  <si>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</si>
  <si>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</si>
  <si>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</si>
  <si>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</si>
  <si>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</si>
  <si>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</si>
  <si>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</si>
  <si>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</si>
  <si>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</si>
  <si>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</si>
  <si>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</si>
  <si>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</si>
  <si>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</si>
  <si>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</si>
  <si>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</si>
  <si>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</si>
  <si>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</si>
  <si>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</si>
  <si>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</si>
  <si>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</si>
  <si>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</si>
  <si>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</si>
  <si>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</si>
  <si>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</si>
  <si>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</si>
  <si>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</si>
  <si>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</si>
  <si>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</si>
  <si>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</si>
  <si>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</si>
  <si>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</si>
  <si>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</si>
  <si>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</si>
  <si>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</si>
  <si>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</si>
  <si>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</si>
  <si>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</si>
  <si>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</si>
  <si>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</si>
  <si>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</si>
  <si>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</si>
  <si>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</si>
  <si>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</si>
  <si>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</si>
  <si>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</si>
  <si>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</si>
  <si>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</si>
  <si>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</si>
  <si>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</si>
  <si>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</si>
  <si>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</si>
  <si>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</si>
  <si>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</si>
  <si>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</si>
  <si>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</si>
  <si>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</si>
  <si>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</si>
  <si>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</si>
  <si>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</si>
  <si>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</si>
  <si>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</si>
  <si>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</si>
  <si>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</si>
  <si>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</si>
  <si>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</si>
  <si>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</si>
  <si>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</si>
  <si>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</si>
  <si>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</si>
  <si>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</si>
  <si>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</si>
  <si>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</si>
  <si>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</si>
  <si>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</si>
  <si>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</si>
  <si>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</si>
  <si>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</si>
  <si>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</si>
  <si>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</si>
  <si>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</si>
  <si>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</si>
  <si>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</si>
  <si>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</si>
  <si>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</si>
  <si>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</si>
  <si>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</si>
  <si>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</si>
  <si>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</si>
  <si>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</si>
  <si>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</si>
  <si>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</si>
  <si>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</si>
  <si>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</si>
  <si>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</si>
  <si>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</si>
  <si>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</si>
  <si>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</si>
  <si>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</si>
  <si>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</si>
  <si>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</si>
  <si>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</si>
  <si>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</si>
  <si>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</si>
  <si>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</si>
  <si>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</si>
  <si>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</si>
  <si>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</si>
  <si>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</si>
  <si>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</si>
  <si>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</si>
  <si>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</si>
  <si>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</si>
  <si>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</si>
  <si>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</si>
  <si>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</si>
  <si>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</si>
  <si>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</si>
  <si>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</si>
  <si>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</si>
  <si>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</si>
  <si>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</si>
  <si>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</si>
  <si>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</si>
  <si>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</si>
  <si>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</si>
  <si>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</si>
  <si>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</si>
  <si>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</si>
  <si>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</si>
  <si>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</si>
  <si>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</si>
  <si>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</si>
  <si>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</si>
  <si>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</si>
  <si>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</si>
  <si>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</si>
  <si>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</si>
  <si>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</si>
  <si>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</si>
  <si>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</si>
  <si>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</si>
  <si>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</si>
  <si>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</si>
  <si>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</si>
  <si>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</si>
  <si>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</si>
  <si>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</si>
  <si>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</si>
  <si>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</si>
  <si>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</si>
  <si>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</si>
  <si>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</si>
  <si>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</si>
  <si>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</si>
  <si>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</si>
  <si>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</si>
  <si>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</si>
  <si>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</si>
  <si>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</si>
  <si>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</si>
  <si>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</si>
  <si>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</si>
  <si>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</si>
  <si>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</si>
  <si>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</si>
  <si>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</si>
  <si>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</si>
  <si>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</si>
  <si>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</si>
  <si>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</si>
  <si>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</si>
  <si>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</si>
  <si>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</si>
  <si>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</si>
  <si>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</si>
  <si>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</si>
  <si>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</si>
  <si>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</si>
  <si>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</si>
  <si>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</si>
  <si>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</si>
  <si>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</si>
  <si>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</si>
  <si>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</si>
  <si>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</si>
  <si>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</si>
  <si>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</si>
  <si>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</si>
  <si>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</si>
  <si>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</si>
  <si>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</si>
  <si>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</si>
  <si>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</si>
  <si>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</si>
  <si>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</si>
  <si>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</si>
  <si>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</si>
  <si>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</si>
  <si>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</si>
  <si>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</si>
  <si>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</si>
  <si>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</si>
  <si>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</si>
  <si>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</si>
  <si>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</si>
  <si>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</si>
  <si>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</si>
  <si>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</si>
  <si>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</si>
  <si>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</si>
  <si>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</si>
  <si>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</si>
  <si>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</si>
  <si>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</si>
  <si>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</si>
  <si>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</si>
  <si>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</si>
  <si>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</si>
  <si>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</si>
  <si>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</si>
  <si>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</si>
  <si>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</si>
  <si>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</si>
  <si>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</si>
  <si>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</si>
  <si>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</si>
  <si>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</si>
  <si>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</si>
  <si>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</si>
  <si>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</si>
  <si>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</si>
  <si>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</si>
  <si>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</si>
  <si>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</si>
  <si>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</si>
  <si>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</si>
  <si>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</si>
  <si>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</si>
  <si>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</si>
  <si>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</si>
  <si>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</si>
  <si>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</si>
  <si>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</si>
  <si>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</si>
  <si>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</si>
  <si>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</si>
  <si>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</si>
  <si>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</si>
  <si>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</si>
  <si>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</si>
  <si>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</si>
  <si>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</si>
  <si>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</si>
  <si>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</si>
  <si>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</si>
  <si>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</si>
  <si>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</si>
  <si>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</si>
  <si>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</si>
  <si>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</si>
  <si>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</si>
  <si>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</si>
  <si>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</si>
  <si>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</si>
  <si>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</si>
  <si>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</si>
  <si>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</si>
  <si>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</si>
  <si>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</si>
  <si>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</si>
  <si>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</si>
  <si>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</si>
  <si>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</si>
  <si>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</si>
  <si>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</si>
  <si>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</si>
  <si>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</si>
  <si>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</si>
  <si>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</si>
  <si>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</si>
  <si>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</si>
  <si>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</si>
  <si>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</si>
  <si>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</si>
  <si>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</si>
  <si>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</si>
  <si>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</si>
  <si>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</si>
  <si>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</si>
  <si>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</si>
  <si>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</si>
  <si>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</si>
  <si>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</si>
  <si>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</si>
  <si>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</si>
  <si>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</si>
  <si>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</si>
  <si>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</si>
  <si>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</si>
  <si>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</si>
  <si>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</si>
  <si>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</si>
  <si>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</si>
  <si>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</si>
  <si>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</si>
  <si>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</si>
  <si>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</si>
  <si>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</si>
  <si>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</si>
  <si>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</si>
  <si>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</si>
  <si>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</si>
  <si>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</si>
  <si>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</si>
  <si>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</si>
  <si>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</si>
  <si>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</si>
  <si>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</si>
  <si>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</si>
  <si>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</si>
  <si>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</si>
  <si>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</si>
  <si>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</si>
  <si>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</si>
  <si>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</si>
  <si>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</si>
  <si>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</si>
  <si>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</si>
  <si>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</si>
  <si>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</si>
  <si>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</si>
  <si>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</si>
  <si>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</si>
  <si>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</si>
  <si>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</si>
  <si>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</si>
  <si>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</si>
  <si>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</si>
  <si>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</si>
  <si>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</si>
  <si>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</si>
  <si>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</si>
  <si>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</si>
  <si>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</si>
  <si>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</si>
  <si>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</si>
  <si>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</si>
  <si>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</si>
  <si>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</si>
  <si>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</si>
  <si>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</si>
  <si>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</si>
  <si>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</si>
  <si>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</si>
  <si>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</si>
  <si>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</si>
  <si>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</si>
  <si>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</si>
  <si>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</si>
  <si>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</si>
  <si>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</si>
  <si>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</si>
  <si>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</si>
  <si>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</si>
  <si>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</si>
  <si>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</si>
  <si>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</si>
  <si>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</si>
  <si>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</si>
  <si>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</si>
  <si>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</si>
  <si>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</si>
  <si>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</si>
  <si>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</si>
  <si>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</si>
  <si>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</si>
  <si>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</si>
  <si>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</si>
  <si>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</si>
  <si>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</si>
  <si>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</si>
  <si>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</si>
  <si>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</si>
  <si>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</si>
  <si>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</si>
  <si>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</si>
  <si>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</si>
  <si>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</si>
  <si>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</si>
  <si>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</si>
  <si>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</si>
  <si>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</si>
  <si>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</si>
  <si>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</si>
  <si>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</si>
  <si>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</si>
  <si>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</si>
  <si>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</si>
  <si>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</si>
  <si>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</si>
  <si>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</si>
  <si>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</si>
  <si>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</si>
  <si>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</si>
  <si>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</si>
  <si>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</si>
  <si>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</si>
  <si>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</si>
  <si>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</si>
  <si>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</si>
  <si>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</si>
  <si>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</si>
  <si>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</si>
  <si>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</si>
  <si>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</si>
  <si>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</si>
  <si>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</si>
  <si>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</si>
  <si>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</si>
  <si>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</si>
  <si>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</si>
  <si>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</si>
  <si>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</si>
  <si>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</si>
  <si>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</si>
  <si>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</si>
  <si>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</si>
  <si>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</si>
  <si>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</si>
  <si>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</si>
  <si>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</si>
  <si>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</si>
  <si>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</si>
  <si>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</si>
  <si>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</si>
  <si>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</si>
  <si>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</si>
  <si>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</si>
  <si>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</si>
  <si>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</si>
  <si>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</si>
  <si>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</si>
  <si>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</si>
  <si>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</si>
  <si>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</si>
  <si>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</si>
  <si>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</si>
  <si>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</si>
  <si>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</si>
  <si>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</si>
  <si>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</si>
  <si>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</si>
  <si>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</si>
  <si>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</si>
  <si>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</si>
  <si>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</si>
  <si>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</si>
  <si>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</si>
  <si>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</si>
  <si>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</si>
  <si>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</si>
  <si>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</si>
  <si>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</si>
  <si>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</si>
  <si>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</si>
  <si>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</si>
  <si>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</si>
  <si>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</si>
  <si>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</si>
  <si>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</si>
  <si>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</si>
  <si>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</si>
  <si>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</si>
  <si>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</si>
  <si>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</si>
  <si>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</si>
  <si>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</si>
  <si>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</si>
  <si>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</si>
  <si>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</si>
  <si>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</si>
  <si>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</si>
  <si>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</si>
  <si>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</si>
  <si>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</si>
  <si>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</si>
  <si>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</si>
  <si>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</si>
  <si>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</si>
  <si>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</si>
  <si>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</si>
  <si>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</si>
  <si>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</si>
  <si>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</si>
  <si>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</si>
  <si>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</si>
  <si>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</si>
  <si>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</si>
  <si>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</si>
  <si>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</si>
  <si>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</si>
  <si>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</si>
  <si>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</si>
  <si>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</si>
  <si>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</si>
  <si>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</si>
  <si>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</si>
  <si>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</si>
  <si>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</si>
  <si>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</si>
  <si>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</si>
  <si>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</si>
  <si>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</si>
  <si>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</si>
  <si>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</si>
  <si>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</si>
  <si>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</si>
  <si>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</si>
  <si>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</si>
  <si>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</si>
  <si>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</si>
  <si>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</si>
  <si>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</si>
  <si>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</si>
  <si>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</si>
  <si>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</si>
  <si>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</si>
  <si>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</si>
  <si>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</si>
  <si>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</si>
  <si>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</si>
  <si>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</si>
  <si>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</si>
  <si>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</si>
  <si>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</si>
  <si>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</si>
  <si>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</si>
  <si>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</si>
  <si>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</si>
  <si>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</si>
  <si>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</si>
  <si>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</si>
  <si>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</si>
  <si>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</si>
  <si>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</si>
  <si>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</si>
  <si>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</si>
  <si>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</si>
  <si>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</si>
  <si>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</si>
  <si>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</si>
  <si>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</si>
  <si>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</si>
  <si>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</si>
  <si>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</si>
  <si>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</si>
  <si>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</si>
  <si>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</si>
  <si>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</si>
  <si>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</si>
  <si>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</si>
  <si>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</si>
  <si>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</si>
  <si>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</si>
  <si>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</si>
  <si>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</si>
  <si>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</si>
  <si>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</si>
  <si>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</si>
  <si>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</si>
  <si>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</si>
  <si>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</si>
  <si>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</si>
  <si>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</si>
  <si>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</si>
  <si>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</si>
  <si>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</si>
  <si>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</si>
  <si>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</si>
  <si>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</si>
  <si>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</si>
  <si>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</si>
  <si>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</si>
  <si>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</si>
  <si>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</si>
  <si>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</si>
  <si>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</si>
  <si>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</si>
  <si>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</si>
  <si>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</si>
  <si>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</si>
  <si>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</si>
  <si>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</si>
  <si>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</si>
  <si>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</si>
  <si>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</si>
  <si>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</si>
  <si>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</si>
  <si>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</si>
  <si>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</si>
  <si>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</si>
  <si>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</si>
  <si>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</si>
  <si>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</si>
  <si>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</si>
  <si>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</si>
  <si>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</si>
  <si>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</si>
  <si>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</si>
  <si>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</si>
  <si>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</si>
  <si>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</si>
  <si>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</si>
  <si>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</si>
  <si>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</si>
  <si>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</si>
  <si>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</si>
  <si>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</si>
  <si>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</si>
  <si>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</si>
  <si>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</si>
  <si>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</si>
  <si>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</si>
  <si>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</si>
  <si>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</si>
  <si>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</si>
  <si>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</si>
  <si>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</si>
  <si>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</si>
  <si>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</si>
  <si>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</si>
  <si>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</si>
  <si>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</si>
  <si>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</si>
  <si>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</si>
  <si>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</si>
  <si>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</si>
  <si>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</si>
  <si>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</si>
  <si>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</si>
  <si>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</si>
  <si>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</si>
  <si>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</si>
  <si>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</si>
  <si>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</si>
  <si>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</si>
  <si>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</si>
  <si>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</si>
  <si>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</si>
  <si>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</si>
  <si>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</si>
  <si>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</si>
  <si>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</si>
  <si>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</si>
  <si>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</si>
  <si>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</si>
  <si>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</si>
  <si>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</si>
  <si>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</si>
  <si>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</si>
  <si>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</si>
  <si>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</si>
  <si>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</si>
  <si>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</si>
  <si>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</si>
  <si>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</si>
  <si>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</si>
  <si>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</si>
  <si>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</si>
  <si>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</si>
  <si>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</si>
  <si>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</si>
  <si>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</si>
  <si>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</si>
  <si>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</si>
  <si>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</si>
  <si>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</si>
  <si>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</si>
  <si>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</si>
  <si>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</si>
  <si>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</si>
  <si>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</si>
  <si>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</si>
  <si>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</si>
  <si>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</si>
  <si>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</si>
  <si>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</si>
  <si>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</si>
  <si>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</si>
  <si>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</si>
  <si>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</si>
  <si>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</si>
  <si>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</si>
  <si>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</si>
  <si>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</si>
  <si>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</si>
  <si>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</si>
  <si>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</si>
  <si>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</si>
  <si>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</si>
  <si>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</si>
  <si>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</si>
  <si>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</si>
  <si>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</si>
  <si>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</si>
  <si>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</si>
  <si>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</si>
  <si>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</si>
  <si>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</si>
  <si>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</si>
  <si>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</si>
  <si>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</si>
  <si>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</si>
  <si>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</si>
  <si>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</si>
  <si>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</si>
  <si>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</si>
  <si>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</si>
  <si>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</si>
  <si>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</si>
  <si>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</si>
  <si>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</si>
  <si>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</si>
  <si>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</si>
  <si>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</si>
  <si>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</si>
  <si>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</si>
  <si>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</si>
  <si>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</si>
  <si>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</si>
  <si>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</si>
  <si>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</si>
  <si>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</si>
  <si>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</si>
  <si>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</si>
  <si>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</si>
  <si>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</si>
  <si>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</si>
  <si>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</si>
  <si>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</si>
  <si>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</si>
  <si>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</si>
  <si>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</si>
  <si>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</si>
  <si>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</si>
  <si>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</si>
  <si>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</si>
  <si>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</si>
  <si>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</si>
  <si>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</si>
  <si>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</si>
  <si>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</si>
  <si>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</si>
  <si>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</si>
  <si>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</si>
  <si>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</si>
  <si>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</si>
  <si>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</si>
  <si>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</si>
  <si>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</si>
  <si>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</si>
  <si>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</si>
  <si>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</si>
  <si>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</si>
  <si>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</si>
  <si>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</si>
  <si>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</si>
  <si>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</si>
  <si>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</si>
  <si>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</si>
  <si>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</si>
  <si>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</si>
  <si>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</si>
  <si>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</si>
  <si>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</si>
  <si>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</si>
  <si>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</si>
  <si>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</si>
  <si>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</si>
  <si>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</si>
  <si>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</si>
  <si>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</si>
  <si>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</si>
  <si>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</si>
  <si>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</si>
  <si>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</si>
  <si>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</si>
  <si>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</si>
  <si>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</si>
  <si>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</si>
  <si>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</si>
  <si>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</si>
  <si>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</si>
  <si>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</si>
  <si>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</si>
  <si>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</si>
  <si>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</si>
  <si>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</si>
  <si>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</si>
  <si>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</si>
  <si>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</si>
  <si>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</si>
  <si>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</si>
  <si>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</si>
  <si>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</si>
  <si>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</si>
  <si>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</si>
  <si>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</si>
  <si>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</si>
  <si>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</si>
  <si>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</si>
  <si>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</si>
  <si>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</si>
  <si>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</si>
  <si>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</si>
  <si>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</si>
  <si>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</si>
  <si>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</si>
  <si>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</si>
  <si>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</si>
  <si>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</si>
  <si>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</si>
  <si>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</si>
  <si>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</si>
  <si>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</si>
  <si>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</si>
  <si>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</si>
  <si>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</si>
  <si>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</si>
  <si>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</si>
  <si>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</si>
  <si>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</si>
  <si>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</si>
  <si>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</si>
  <si>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</si>
  <si>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</si>
  <si>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</si>
  <si>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</si>
  <si>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</si>
  <si>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</si>
  <si>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</si>
  <si>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</si>
  <si>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</si>
  <si>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</si>
  <si>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</si>
  <si>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</si>
  <si>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</si>
  <si>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</si>
  <si>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</si>
  <si>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</si>
  <si>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</si>
  <si>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</si>
  <si>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</si>
  <si>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</si>
  <si>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</si>
  <si>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</si>
  <si>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</si>
  <si>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</si>
  <si>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</si>
  <si>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</si>
  <si>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</si>
  <si>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</si>
  <si>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</si>
  <si>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</si>
  <si>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</si>
  <si>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</si>
  <si>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</si>
  <si>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</si>
  <si>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</si>
  <si>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</si>
  <si>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</si>
  <si>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</si>
  <si>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</si>
  <si>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</si>
  <si>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</si>
  <si>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</si>
  <si>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</si>
  <si>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</si>
  <si>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</si>
  <si>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</si>
  <si>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</si>
  <si>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</si>
  <si>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</si>
  <si>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</si>
  <si>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</si>
  <si>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</si>
  <si>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</si>
  <si>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</si>
  <si>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</si>
  <si>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</si>
  <si>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</si>
  <si>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</si>
  <si>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</si>
  <si>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</si>
  <si>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</si>
  <si>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</si>
  <si>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</si>
  <si>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</si>
  <si>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</si>
  <si>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</si>
  <si>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</si>
  <si>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</si>
  <si>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</si>
  <si>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</si>
  <si>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</si>
  <si>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</si>
  <si>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</si>
  <si>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</si>
  <si>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</si>
  <si>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</si>
  <si>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</si>
  <si>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</si>
  <si>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</si>
  <si>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</si>
  <si>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</si>
  <si>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</si>
  <si>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</si>
  <si>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</si>
  <si>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</si>
  <si>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</si>
  <si>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</si>
  <si>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</si>
  <si>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</si>
  <si>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</si>
  <si>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</si>
  <si>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</si>
  <si>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</si>
  <si>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</si>
  <si>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</si>
  <si>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</si>
  <si>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</si>
  <si>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</si>
  <si>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</si>
  <si>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</si>
  <si>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</si>
  <si>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</si>
  <si>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</si>
  <si>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</si>
  <si>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</si>
  <si>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</si>
  <si>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</si>
  <si>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</si>
  <si>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</si>
  <si>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</si>
  <si>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</si>
  <si>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</si>
  <si>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</si>
  <si>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</si>
  <si>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</si>
  <si>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</si>
  <si>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</si>
  <si>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</si>
  <si>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</si>
  <si>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</si>
  <si>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</si>
  <si>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</si>
  <si>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</si>
  <si>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</si>
  <si>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</si>
  <si>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</si>
  <si>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</si>
  <si>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</si>
  <si>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</si>
  <si>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</si>
  <si>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</si>
  <si>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</si>
  <si>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</si>
  <si>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</si>
  <si>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</si>
  <si>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</si>
  <si>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</si>
  <si>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</si>
  <si>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</si>
  <si>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</si>
  <si>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</si>
  <si>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</si>
  <si>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</si>
  <si>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</si>
  <si>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</si>
  <si>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</si>
  <si>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</si>
  <si>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</si>
  <si>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</si>
  <si>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</si>
  <si>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</si>
  <si>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</si>
  <si>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</si>
  <si>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</si>
  <si>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</si>
  <si>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</si>
  <si>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</si>
  <si>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</si>
  <si>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</si>
  <si>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</si>
  <si>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</si>
  <si>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</si>
  <si>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</si>
  <si>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</si>
  <si>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</si>
  <si>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</si>
  <si>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</si>
  <si>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</si>
  <si>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</si>
  <si>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</si>
  <si>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</si>
  <si>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</si>
  <si>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</si>
  <si>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</si>
  <si>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</si>
  <si>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</si>
  <si>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</si>
  <si>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</si>
  <si>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</si>
  <si>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</si>
  <si>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</si>
  <si>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</si>
  <si>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</si>
  <si>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</si>
  <si>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</si>
  <si>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</si>
  <si>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</si>
  <si>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</si>
  <si>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</si>
  <si>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</si>
  <si>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</si>
  <si>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</si>
  <si>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</si>
  <si>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</si>
  <si>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</si>
  <si>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</si>
  <si>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</si>
  <si>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</si>
  <si>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</si>
  <si>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</si>
  <si>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</si>
  <si>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</si>
  <si>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</si>
  <si>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</si>
  <si>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</si>
  <si>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</si>
  <si>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</si>
  <si>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</si>
  <si>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</si>
  <si>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</si>
  <si>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</si>
  <si>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</si>
  <si>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</si>
  <si>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</si>
  <si>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</si>
  <si>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</si>
  <si>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</si>
  <si>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</si>
  <si>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</si>
  <si>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</si>
  <si>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</si>
  <si>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</si>
  <si>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</si>
  <si>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</si>
  <si>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</si>
  <si>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</si>
  <si>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</si>
  <si>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</si>
  <si>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</si>
  <si>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</si>
  <si>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</si>
  <si>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</si>
  <si>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</si>
  <si>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</si>
  <si>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</si>
  <si>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</si>
  <si>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</si>
  <si>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</si>
  <si>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</si>
  <si>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</si>
  <si>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</si>
  <si>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</si>
  <si>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</si>
  <si>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</si>
  <si>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</si>
  <si>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</si>
  <si>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</si>
  <si>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</si>
  <si>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</si>
  <si>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</si>
  <si>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</si>
  <si>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</si>
  <si>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</si>
  <si>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</si>
  <si>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</si>
  <si>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</si>
  <si>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</si>
  <si>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</si>
  <si>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</si>
  <si>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</si>
  <si>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</si>
  <si>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</si>
  <si>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</si>
  <si>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</si>
  <si>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</si>
  <si>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</si>
  <si>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</si>
  <si>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</si>
  <si>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</si>
  <si>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</si>
  <si>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</si>
  <si>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</si>
  <si>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</si>
  <si>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</si>
  <si>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</si>
  <si>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</si>
  <si>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</si>
  <si>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</si>
  <si>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</si>
  <si>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</si>
  <si>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</si>
  <si>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</si>
  <si>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</si>
  <si>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</si>
  <si>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</si>
  <si>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</si>
  <si>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</si>
  <si>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</si>
  <si>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</si>
  <si>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</si>
  <si>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</si>
  <si>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</si>
  <si>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</si>
  <si>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</si>
  <si>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</si>
  <si>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</si>
  <si>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</si>
  <si>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</si>
  <si>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</si>
  <si>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</si>
  <si>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</si>
  <si>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</si>
  <si>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</si>
  <si>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</si>
  <si>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</si>
  <si>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</si>
  <si>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</si>
  <si>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</si>
  <si>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</si>
  <si>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</si>
  <si>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</si>
  <si>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</si>
  <si>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</si>
  <si>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</si>
  <si>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</si>
  <si>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</si>
  <si>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</si>
  <si>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</si>
  <si>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</si>
  <si>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</si>
  <si>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</si>
  <si>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</si>
  <si>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</si>
  <si>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</si>
  <si>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</si>
  <si>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</si>
  <si>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</si>
  <si>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</si>
  <si>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</si>
  <si>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</si>
  <si>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</si>
  <si>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</si>
  <si>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</si>
  <si>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</si>
  <si>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</si>
  <si>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</si>
  <si>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</si>
  <si>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</si>
  <si>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</si>
  <si>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</si>
  <si>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</si>
  <si>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</si>
  <si>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</si>
  <si>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</si>
  <si>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</si>
  <si>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</si>
  <si>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</si>
  <si>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</si>
  <si>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</si>
  <si>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</si>
  <si>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</si>
  <si>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</si>
  <si>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</si>
  <si>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</si>
  <si>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</si>
  <si>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</si>
  <si>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</si>
  <si>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</si>
  <si>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</si>
  <si>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</si>
  <si>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</si>
  <si>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</si>
  <si>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</si>
  <si>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</si>
  <si>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</si>
  <si>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</si>
  <si>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</si>
  <si>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</si>
  <si>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</si>
  <si>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</si>
  <si>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</si>
  <si>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</si>
  <si>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</si>
  <si>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</si>
  <si>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</si>
  <si>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</si>
  <si>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</si>
  <si>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</si>
  <si>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</si>
  <si>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</si>
  <si>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</si>
  <si>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</si>
  <si>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</si>
  <si>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</si>
  <si>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</si>
  <si>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</si>
  <si>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</si>
  <si>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</si>
  <si>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</si>
  <si>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</si>
  <si>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</si>
  <si>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</si>
  <si>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</si>
  <si>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</si>
  <si>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</si>
  <si>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</si>
  <si>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</si>
  <si>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</si>
  <si>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</si>
  <si>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</si>
  <si>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</si>
  <si>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</si>
  <si>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</si>
  <si>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</si>
  <si>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</si>
  <si>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</si>
  <si>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</si>
  <si>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</si>
  <si>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</si>
  <si>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</si>
  <si>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</si>
  <si>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</si>
  <si>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</si>
  <si>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</si>
  <si>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</si>
  <si>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</si>
  <si>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</si>
  <si>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</si>
  <si>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</si>
  <si>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</si>
  <si>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</si>
  <si>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</si>
  <si>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</si>
  <si>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</si>
  <si>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</si>
  <si>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</si>
  <si>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</si>
  <si>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</si>
  <si>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</si>
  <si>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</si>
  <si>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</si>
  <si>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</si>
  <si>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</si>
  <si>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</si>
  <si>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</si>
  <si>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</si>
  <si>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</si>
  <si>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</si>
  <si>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</si>
  <si>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</si>
  <si>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</si>
  <si>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</si>
  <si>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</si>
  <si>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</si>
  <si>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</si>
  <si>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</si>
  <si>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</si>
  <si>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</si>
  <si>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</si>
  <si>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</si>
  <si>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</si>
  <si>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</si>
  <si>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</si>
  <si>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</si>
  <si>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</si>
  <si>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</si>
  <si>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</si>
  <si>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</si>
  <si>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</si>
  <si>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</si>
  <si>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</si>
  <si>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</si>
  <si>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</si>
  <si>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</si>
  <si>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</si>
  <si>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</si>
  <si>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</si>
  <si>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</si>
  <si>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</si>
  <si>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</si>
  <si>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</si>
  <si>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</si>
  <si>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</si>
  <si>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</si>
  <si>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</si>
  <si>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</si>
  <si>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</si>
  <si>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</si>
  <si>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</si>
  <si>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</si>
  <si>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</si>
  <si>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</si>
  <si>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</si>
  <si>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</si>
  <si>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</si>
  <si>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</si>
  <si>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</si>
  <si>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</si>
  <si>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</si>
  <si>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</si>
  <si>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</si>
  <si>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</si>
  <si>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</si>
  <si>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</si>
  <si>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</si>
  <si>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</si>
  <si>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</si>
  <si>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</si>
  <si>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</si>
  <si>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</si>
  <si>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</si>
  <si>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</si>
  <si>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</si>
  <si>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</si>
  <si>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</si>
  <si>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</si>
  <si>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</si>
  <si>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</si>
  <si>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</si>
  <si>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</si>
  <si>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</si>
  <si>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</si>
  <si>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</si>
  <si>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</si>
  <si>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</si>
  <si>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</si>
  <si>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</si>
  <si>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</si>
  <si>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</si>
  <si>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</si>
  <si>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</si>
  <si>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</si>
  <si>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</si>
  <si>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</si>
  <si>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</si>
  <si>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</si>
  <si>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</si>
  <si>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</si>
  <si>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</si>
  <si>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</si>
  <si>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</si>
  <si>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</si>
  <si>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</si>
  <si>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</si>
  <si>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</si>
  <si>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</si>
  <si>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</si>
  <si>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</si>
  <si>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</si>
  <si>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</si>
  <si>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</si>
  <si>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</si>
  <si>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</si>
  <si>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</si>
  <si>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</si>
  <si>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</si>
  <si>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</si>
  <si>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</si>
  <si>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</si>
  <si>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</si>
  <si>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</si>
  <si>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</si>
  <si>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</si>
  <si>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</si>
  <si>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</si>
  <si>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</si>
  <si>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</si>
  <si>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</si>
  <si>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</si>
  <si>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</si>
  <si>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</si>
  <si>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</si>
  <si>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</si>
  <si>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</si>
  <si>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</si>
  <si>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</si>
  <si>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</si>
  <si>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</si>
  <si>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</si>
  <si>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</si>
  <si>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</si>
  <si>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</si>
  <si>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</si>
  <si>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</si>
  <si>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</si>
  <si>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</si>
  <si>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</si>
  <si>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</si>
  <si>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</si>
  <si>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</si>
  <si>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</si>
  <si>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</si>
  <si>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</si>
  <si>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</si>
  <si>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</si>
  <si>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</si>
  <si>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</si>
  <si>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</si>
  <si>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</si>
  <si>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</si>
  <si>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</si>
  <si>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</si>
  <si>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</si>
  <si>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</si>
  <si>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</si>
  <si>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</si>
  <si>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</si>
  <si>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</si>
  <si>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</si>
  <si>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</si>
  <si>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</si>
  <si>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</si>
  <si>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</si>
  <si>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</si>
  <si>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</si>
  <si>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</si>
  <si>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</si>
  <si>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</si>
  <si>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</si>
  <si>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</si>
  <si>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</si>
  <si>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</si>
  <si>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</si>
  <si>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</si>
  <si>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</si>
  <si>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</si>
  <si>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</si>
  <si>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</si>
  <si>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</si>
  <si>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</si>
  <si>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</si>
  <si>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</si>
  <si>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</si>
  <si>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</si>
  <si>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</si>
  <si>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</si>
  <si>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</si>
  <si>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</si>
  <si>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</si>
  <si>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</si>
  <si>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</si>
  <si>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</si>
  <si>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</si>
  <si>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</si>
  <si>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</si>
  <si>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</si>
  <si>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</si>
  <si>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</si>
  <si>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</si>
  <si>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</si>
  <si>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</si>
  <si>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</si>
  <si>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</si>
  <si>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</si>
  <si>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</si>
  <si>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</si>
  <si>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</si>
  <si>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</si>
  <si>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</si>
  <si>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</si>
  <si>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</si>
  <si>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</si>
  <si>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</si>
  <si>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</si>
  <si>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</si>
  <si>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</si>
  <si>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</si>
  <si>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</si>
  <si>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</si>
  <si>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</si>
  <si>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</si>
  <si>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</si>
  <si>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</si>
  <si>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</si>
  <si>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</si>
  <si>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</si>
  <si>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</si>
  <si>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</si>
  <si>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</si>
  <si>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</si>
  <si>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</si>
  <si>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</si>
  <si>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</si>
  <si>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</si>
  <si>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</si>
  <si>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</si>
  <si>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</si>
  <si>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</si>
  <si>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</si>
  <si>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</si>
  <si>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</si>
  <si>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</si>
  <si>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</si>
  <si>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</si>
  <si>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</si>
  <si>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</si>
  <si>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</si>
  <si>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</si>
  <si>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</si>
  <si>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</si>
  <si>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</si>
  <si>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</si>
  <si>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</si>
  <si>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</si>
  <si>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</si>
  <si>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</si>
  <si>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</si>
  <si>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</si>
  <si>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</si>
  <si>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</si>
  <si>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</si>
  <si>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</si>
  <si>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</si>
  <si>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</si>
  <si>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</si>
  <si>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</si>
  <si>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</si>
  <si>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</si>
  <si>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</si>
  <si>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</si>
  <si>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</si>
  <si>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</si>
  <si>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</si>
  <si>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</si>
  <si>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</si>
  <si>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</si>
  <si>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</si>
  <si>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</si>
  <si>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</si>
  <si>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</si>
  <si>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</si>
  <si>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</si>
  <si>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</si>
  <si>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</si>
  <si>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</si>
  <si>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</si>
  <si>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</si>
  <si>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</si>
  <si>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</si>
  <si>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</si>
  <si>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</si>
  <si>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</si>
  <si>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</si>
  <si>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</si>
  <si>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</si>
  <si>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</si>
  <si>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</si>
  <si>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</si>
  <si>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</si>
  <si>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</si>
  <si>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</si>
  <si>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</si>
  <si>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</si>
  <si>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</si>
  <si>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</si>
  <si>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</si>
  <si>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</si>
  <si>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</si>
  <si>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</si>
  <si>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</si>
  <si>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</si>
  <si>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</si>
  <si>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</si>
  <si>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</si>
  <si>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</si>
  <si>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</si>
  <si>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</si>
  <si>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</si>
  <si>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</si>
  <si>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</si>
  <si>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</si>
  <si>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</si>
  <si>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</si>
  <si>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</si>
  <si>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</si>
  <si>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</si>
  <si>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</si>
  <si>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</si>
  <si>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</si>
  <si>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</si>
  <si>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</si>
  <si>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</si>
  <si>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</si>
  <si>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</si>
  <si>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</si>
  <si>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</si>
  <si>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</si>
  <si>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</si>
  <si>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</si>
  <si>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</si>
  <si>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</si>
  <si>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</si>
  <si>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</si>
  <si>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</si>
  <si>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</si>
  <si>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</si>
  <si>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</si>
  <si>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</si>
  <si>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</si>
  <si>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</si>
  <si>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</si>
  <si>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</si>
  <si>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</si>
  <si>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</si>
  <si>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</si>
  <si>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</si>
  <si>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</si>
  <si>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</si>
  <si>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</si>
  <si>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</si>
  <si>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</si>
  <si>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</si>
  <si>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</si>
  <si>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</si>
  <si>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</si>
  <si>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</si>
  <si>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</si>
  <si>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</si>
  <si>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</si>
  <si>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</si>
  <si>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</si>
  <si>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</si>
  <si>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</si>
  <si>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</si>
  <si>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</si>
  <si>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</si>
  <si>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</si>
  <si>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</si>
  <si>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</si>
  <si>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</si>
  <si>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</si>
  <si>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</si>
  <si>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</si>
  <si>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</si>
  <si>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</si>
  <si>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</si>
  <si>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</si>
  <si>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</si>
  <si>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</si>
  <si>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</si>
  <si>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</si>
  <si>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</si>
  <si>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</si>
  <si>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</si>
  <si>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</si>
  <si>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</si>
  <si>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</si>
  <si>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</si>
  <si>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</si>
  <si>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</si>
  <si>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</si>
  <si>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</si>
  <si>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</si>
  <si>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</si>
  <si>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</si>
  <si>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</si>
  <si>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</si>
  <si>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</si>
  <si>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</si>
  <si>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</si>
  <si>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</si>
  <si>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</si>
  <si>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</si>
  <si>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</si>
  <si>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</si>
  <si>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</si>
  <si>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</si>
  <si>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</si>
  <si>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</si>
  <si>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</si>
  <si>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</si>
  <si>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</si>
  <si>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</si>
  <si>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</si>
  <si>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</si>
  <si>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</si>
  <si>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</si>
  <si>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</si>
  <si>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</si>
  <si>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</si>
  <si>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</si>
  <si>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</si>
  <si>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</si>
  <si>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</si>
  <si>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</si>
  <si>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</si>
  <si>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</si>
  <si>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</si>
  <si>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</si>
  <si>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</si>
  <si>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</si>
  <si>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</si>
  <si>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</si>
  <si>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</si>
  <si>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</si>
  <si>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</si>
  <si>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</si>
  <si>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</si>
  <si>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</si>
  <si>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</si>
  <si>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</si>
  <si>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</si>
  <si>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</si>
  <si>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</si>
  <si>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</si>
  <si>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</si>
  <si>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</si>
  <si>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</si>
  <si>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</si>
  <si>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</si>
  <si>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</si>
  <si>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</si>
  <si>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</si>
  <si>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</si>
  <si>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</si>
  <si>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</si>
  <si>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</si>
  <si>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</si>
  <si>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</si>
  <si>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</si>
  <si>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</si>
  <si>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</si>
  <si>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</si>
  <si>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</si>
  <si>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</si>
  <si>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</si>
  <si>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</si>
  <si>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</si>
  <si>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</si>
  <si>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</si>
  <si>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</si>
  <si>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</si>
  <si>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</si>
  <si>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</si>
  <si>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</si>
  <si>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</si>
  <si>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</si>
  <si>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</si>
  <si>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</si>
  <si>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</si>
  <si>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</si>
  <si>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</si>
  <si>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</si>
  <si>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</si>
  <si>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</si>
  <si>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</si>
  <si>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</si>
  <si>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</si>
  <si>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</si>
  <si>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</si>
  <si>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</si>
  <si>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</si>
  <si>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</si>
  <si>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</si>
  <si>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</si>
  <si>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</si>
  <si>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</si>
  <si>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</si>
  <si>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</si>
  <si>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</si>
  <si>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</si>
  <si>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</si>
  <si>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</si>
  <si>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</si>
  <si>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</si>
  <si>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</si>
  <si>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</si>
  <si>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</si>
  <si>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</si>
  <si>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</si>
  <si>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</si>
  <si>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</si>
  <si>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</si>
  <si>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</si>
  <si>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</si>
  <si>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</si>
  <si>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</si>
  <si>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</si>
  <si>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</si>
  <si>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</si>
  <si>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</si>
  <si>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</si>
  <si>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</si>
  <si>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</si>
  <si>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</si>
  <si>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</si>
  <si>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</si>
  <si>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</si>
  <si>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</si>
  <si>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</si>
  <si>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</si>
  <si>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</si>
  <si>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</si>
  <si>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</si>
  <si>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</si>
  <si>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</si>
  <si>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</si>
  <si>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</si>
  <si>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</si>
  <si>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</si>
  <si>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</si>
  <si>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</si>
  <si>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</si>
  <si>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</si>
  <si>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</si>
  <si>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</si>
  <si>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</si>
  <si>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</si>
  <si>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</si>
  <si>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</si>
  <si>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</si>
  <si>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</si>
  <si>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</si>
  <si>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</si>
  <si>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</si>
  <si>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</si>
  <si>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</si>
  <si>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</si>
  <si>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</si>
  <si>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</si>
  <si>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</si>
  <si>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</si>
  <si>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</si>
  <si>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</si>
  <si>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</si>
  <si>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</si>
  <si>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</si>
  <si>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</si>
  <si>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</si>
  <si>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</si>
  <si>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</si>
  <si>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</si>
  <si>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</si>
  <si>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</si>
  <si>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</si>
  <si>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</si>
  <si>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</si>
  <si>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</si>
  <si>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</si>
  <si>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</si>
  <si>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</si>
  <si>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</si>
  <si>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</si>
  <si>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</si>
  <si>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</si>
  <si>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</si>
  <si>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</si>
  <si>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</si>
  <si>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</si>
  <si>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</si>
  <si>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</si>
  <si>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</si>
  <si>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</si>
  <si>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</si>
  <si>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</si>
  <si>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</si>
  <si>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</si>
  <si>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</si>
  <si>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</si>
  <si>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</si>
  <si>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</si>
  <si>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</si>
  <si>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</si>
  <si>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</si>
  <si>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</si>
  <si>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</si>
  <si>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</si>
  <si>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</si>
  <si>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</si>
  <si>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</si>
  <si>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</si>
  <si>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</si>
  <si>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</si>
  <si>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</si>
  <si>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</si>
  <si>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</si>
  <si>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</si>
  <si>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</si>
  <si>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</si>
  <si>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</si>
  <si>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</si>
  <si>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</si>
  <si>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</si>
  <si>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</si>
  <si>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</si>
  <si>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</si>
  <si>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</si>
  <si>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</si>
  <si>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</si>
  <si>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</si>
  <si>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</si>
  <si>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</si>
  <si>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</si>
  <si>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</si>
  <si>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</si>
  <si>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</si>
  <si>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</si>
  <si>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</si>
  <si>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</si>
  <si>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</si>
  <si>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</si>
  <si>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</si>
  <si>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</si>
  <si>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</si>
  <si>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</si>
  <si>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</si>
  <si>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</si>
  <si>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</si>
  <si>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</si>
  <si>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</si>
  <si>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</si>
  <si>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</si>
  <si>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</si>
  <si>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</si>
  <si>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</si>
  <si>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</si>
  <si>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</si>
  <si>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</si>
  <si>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</si>
  <si>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</si>
  <si>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</si>
  <si>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</si>
  <si>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</si>
  <si>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</si>
  <si>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</si>
  <si>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</si>
  <si>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</si>
  <si>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</si>
  <si>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</si>
  <si>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</si>
  <si>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</si>
  <si>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</si>
  <si>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</si>
  <si>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</si>
  <si>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</si>
  <si>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</si>
  <si>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</si>
  <si>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</si>
  <si>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</si>
  <si>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</si>
  <si>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</si>
  <si>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</si>
  <si>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</si>
  <si>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</si>
  <si>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</si>
  <si>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</si>
  <si>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</si>
  <si>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</si>
  <si>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</si>
  <si>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</si>
  <si>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</si>
  <si>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</si>
  <si>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</si>
  <si>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</si>
  <si>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</si>
  <si>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</si>
  <si>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</si>
  <si>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</si>
  <si>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</si>
  <si>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</si>
  <si>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</si>
  <si>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</si>
  <si>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</si>
  <si>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</si>
  <si>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</si>
  <si>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</si>
  <si>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</si>
  <si>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</si>
  <si>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</si>
  <si>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</si>
  <si>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</si>
  <si>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</si>
  <si>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</si>
  <si>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</si>
  <si>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</si>
  <si>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</si>
  <si>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</si>
  <si>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</si>
  <si>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</si>
  <si>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</si>
  <si>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</si>
  <si>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</si>
  <si>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</si>
  <si>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</si>
  <si>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</si>
  <si>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</si>
  <si>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</si>
  <si>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</si>
  <si>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</si>
  <si>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</si>
  <si>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</si>
  <si>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</si>
  <si>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</si>
  <si>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</si>
  <si>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</si>
  <si>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</si>
  <si>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</si>
  <si>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</si>
  <si>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</si>
  <si>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</si>
  <si>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</si>
  <si>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</si>
  <si>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</si>
  <si>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</si>
  <si>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</si>
  <si>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</si>
  <si>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</si>
  <si>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</si>
  <si>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</si>
  <si>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</si>
  <si>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</si>
  <si>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</si>
  <si>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</si>
  <si>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</si>
  <si>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</si>
  <si>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</si>
  <si>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</si>
  <si>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</si>
  <si>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</si>
  <si>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</si>
  <si>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</si>
  <si>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</si>
  <si>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</si>
  <si>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</si>
  <si>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</si>
  <si>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</si>
  <si>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</si>
  <si>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</si>
  <si>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</si>
  <si>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</si>
  <si>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</si>
  <si>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</si>
  <si>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</si>
  <si>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</si>
  <si>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</si>
  <si>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</si>
  <si>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</si>
  <si>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</si>
  <si>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</si>
  <si>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</si>
  <si>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</si>
  <si>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</si>
  <si>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</si>
  <si>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</si>
  <si>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</si>
  <si>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</si>
  <si>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</si>
  <si>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</si>
  <si>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</si>
  <si>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</si>
  <si>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</si>
  <si>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</si>
  <si>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</si>
  <si>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</si>
  <si>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</si>
  <si>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</si>
  <si>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</si>
  <si>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</si>
  <si>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</si>
  <si>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</si>
  <si>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</si>
  <si>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</si>
  <si>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</si>
  <si>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</si>
  <si>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</si>
  <si>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</si>
  <si>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</si>
  <si>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</si>
  <si>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</si>
  <si>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</si>
  <si>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</si>
  <si>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</si>
  <si>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</si>
  <si>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</si>
  <si>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</si>
  <si>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</si>
  <si>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</si>
  <si>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</si>
  <si>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</si>
  <si>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</si>
  <si>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</si>
  <si>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</si>
  <si>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</si>
  <si>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</si>
  <si>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</si>
  <si>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</si>
  <si>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</si>
  <si>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</si>
  <si>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</si>
  <si>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</si>
  <si>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</si>
  <si>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</si>
  <si>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</si>
  <si>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</si>
  <si>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</si>
  <si>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</si>
  <si>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</si>
  <si>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</si>
  <si>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</si>
  <si>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</si>
  <si>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</si>
  <si>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</si>
  <si>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</si>
  <si>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</si>
  <si>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</si>
  <si>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</si>
  <si>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</si>
  <si>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</si>
  <si>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</si>
  <si>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</si>
  <si>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</si>
  <si>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</si>
  <si>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</si>
  <si>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</si>
  <si>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</si>
  <si>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</si>
  <si>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</si>
  <si>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</si>
  <si>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</si>
  <si>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</si>
  <si>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</si>
  <si>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</si>
  <si>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</si>
  <si>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</si>
  <si>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</si>
  <si>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</si>
  <si>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</si>
  <si>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</si>
  <si>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</si>
  <si>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</si>
  <si>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</si>
  <si>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</si>
  <si>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</si>
  <si>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</si>
  <si>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</si>
  <si>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</si>
  <si>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</si>
  <si>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</si>
  <si>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</si>
  <si>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</si>
  <si>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</si>
  <si>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</si>
  <si>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</si>
  <si>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</si>
  <si>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</si>
  <si>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</si>
  <si>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</si>
  <si>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</si>
  <si>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</si>
  <si>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</si>
  <si>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</si>
  <si>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</si>
  <si>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</si>
  <si>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</si>
  <si>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</si>
  <si>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</si>
  <si>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</si>
  <si>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</si>
  <si>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</si>
  <si>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</si>
  <si>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</si>
  <si>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</si>
  <si>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</si>
  <si>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</si>
  <si>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</si>
  <si>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</si>
  <si>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</si>
  <si>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</si>
  <si>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</si>
  <si>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</si>
  <si>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</si>
  <si>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</si>
  <si>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</si>
  <si>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</si>
  <si>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</si>
  <si>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</si>
  <si>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</si>
  <si>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</si>
  <si>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</si>
  <si>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</si>
  <si>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</si>
  <si>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</si>
  <si>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</si>
  <si>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</si>
  <si>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</si>
  <si>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</si>
  <si>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</si>
  <si>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</si>
  <si>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</si>
  <si>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</si>
  <si>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</si>
  <si>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</si>
  <si>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</si>
  <si>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</si>
  <si>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</si>
  <si>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</si>
  <si>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</si>
  <si>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</si>
  <si>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</si>
  <si>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</si>
  <si>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</si>
  <si>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</si>
  <si>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</si>
  <si>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</si>
  <si>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</si>
  <si>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</si>
  <si>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</si>
  <si>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</si>
  <si>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</si>
  <si>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</si>
  <si>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</si>
  <si>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</si>
  <si>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</si>
  <si>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</si>
  <si>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</si>
  <si>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</si>
  <si>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</si>
  <si>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</si>
  <si>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</si>
  <si>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</si>
  <si>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</si>
  <si>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</si>
  <si>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</si>
  <si>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</si>
  <si>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</si>
  <si>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</si>
  <si>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</si>
  <si>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</si>
  <si>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</si>
  <si>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</si>
  <si>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</si>
  <si>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</si>
  <si>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</si>
  <si>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</si>
  <si>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</si>
  <si>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</si>
  <si>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</si>
  <si>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</si>
  <si>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</si>
  <si>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</si>
  <si>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</si>
  <si>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</si>
  <si>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</si>
  <si>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</si>
  <si>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</si>
  <si>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</si>
  <si>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</si>
  <si>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</si>
  <si>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</si>
  <si>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</si>
  <si>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</si>
  <si>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</si>
  <si>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</si>
  <si>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</si>
  <si>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</si>
  <si>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</si>
  <si>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</si>
  <si>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</si>
  <si>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</si>
  <si>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</si>
  <si>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</si>
  <si>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</si>
  <si>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</si>
  <si>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</si>
  <si>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</si>
  <si>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</si>
  <si>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</si>
  <si>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</si>
  <si>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</si>
  <si>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</si>
  <si>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</si>
  <si>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</si>
  <si>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</si>
  <si>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</si>
  <si>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</si>
  <si>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</si>
  <si>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</si>
  <si>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</si>
  <si>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</si>
  <si>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</si>
  <si>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</si>
  <si>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</si>
  <si>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</si>
  <si>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</si>
  <si>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</si>
  <si>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</si>
  <si>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</si>
  <si>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</si>
  <si>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</si>
  <si>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</si>
  <si>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</si>
  <si>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</si>
  <si>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</si>
  <si>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</si>
  <si>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</si>
  <si>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</si>
  <si>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</si>
  <si>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</si>
  <si>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</si>
  <si>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</si>
  <si>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</si>
  <si>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</si>
  <si>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</si>
  <si>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</si>
  <si>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</si>
  <si>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</si>
  <si>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</si>
  <si>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</si>
  <si>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</si>
  <si>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</si>
  <si>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</si>
  <si>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</si>
  <si>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</si>
  <si>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</si>
  <si>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</si>
  <si>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</si>
  <si>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</si>
  <si>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</si>
  <si>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</si>
  <si>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</si>
  <si>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</si>
  <si>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</si>
  <si>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</si>
  <si>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</si>
  <si>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</si>
  <si>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</si>
  <si>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</si>
  <si>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</si>
  <si>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</si>
  <si>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</si>
  <si>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</si>
  <si>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</si>
  <si>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</si>
  <si>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</si>
  <si>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</si>
  <si>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</si>
  <si>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</si>
  <si>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</si>
  <si>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</si>
  <si>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</si>
  <si>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</si>
  <si>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</si>
  <si>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</si>
  <si>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</si>
  <si>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</si>
  <si>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</si>
  <si>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</si>
  <si>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</si>
  <si>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</si>
  <si>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</si>
  <si>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</si>
  <si>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</si>
  <si>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</si>
  <si>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</si>
  <si>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</si>
  <si>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</si>
  <si>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</si>
  <si>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</si>
  <si>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</si>
  <si>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</si>
  <si>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</si>
  <si>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</si>
  <si>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</si>
  <si>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</si>
  <si>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</si>
  <si>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</si>
  <si>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</si>
  <si>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</si>
  <si>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</si>
  <si>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</si>
  <si>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</si>
  <si>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</si>
  <si>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</si>
  <si>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</si>
  <si>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</si>
  <si>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</si>
  <si>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</si>
  <si>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</si>
  <si>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</si>
  <si>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</si>
  <si>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</si>
  <si>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</si>
  <si>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</si>
  <si>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</si>
  <si>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</si>
  <si>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</si>
  <si>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</si>
  <si>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</si>
  <si>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</si>
  <si>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</si>
  <si>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</si>
  <si>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</si>
  <si>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</si>
  <si>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</si>
  <si>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</si>
  <si>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</si>
  <si>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</si>
  <si>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</si>
  <si>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</si>
  <si>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</si>
  <si>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</si>
  <si>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</si>
  <si>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</si>
  <si>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</si>
  <si>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</si>
  <si>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</si>
  <si>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</si>
  <si>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</si>
  <si>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</si>
  <si>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</si>
  <si>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</si>
  <si>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</si>
  <si>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</si>
  <si>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</si>
  <si>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</si>
  <si>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</si>
  <si>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</si>
  <si>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</si>
  <si>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</si>
  <si>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</si>
  <si>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</si>
  <si>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</si>
  <si>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</si>
  <si>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</si>
  <si>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</si>
  <si>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</si>
  <si>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</si>
  <si>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</si>
  <si>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</si>
  <si>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</si>
  <si>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</si>
  <si>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</si>
  <si>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</si>
  <si>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</si>
  <si>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</si>
  <si>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</si>
  <si>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</si>
  <si>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</si>
  <si>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</si>
  <si>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</si>
  <si>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</si>
  <si>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</si>
  <si>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</si>
  <si>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</si>
  <si>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</si>
  <si>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</si>
  <si>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</si>
  <si>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</si>
  <si>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</si>
  <si>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</si>
  <si>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</si>
  <si>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</si>
  <si>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</si>
  <si>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</si>
  <si>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</si>
  <si>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</si>
  <si>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</si>
  <si>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</si>
  <si>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</si>
  <si>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</si>
  <si>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</si>
  <si>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</si>
  <si>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</si>
  <si>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</si>
  <si>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</si>
  <si>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</si>
  <si>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</si>
  <si>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</si>
  <si>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</si>
  <si>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</si>
  <si>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</si>
  <si>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</si>
  <si>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</si>
  <si>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</si>
  <si>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</si>
  <si>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</si>
  <si>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</si>
  <si>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</si>
  <si>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</si>
  <si>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</si>
  <si>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</si>
  <si>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</si>
  <si>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</si>
  <si>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</si>
  <si>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</si>
  <si>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</si>
  <si>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</si>
  <si>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</si>
  <si>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</si>
  <si>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</si>
  <si>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</si>
  <si>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</si>
  <si>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</si>
  <si>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</si>
  <si>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</si>
  <si>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</si>
  <si>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</si>
  <si>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</si>
  <si>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</si>
  <si>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</si>
  <si>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</si>
  <si>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</si>
  <si>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</si>
  <si>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</si>
  <si>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</si>
  <si>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</si>
  <si>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</si>
  <si>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</si>
  <si>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</si>
  <si>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</si>
  <si>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</si>
  <si>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</si>
  <si>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</si>
  <si>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</si>
  <si>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</si>
  <si>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</si>
  <si>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</si>
  <si>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</si>
  <si>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</si>
  <si>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</si>
  <si>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</si>
  <si>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</si>
  <si>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</si>
  <si>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</si>
  <si>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</si>
  <si>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</si>
  <si>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</si>
  <si>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</si>
  <si>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</si>
  <si>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</si>
  <si>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</si>
  <si>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</si>
  <si>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</si>
  <si>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</si>
  <si>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</si>
  <si>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</si>
  <si>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</si>
  <si>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</si>
  <si>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</si>
  <si>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</si>
  <si>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</si>
  <si>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</si>
  <si>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</si>
  <si>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</si>
  <si>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</si>
  <si>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</si>
  <si>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</si>
  <si>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</si>
  <si>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</si>
  <si>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</si>
  <si>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</si>
  <si>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</si>
  <si>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</si>
  <si>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</si>
  <si>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</si>
  <si>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</si>
  <si>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</si>
  <si>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</si>
  <si>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</si>
  <si>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</si>
  <si>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</si>
  <si>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</si>
  <si>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</si>
  <si>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</si>
  <si>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</si>
  <si>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</si>
  <si>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</si>
  <si>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</si>
  <si>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</si>
  <si>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</si>
  <si>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</si>
  <si>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</si>
  <si>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</si>
  <si>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</si>
  <si>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</si>
  <si>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</si>
  <si>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</si>
  <si>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</si>
  <si>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</si>
  <si>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</si>
  <si>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</si>
  <si>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</si>
  <si>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</si>
  <si>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</si>
  <si>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</si>
  <si>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</si>
  <si>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</si>
  <si>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</si>
  <si>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</si>
  <si>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</si>
  <si>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</si>
  <si>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</si>
  <si>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</si>
  <si>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</si>
  <si>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</si>
  <si>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</si>
  <si>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</si>
  <si>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</si>
  <si>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</si>
  <si>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</si>
  <si>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</si>
  <si>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</si>
  <si>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</si>
  <si>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</si>
  <si>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</si>
  <si>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</si>
  <si>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</si>
  <si>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</si>
  <si>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</si>
  <si>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</si>
  <si>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</si>
  <si>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</si>
  <si>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</si>
  <si>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</si>
  <si>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</si>
  <si>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</si>
  <si>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</si>
  <si>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</si>
  <si>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</si>
  <si>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</si>
  <si>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</si>
  <si>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</si>
  <si>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</si>
  <si>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</si>
  <si>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</si>
  <si>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</si>
  <si>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</si>
  <si>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</si>
  <si>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</si>
  <si>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</si>
  <si>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</si>
  <si>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</si>
  <si>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</si>
  <si>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</si>
  <si>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</si>
  <si>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</si>
  <si>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</si>
  <si>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</si>
  <si>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</si>
  <si>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</si>
  <si>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</si>
  <si>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</si>
  <si>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</si>
  <si>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</si>
  <si>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</si>
  <si>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</si>
  <si>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</si>
  <si>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</si>
  <si>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</si>
  <si>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</si>
  <si>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</si>
  <si>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</si>
  <si>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</si>
  <si>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</si>
  <si>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</si>
  <si>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</si>
  <si>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</si>
  <si>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</si>
  <si>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</si>
  <si>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</si>
  <si>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</si>
  <si>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</si>
  <si>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</si>
  <si>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</si>
  <si>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</si>
  <si>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</si>
  <si>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</si>
  <si>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</si>
  <si>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</si>
  <si>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</si>
  <si>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</si>
  <si>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</si>
  <si>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</si>
  <si>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</si>
  <si>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</si>
  <si>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</si>
  <si>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</si>
  <si>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</si>
  <si>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</si>
  <si>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</si>
  <si>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</si>
  <si>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</si>
  <si>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</si>
  <si>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</si>
  <si>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</si>
  <si>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</si>
  <si>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</si>
  <si>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</si>
  <si>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</si>
  <si>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</si>
  <si>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</si>
  <si>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</si>
  <si>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</si>
  <si>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</si>
  <si>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</si>
  <si>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</si>
  <si>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</si>
  <si>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</si>
  <si>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</si>
  <si>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</si>
  <si>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</si>
  <si>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</si>
  <si>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</si>
  <si>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</si>
  <si>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</si>
  <si>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</si>
  <si>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</si>
  <si>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</si>
  <si>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</si>
  <si>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</si>
  <si>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</si>
  <si>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</si>
  <si>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</si>
  <si>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</si>
  <si>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</si>
  <si>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</si>
  <si>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</si>
  <si>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</si>
  <si>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</si>
  <si>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</si>
  <si>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</si>
  <si>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</si>
  <si>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</si>
  <si>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</si>
  <si>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</si>
  <si>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</si>
  <si>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</si>
  <si>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</si>
  <si>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</si>
  <si>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</si>
  <si>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</si>
  <si>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</si>
  <si>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</si>
  <si>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</si>
  <si>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</si>
  <si>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</si>
  <si>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</si>
  <si>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</si>
  <si>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</si>
  <si>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</si>
  <si>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</si>
  <si>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</si>
  <si>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</si>
  <si>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</si>
  <si>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</si>
  <si>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</si>
  <si>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</si>
  <si>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</si>
  <si>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</si>
  <si>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</si>
  <si>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</si>
  <si>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</si>
  <si>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</si>
  <si>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</si>
  <si>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</si>
  <si>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</si>
  <si>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</si>
  <si>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</si>
  <si>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</si>
  <si>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</si>
  <si>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</si>
  <si>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</si>
  <si>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</si>
  <si>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</si>
  <si>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</si>
  <si>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</si>
  <si>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</si>
  <si>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</si>
  <si>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</si>
  <si>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</si>
  <si>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</si>
  <si>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</si>
  <si>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</si>
  <si>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</si>
  <si>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</si>
  <si>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</si>
  <si>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</si>
  <si>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</si>
  <si>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</si>
  <si>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</si>
  <si>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</si>
  <si>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</si>
  <si>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</si>
  <si>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</si>
  <si>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</si>
  <si>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</si>
  <si>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</si>
  <si>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</si>
  <si>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</si>
  <si>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</si>
  <si>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</si>
  <si>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</si>
  <si>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</si>
  <si>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</si>
  <si>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</si>
  <si>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</si>
  <si>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</si>
  <si>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</si>
  <si>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</si>
  <si>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</si>
  <si>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</si>
  <si>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</si>
  <si>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</si>
  <si>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</si>
  <si>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</si>
  <si>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</si>
  <si>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</si>
  <si>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</si>
  <si>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</si>
  <si>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</si>
  <si>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</si>
  <si>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</si>
  <si>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</si>
  <si>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</si>
  <si>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</si>
  <si>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</si>
  <si>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</si>
  <si>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</si>
  <si>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</si>
  <si>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</si>
  <si>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</si>
  <si>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</si>
  <si>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</si>
  <si>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</si>
  <si>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</si>
  <si>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</si>
  <si>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</si>
  <si>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</si>
  <si>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</si>
  <si>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</si>
  <si>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</si>
  <si>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</si>
  <si>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</si>
  <si>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</si>
  <si>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</si>
  <si>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</si>
  <si>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</si>
  <si>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</si>
  <si>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</si>
  <si>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</si>
  <si>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</si>
  <si>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</si>
  <si>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</si>
  <si>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</si>
  <si>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</si>
  <si>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</si>
  <si>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</si>
  <si>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</si>
  <si>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</si>
  <si>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</si>
  <si>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</si>
  <si>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</si>
  <si>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</si>
  <si>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</si>
  <si>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</si>
  <si>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</si>
  <si>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</si>
  <si>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</si>
  <si>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</si>
  <si>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</si>
  <si>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</si>
  <si>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</si>
  <si>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</si>
  <si>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</si>
  <si>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</si>
  <si>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</si>
  <si>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</si>
  <si>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</si>
  <si>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</si>
  <si>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</si>
  <si>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</si>
  <si>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</si>
  <si>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</si>
  <si>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</si>
  <si>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</si>
  <si>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</si>
  <si>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</si>
  <si>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</si>
  <si>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</si>
  <si>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</si>
  <si>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</si>
  <si>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</si>
  <si>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</si>
  <si>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</si>
  <si>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</si>
  <si>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</si>
  <si>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</si>
  <si>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</si>
  <si>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</si>
  <si>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</si>
  <si>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</si>
  <si>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</si>
  <si>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</si>
  <si>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</si>
  <si>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</si>
  <si>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</si>
  <si>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</si>
  <si>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</si>
  <si>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</si>
  <si>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</si>
  <si>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</si>
  <si>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</si>
  <si>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</si>
  <si>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</si>
  <si>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</si>
  <si>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</si>
  <si>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</si>
  <si>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</si>
  <si>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</si>
  <si>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</si>
  <si>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</si>
  <si>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</si>
  <si>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</si>
  <si>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</si>
  <si>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</si>
  <si>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</si>
  <si>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</si>
  <si>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</si>
  <si>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</si>
  <si>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</si>
  <si>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</si>
  <si>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</si>
  <si>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</si>
  <si>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</si>
  <si>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</si>
  <si>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</si>
  <si>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</si>
  <si>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</si>
  <si>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</si>
  <si>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</si>
  <si>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</si>
  <si>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</si>
  <si>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</si>
  <si>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</si>
  <si>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</si>
  <si>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</si>
  <si>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</si>
  <si>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</si>
  <si>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</si>
  <si>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</si>
  <si>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</si>
  <si>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</si>
  <si>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</si>
  <si>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</si>
  <si>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</si>
  <si>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</si>
  <si>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</si>
  <si>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</si>
  <si>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</si>
  <si>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</si>
  <si>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</si>
  <si>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</si>
  <si>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</si>
  <si>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</si>
  <si>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</si>
  <si>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</si>
  <si>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</si>
  <si>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</si>
  <si>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</si>
  <si>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</si>
  <si>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</si>
  <si>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</si>
  <si>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</si>
  <si>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</si>
  <si>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</si>
  <si>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</si>
  <si>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</si>
  <si>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</si>
  <si>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</si>
  <si>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</si>
  <si>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</si>
  <si>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</si>
  <si>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</si>
  <si>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</si>
  <si>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</si>
  <si>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</si>
  <si>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</si>
  <si>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</si>
  <si>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</si>
  <si>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</si>
  <si>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</si>
  <si>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</si>
  <si>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</si>
  <si>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</si>
  <si>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</si>
  <si>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</si>
  <si>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</si>
  <si>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</si>
  <si>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</si>
  <si>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</si>
  <si>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</si>
  <si>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</si>
  <si>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</si>
  <si>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</si>
  <si>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</si>
  <si>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</si>
  <si>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</si>
  <si>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</si>
  <si>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</si>
  <si>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</si>
  <si>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</si>
  <si>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</si>
  <si>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</si>
  <si>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</si>
  <si>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</si>
  <si>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</si>
  <si>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</si>
  <si>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</si>
  <si>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</si>
  <si>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</si>
  <si>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</si>
  <si>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</si>
  <si>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</si>
  <si>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</si>
  <si>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</si>
  <si>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</si>
  <si>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</si>
  <si>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</si>
  <si>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</si>
  <si>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</si>
  <si>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</si>
  <si>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</si>
  <si>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</si>
  <si>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</si>
  <si>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</si>
  <si>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</si>
  <si>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</si>
  <si>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</si>
  <si>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</si>
  <si>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</si>
  <si>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</si>
  <si>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</si>
  <si>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</si>
  <si>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</si>
  <si>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</si>
  <si>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</si>
  <si>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</si>
  <si>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</si>
  <si>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</si>
  <si>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</si>
  <si>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</si>
  <si>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</si>
  <si>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</si>
  <si>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</si>
  <si>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</si>
  <si>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</si>
  <si>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</si>
  <si>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</si>
  <si>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</si>
  <si>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</si>
  <si>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</si>
  <si>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</si>
  <si>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</si>
  <si>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</si>
  <si>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</si>
  <si>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</si>
  <si>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</si>
  <si>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</si>
  <si>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</si>
  <si>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</si>
  <si>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</si>
  <si>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</si>
  <si>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</si>
  <si>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</si>
  <si>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</si>
  <si>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</si>
  <si>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</si>
  <si>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</si>
  <si>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</si>
  <si>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</si>
  <si>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</si>
  <si>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</si>
  <si>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</si>
  <si>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</si>
  <si>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</si>
  <si>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</si>
  <si>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</si>
  <si>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</si>
  <si>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</si>
  <si>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</si>
  <si>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</si>
  <si>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</si>
  <si>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</si>
  <si>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</si>
  <si>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</si>
  <si>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</si>
  <si>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</si>
  <si>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</si>
  <si>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</si>
  <si>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</si>
  <si>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</si>
  <si>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</si>
  <si>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</si>
  <si>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</si>
  <si>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</si>
  <si>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</si>
  <si>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</si>
  <si>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</si>
  <si>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</si>
  <si>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</si>
  <si>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</si>
  <si>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</si>
  <si>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</si>
  <si>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</si>
  <si>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</si>
  <si>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</si>
  <si>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</si>
  <si>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</si>
  <si>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</si>
  <si>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</si>
  <si>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</si>
  <si>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</si>
  <si>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</si>
  <si>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</si>
  <si>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</si>
  <si>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</si>
  <si>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</si>
  <si>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</si>
  <si>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</si>
  <si>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</si>
  <si>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</si>
  <si>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</si>
  <si>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</si>
  <si>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</si>
  <si>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</si>
  <si>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</si>
  <si>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</si>
  <si>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</si>
  <si>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</si>
  <si>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</si>
  <si>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</si>
  <si>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</si>
  <si>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</si>
  <si>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</si>
  <si>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</si>
  <si>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</si>
  <si>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</si>
  <si>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</si>
  <si>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</si>
  <si>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</si>
  <si>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</si>
  <si>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</si>
  <si>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</si>
  <si>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</si>
  <si>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</si>
  <si>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</si>
  <si>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</si>
  <si>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</si>
  <si>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</si>
  <si>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</si>
  <si>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</si>
  <si>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</si>
  <si>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</si>
  <si>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</si>
  <si>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</si>
  <si>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</si>
  <si>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</si>
  <si>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</si>
  <si>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</si>
  <si>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</si>
  <si>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</si>
  <si>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</si>
  <si>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</si>
  <si>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</si>
  <si>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</si>
  <si>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</si>
  <si>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</si>
  <si>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</si>
  <si>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</si>
  <si>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</si>
  <si>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</si>
  <si>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</si>
  <si>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</si>
  <si>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</si>
  <si>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</si>
  <si>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</si>
  <si>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</si>
  <si>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</si>
  <si>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</si>
  <si>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</si>
  <si>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</si>
  <si>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</si>
  <si>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</si>
  <si>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</si>
  <si>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</si>
  <si>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</si>
  <si>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</si>
  <si>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</si>
  <si>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</si>
  <si>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</si>
  <si>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</si>
  <si>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</si>
  <si>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</si>
  <si>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</si>
  <si>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</si>
  <si>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</si>
  <si>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</si>
  <si>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</si>
  <si>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</si>
  <si>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</si>
  <si>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</si>
  <si>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</si>
  <si>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</si>
  <si>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</si>
  <si>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</si>
  <si>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</si>
  <si>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</si>
  <si>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</si>
  <si>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</si>
  <si>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</si>
  <si>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</si>
  <si>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</si>
  <si>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</si>
  <si>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</si>
  <si>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</si>
  <si>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</si>
  <si>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</si>
  <si>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</si>
  <si>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</si>
  <si>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</si>
  <si>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</si>
  <si>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</si>
  <si>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</si>
  <si>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</si>
  <si>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</si>
  <si>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</si>
  <si>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</si>
  <si>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</si>
  <si>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</si>
  <si>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</si>
  <si>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</si>
  <si>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</si>
  <si>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</si>
  <si>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</si>
  <si>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</si>
  <si>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</si>
  <si>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</si>
  <si>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</si>
  <si>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</si>
  <si>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</si>
  <si>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</si>
  <si>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</si>
  <si>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</si>
  <si>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</si>
  <si>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</si>
  <si>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</si>
  <si>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</si>
  <si>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</si>
  <si>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</si>
  <si>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</si>
  <si>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</si>
  <si>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</si>
  <si>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</si>
  <si>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</si>
  <si>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</si>
  <si>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</si>
  <si>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</si>
  <si>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</si>
  <si>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</si>
  <si>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</si>
  <si>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</si>
  <si>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</si>
  <si>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</si>
  <si>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</si>
  <si>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</si>
  <si>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</si>
  <si>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</si>
  <si>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</si>
  <si>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</si>
  <si>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</si>
  <si>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</si>
  <si>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</si>
  <si>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</si>
  <si>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</si>
  <si>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</si>
  <si>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</si>
  <si>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</si>
  <si>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</si>
  <si>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</si>
  <si>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</si>
  <si>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</si>
  <si>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</si>
  <si>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</si>
  <si>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</si>
  <si>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</si>
  <si>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</si>
  <si>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</si>
  <si>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</si>
  <si>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</si>
  <si>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</si>
  <si>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</si>
  <si>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</si>
  <si>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</si>
  <si>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</si>
  <si>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</si>
  <si>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</si>
  <si>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</si>
  <si>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</si>
  <si>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</si>
  <si>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</si>
  <si>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</si>
  <si>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</si>
  <si>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</si>
  <si>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</si>
  <si>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</si>
  <si>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</si>
  <si>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</si>
  <si>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</si>
  <si>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</si>
  <si>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</si>
  <si>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</si>
  <si>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</si>
  <si>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</si>
  <si>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</si>
  <si>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</si>
  <si>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</si>
  <si>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</si>
  <si>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</si>
  <si>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</si>
  <si>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</si>
  <si>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</si>
  <si>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</si>
  <si>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</si>
  <si>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</si>
  <si>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</si>
  <si>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</si>
  <si>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</si>
  <si>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</si>
  <si>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</si>
  <si>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</si>
  <si>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</si>
  <si>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</si>
  <si>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</si>
  <si>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</si>
  <si>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</si>
  <si>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</si>
  <si>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</si>
  <si>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</si>
  <si>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</si>
  <si>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</si>
  <si>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</si>
  <si>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</si>
  <si>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</si>
  <si>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</si>
  <si>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</si>
  <si>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</si>
  <si>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</si>
  <si>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</si>
  <si>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</si>
  <si>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</si>
  <si>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</si>
  <si>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</si>
  <si>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</si>
  <si>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</si>
  <si>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</si>
  <si>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</si>
  <si>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</si>
  <si>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</si>
  <si>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</si>
  <si>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</si>
  <si>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</si>
  <si>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</si>
  <si>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</si>
  <si>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</si>
  <si>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</si>
  <si>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</si>
  <si>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</si>
  <si>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</si>
  <si>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</si>
  <si>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</si>
  <si>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</si>
  <si>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</si>
  <si>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</si>
  <si>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</si>
  <si>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</si>
  <si>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</si>
  <si>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</si>
  <si>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</si>
  <si>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</si>
  <si>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</si>
  <si>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</si>
  <si>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</si>
  <si>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</si>
  <si>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</si>
  <si>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</si>
  <si>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</si>
  <si>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</si>
  <si>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</si>
  <si>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</si>
  <si>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</si>
  <si>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</si>
  <si>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</si>
  <si>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</si>
  <si>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</si>
  <si>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</si>
  <si>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</si>
  <si>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</si>
  <si>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</si>
  <si>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</si>
  <si>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</si>
  <si>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</si>
  <si>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</si>
  <si>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</si>
  <si>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</si>
  <si>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</si>
  <si>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</si>
  <si>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</si>
  <si>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</si>
  <si>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</si>
  <si>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</si>
  <si>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</si>
  <si>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</si>
  <si>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</si>
  <si>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</si>
  <si>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</si>
  <si>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</si>
  <si>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</si>
  <si>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</si>
  <si>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</si>
  <si>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</si>
  <si>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</si>
  <si>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</si>
  <si>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</si>
  <si>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</si>
  <si>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</si>
  <si>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</si>
  <si>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</si>
  <si>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</si>
  <si>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</si>
  <si>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</si>
  <si>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</si>
  <si>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</si>
  <si>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</si>
  <si>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</si>
  <si>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</si>
  <si>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</si>
  <si>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</si>
  <si>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</si>
  <si>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</si>
  <si>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</si>
  <si>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</si>
  <si>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</si>
  <si>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</si>
  <si>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</si>
  <si>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</si>
  <si>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</si>
  <si>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</si>
  <si>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</si>
  <si>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</si>
  <si>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</si>
  <si>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</si>
  <si>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</si>
  <si>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</si>
  <si>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</si>
  <si>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</si>
  <si>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</si>
  <si>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</si>
  <si>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</si>
  <si>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</si>
  <si>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</si>
  <si>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</si>
  <si>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</si>
  <si>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</si>
  <si>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</si>
  <si>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</si>
  <si>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</si>
  <si>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</si>
  <si>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</si>
  <si>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</si>
  <si>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</si>
  <si>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</si>
  <si>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</si>
  <si>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</si>
  <si>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</si>
  <si>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</si>
  <si>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</si>
  <si>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</si>
  <si>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</si>
  <si>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</si>
  <si>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</si>
  <si>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</si>
  <si>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</si>
  <si>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</si>
  <si>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</si>
  <si>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</si>
  <si>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</si>
  <si>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</si>
  <si>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</si>
  <si>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</si>
  <si>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</si>
  <si>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</si>
  <si>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</si>
  <si>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</si>
  <si>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</si>
  <si>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</si>
  <si>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</si>
  <si>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</si>
  <si>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</si>
  <si>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</si>
  <si>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</si>
  <si>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</si>
  <si>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</si>
  <si>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</si>
  <si>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</si>
  <si>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</si>
  <si>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</si>
  <si>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</si>
  <si>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</si>
  <si>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</si>
  <si>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</si>
  <si>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</si>
  <si>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</si>
  <si>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</si>
  <si>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</si>
  <si>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</si>
  <si>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</si>
  <si>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</si>
  <si>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</si>
  <si>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</si>
  <si>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</si>
  <si>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</si>
  <si>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</si>
  <si>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</si>
  <si>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</si>
  <si>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</si>
  <si>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</si>
  <si>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</si>
  <si>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</si>
  <si>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</si>
  <si>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</si>
  <si>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</si>
  <si>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</si>
  <si>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</si>
  <si>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</si>
  <si>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</si>
  <si>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</si>
  <si>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</si>
  <si>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</si>
  <si>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</si>
  <si>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</si>
  <si>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</si>
  <si>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</si>
  <si>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</si>
  <si>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</si>
  <si>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</si>
  <si>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</si>
  <si>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</si>
  <si>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</si>
  <si>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</si>
  <si>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</si>
  <si>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</si>
  <si>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</si>
  <si>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</si>
  <si>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</si>
  <si>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</si>
  <si>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</si>
  <si>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</si>
  <si>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</si>
  <si>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</si>
  <si>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</si>
  <si>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</si>
  <si>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</si>
  <si>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</si>
  <si>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</si>
  <si>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</si>
  <si>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</si>
  <si>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</si>
  <si>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</si>
  <si>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</si>
  <si>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</si>
  <si>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</si>
  <si>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</si>
  <si>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</si>
  <si>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</si>
  <si>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</si>
  <si>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</si>
  <si>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</si>
  <si>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</si>
  <si>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</si>
  <si>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</si>
  <si>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</si>
  <si>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</si>
  <si>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</si>
  <si>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</si>
  <si>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</si>
  <si>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</si>
  <si>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</si>
  <si>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</si>
  <si>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</si>
  <si>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</si>
  <si>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</si>
  <si>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</si>
  <si>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</si>
  <si>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</si>
  <si>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</si>
  <si>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</si>
  <si>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</si>
  <si>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</si>
  <si>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</si>
  <si>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</si>
  <si>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</si>
  <si>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</si>
  <si>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</si>
  <si>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</si>
  <si>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</si>
  <si>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</si>
  <si>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</si>
  <si>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</si>
  <si>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</si>
  <si>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</si>
  <si>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</si>
  <si>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</si>
  <si>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</si>
  <si>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</si>
  <si>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</si>
  <si>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</si>
  <si>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</si>
  <si>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</si>
  <si>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</si>
  <si>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</si>
  <si>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</si>
  <si>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</si>
  <si>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</si>
  <si>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</si>
  <si>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</si>
  <si>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</si>
  <si>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</si>
  <si>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</si>
  <si>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</si>
  <si>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</si>
  <si>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</si>
  <si>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</si>
  <si>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</si>
  <si>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</si>
  <si>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</si>
  <si>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</si>
  <si>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</si>
  <si>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</si>
  <si>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</si>
  <si>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</si>
  <si>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</si>
  <si>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</si>
  <si>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</si>
  <si>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</si>
  <si>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</si>
  <si>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</si>
  <si>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</si>
  <si>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</si>
  <si>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</si>
  <si>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</si>
  <si>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</si>
  <si>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</si>
  <si>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</si>
  <si>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</si>
  <si>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</si>
  <si>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</si>
  <si>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</si>
  <si>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</si>
  <si>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</si>
  <si>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</si>
  <si>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</si>
  <si>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</si>
  <si>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</si>
  <si>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</si>
  <si>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</si>
  <si>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</si>
  <si>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</si>
  <si>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</si>
  <si>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</si>
  <si>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</si>
  <si>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</si>
  <si>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</si>
  <si>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</si>
  <si>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</si>
  <si>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</si>
  <si>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</si>
  <si>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</si>
  <si>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</si>
  <si>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</si>
  <si>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</si>
  <si>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</si>
  <si>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</si>
  <si>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</si>
  <si>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</si>
  <si>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</si>
  <si>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</si>
  <si>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</si>
  <si>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</si>
  <si>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</si>
  <si>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</si>
  <si>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</si>
  <si>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</si>
  <si>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</si>
  <si>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</si>
  <si>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</si>
  <si>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</si>
  <si>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</si>
  <si>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</si>
  <si>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</si>
  <si>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</si>
  <si>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</si>
  <si>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</si>
  <si>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</si>
  <si>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</si>
  <si>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</si>
  <si>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</si>
  <si>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</si>
  <si>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</si>
  <si>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</si>
  <si>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</si>
  <si>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</si>
  <si>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</si>
  <si>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</si>
  <si>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</si>
  <si>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</si>
  <si>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</si>
  <si>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</si>
  <si>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</si>
  <si>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</si>
  <si>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</si>
  <si>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</si>
  <si>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</si>
  <si>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</si>
  <si>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</si>
  <si>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</si>
  <si>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</si>
  <si>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</si>
  <si>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</si>
  <si>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</si>
  <si>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</si>
  <si>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</si>
  <si>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</si>
  <si>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</si>
  <si>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</si>
  <si>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</si>
  <si>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</si>
  <si>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</si>
  <si>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</si>
  <si>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</si>
  <si>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</si>
  <si>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</si>
  <si>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</si>
  <si>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</si>
  <si>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</si>
  <si>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</si>
  <si>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</si>
  <si>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</si>
  <si>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</si>
  <si>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</si>
  <si>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</si>
  <si>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</si>
  <si>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</si>
  <si>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</si>
  <si>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</si>
  <si>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</si>
  <si>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</si>
  <si>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</si>
  <si>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</si>
  <si>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</si>
  <si>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</si>
  <si>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</si>
  <si>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</si>
  <si>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</si>
  <si>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</si>
  <si>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</si>
  <si>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</si>
  <si>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</si>
  <si>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</si>
  <si>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</si>
  <si>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</si>
  <si>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</si>
  <si>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</si>
  <si>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</si>
  <si>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</si>
  <si>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</si>
  <si>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</si>
  <si>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</si>
  <si>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</si>
  <si>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</si>
  <si>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</si>
  <si>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</si>
  <si>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</si>
  <si>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</si>
  <si>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</si>
  <si>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</si>
  <si>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</si>
  <si>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</si>
  <si>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</si>
  <si>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</si>
  <si>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</si>
  <si>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</si>
  <si>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</si>
  <si>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</si>
  <si>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</si>
  <si>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</si>
  <si>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</si>
  <si>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</si>
  <si>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</si>
  <si>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</si>
  <si>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</si>
  <si>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</si>
  <si>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</si>
  <si>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</si>
  <si>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</si>
  <si>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</si>
  <si>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</si>
  <si>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</si>
  <si>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</si>
  <si>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</si>
  <si>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</si>
  <si>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</si>
  <si>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</si>
  <si>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</si>
  <si>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</si>
  <si>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</si>
  <si>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</si>
  <si>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</si>
  <si>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</si>
  <si>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</si>
  <si>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</si>
  <si>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</si>
  <si>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</si>
  <si>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</si>
  <si>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</si>
  <si>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</si>
  <si>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</si>
  <si>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</si>
  <si>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</si>
  <si>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</si>
  <si>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</si>
  <si>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</si>
  <si>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</si>
  <si>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</si>
  <si>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</si>
  <si>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</si>
  <si>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</si>
  <si>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</si>
  <si>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</si>
  <si>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</si>
  <si>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</si>
  <si>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</si>
  <si>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</si>
  <si>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</si>
  <si>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</si>
  <si>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</si>
  <si>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</si>
  <si>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</si>
  <si>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</si>
  <si>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</si>
  <si>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</si>
  <si>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</si>
  <si>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</si>
  <si>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</si>
  <si>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</si>
  <si>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</si>
  <si>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</si>
  <si>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</si>
  <si>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</si>
  <si>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</si>
  <si>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</si>
  <si>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</si>
  <si>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</si>
  <si>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</si>
  <si>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</si>
  <si>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</si>
  <si>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</si>
  <si>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</si>
  <si>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</si>
  <si>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</si>
  <si>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</si>
  <si>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</si>
  <si>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</si>
  <si>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</si>
  <si>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</si>
  <si>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</si>
  <si>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</si>
  <si>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</si>
  <si>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</si>
  <si>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</si>
  <si>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</si>
  <si>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</si>
  <si>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</si>
  <si>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</si>
  <si>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</si>
  <si>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</si>
  <si>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</si>
  <si>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</si>
  <si>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</si>
  <si>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</si>
  <si>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</si>
  <si>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</si>
  <si>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</si>
  <si>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</si>
  <si>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</si>
  <si>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</si>
  <si>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</si>
  <si>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</si>
  <si>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</si>
  <si>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</si>
  <si>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</si>
  <si>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</si>
  <si>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</si>
  <si>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</si>
  <si>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</si>
  <si>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</si>
  <si>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</si>
  <si>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</si>
  <si>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</si>
  <si>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</si>
  <si>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</si>
  <si>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</si>
  <si>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</si>
  <si>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</si>
  <si>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</si>
  <si>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</si>
  <si>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</si>
  <si>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</si>
  <si>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</si>
  <si>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</si>
  <si>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</si>
  <si>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</si>
  <si>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</si>
  <si>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</si>
  <si>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</si>
  <si>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</si>
  <si>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</si>
  <si>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</si>
  <si>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</si>
  <si>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</si>
  <si>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</si>
  <si>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</si>
  <si>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</si>
  <si>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</si>
  <si>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</si>
  <si>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</si>
  <si>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</si>
  <si>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</si>
  <si>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</si>
  <si>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</si>
  <si>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</si>
  <si>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</si>
  <si>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</si>
  <si>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</si>
  <si>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</si>
  <si>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</si>
  <si>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</si>
  <si>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</si>
  <si>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</si>
  <si>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</si>
  <si>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</si>
  <si>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</si>
  <si>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</si>
  <si>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</si>
  <si>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</si>
  <si>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</si>
  <si>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</si>
  <si>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</si>
  <si>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</si>
  <si>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</si>
  <si>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</si>
  <si>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</si>
  <si>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</si>
  <si>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</si>
  <si>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</si>
  <si>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</si>
  <si>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</si>
  <si>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</si>
  <si>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</si>
  <si>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</si>
  <si>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</si>
  <si>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</si>
  <si>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</si>
  <si>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</si>
  <si>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</si>
  <si>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</si>
  <si>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</si>
  <si>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</si>
  <si>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</si>
  <si>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</si>
  <si>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</si>
  <si>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</si>
  <si>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</si>
  <si>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</si>
  <si>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</si>
  <si>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</si>
  <si>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</si>
  <si>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</si>
  <si>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</si>
  <si>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</si>
  <si>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</si>
  <si>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</si>
  <si>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</si>
  <si>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</si>
  <si>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</si>
  <si>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</si>
  <si>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</si>
  <si>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</si>
  <si>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</si>
  <si>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</si>
  <si>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</si>
  <si>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</si>
  <si>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</si>
  <si>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</si>
  <si>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</si>
  <si>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</si>
  <si>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</si>
  <si>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</si>
  <si>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</si>
  <si>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</si>
  <si>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</si>
  <si>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</si>
  <si>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</si>
  <si>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</si>
  <si>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</si>
  <si>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</si>
  <si>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</si>
  <si>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</si>
  <si>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</si>
  <si>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</si>
  <si>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</si>
  <si>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</si>
  <si>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</si>
  <si>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</si>
  <si>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</si>
  <si>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</si>
  <si>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</si>
  <si>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</si>
  <si>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</si>
  <si>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</si>
  <si>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</si>
  <si>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</si>
  <si>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</si>
  <si>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</si>
  <si>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</si>
  <si>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</si>
  <si>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</si>
  <si>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</si>
  <si>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</si>
  <si>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</si>
  <si>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</si>
  <si>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</si>
  <si>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</si>
  <si>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</si>
  <si>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</si>
  <si>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</si>
  <si>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</si>
  <si>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</si>
  <si>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</si>
  <si>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</si>
  <si>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</si>
  <si>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</si>
  <si>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</si>
  <si>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</si>
  <si>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</si>
  <si>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</si>
  <si>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</si>
  <si>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</si>
  <si>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</si>
  <si>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</si>
  <si>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</si>
  <si>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</si>
  <si>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</si>
  <si>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</si>
  <si>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</si>
  <si>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</si>
  <si>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</si>
  <si>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</si>
  <si>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</si>
  <si>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</si>
  <si>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</si>
  <si>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</si>
  <si>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</si>
  <si>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</si>
  <si>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</si>
  <si>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</si>
  <si>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</si>
  <si>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</si>
  <si>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</si>
  <si>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</si>
  <si>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</si>
  <si>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</si>
  <si>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</si>
  <si>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</si>
  <si>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</si>
  <si>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</si>
  <si>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</si>
  <si>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</si>
  <si>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</si>
  <si>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</si>
  <si>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</si>
  <si>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</si>
  <si>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</si>
  <si>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</si>
  <si>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</si>
  <si>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</si>
  <si>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</si>
  <si>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</si>
  <si>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</si>
  <si>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</si>
  <si>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</si>
  <si>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</si>
  <si>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</si>
  <si>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</si>
  <si>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</si>
  <si>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</si>
  <si>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</si>
  <si>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</si>
  <si>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</si>
  <si>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</si>
  <si>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</si>
  <si>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</si>
  <si>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</si>
  <si>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</si>
  <si>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</si>
  <si>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</si>
  <si>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</si>
  <si>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</si>
  <si>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</si>
  <si>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</si>
  <si>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</si>
  <si>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</si>
  <si>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</si>
  <si>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</si>
  <si>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</si>
  <si>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</si>
  <si>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</si>
  <si>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</si>
  <si>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</si>
  <si>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</si>
  <si>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</si>
  <si>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</si>
  <si>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</si>
  <si>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</si>
  <si>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</si>
  <si>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</si>
  <si>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</si>
  <si>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</si>
  <si>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</si>
  <si>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</si>
  <si>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</si>
  <si>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</si>
  <si>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</si>
  <si>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</si>
  <si>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</si>
  <si>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</si>
  <si>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</si>
  <si>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</si>
  <si>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</si>
  <si>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</si>
  <si>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</si>
  <si>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</si>
  <si>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</si>
  <si>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</si>
  <si>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</si>
  <si>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</si>
  <si>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</si>
  <si>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</si>
  <si>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</si>
  <si>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</si>
  <si>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</si>
  <si>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</si>
  <si>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</si>
  <si>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</si>
  <si>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</si>
  <si>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</si>
  <si>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</si>
  <si>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</si>
  <si>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</si>
  <si>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</si>
  <si>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</si>
  <si>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</si>
  <si>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</si>
  <si>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</si>
  <si>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</si>
  <si>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</si>
  <si>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</si>
  <si>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</si>
  <si>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</si>
  <si>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</si>
  <si>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</si>
  <si>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</si>
  <si>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</si>
  <si>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</si>
  <si>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</si>
  <si>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</si>
  <si>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</si>
  <si>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</si>
  <si>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</si>
  <si>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</si>
  <si>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</si>
  <si>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</si>
  <si>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</si>
  <si>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</si>
  <si>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</si>
  <si>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</si>
  <si>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</si>
  <si>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</si>
  <si>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</si>
  <si>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</si>
  <si>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</si>
  <si>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</si>
  <si>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</si>
  <si>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</si>
  <si>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</si>
  <si>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</si>
  <si>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</si>
  <si>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</si>
  <si>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</si>
  <si>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</si>
  <si>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</si>
  <si>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</si>
  <si>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</si>
  <si>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</si>
  <si>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</si>
  <si>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</si>
  <si>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</si>
  <si>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</si>
  <si>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</si>
  <si>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</si>
  <si>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</si>
  <si>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</si>
  <si>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</si>
  <si>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</si>
  <si>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</si>
  <si>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</si>
  <si>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</si>
  <si>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</si>
  <si>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</si>
  <si>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</si>
  <si>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</si>
  <si>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</si>
  <si>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</si>
  <si>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</si>
  <si>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</si>
  <si>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</si>
  <si>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</si>
  <si>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</si>
  <si>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</si>
  <si>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</si>
  <si>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</si>
  <si>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</si>
  <si>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</si>
  <si>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</si>
  <si>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</si>
  <si>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</si>
  <si>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</si>
  <si>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</si>
  <si>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</si>
  <si>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</si>
  <si>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</si>
  <si>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</si>
  <si>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</si>
  <si>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</si>
  <si>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</si>
  <si>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</si>
  <si>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</si>
  <si>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</si>
  <si>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</si>
  <si>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</si>
  <si>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</si>
  <si>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</si>
  <si>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</si>
  <si>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</si>
  <si>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</si>
  <si>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</si>
  <si>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</si>
  <si>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</si>
  <si>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</si>
  <si>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</si>
  <si>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</si>
  <si>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</si>
  <si>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</si>
  <si>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</si>
  <si>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</si>
  <si>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</si>
  <si>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</si>
  <si>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</si>
  <si>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</si>
  <si>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</si>
  <si>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</si>
  <si>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</si>
  <si>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</si>
  <si>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</si>
  <si>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</si>
  <si>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</si>
  <si>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</si>
  <si>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</si>
  <si>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</si>
  <si>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</si>
  <si>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</si>
  <si>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</si>
  <si>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</si>
  <si>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</si>
  <si>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</si>
  <si>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</si>
  <si>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</si>
  <si>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</si>
  <si>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</si>
  <si>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</si>
  <si>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</si>
  <si>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</si>
  <si>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</si>
  <si>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</si>
  <si>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</si>
  <si>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</si>
  <si>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</si>
  <si>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</si>
  <si>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</si>
  <si>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</si>
  <si>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</si>
  <si>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</si>
  <si>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</si>
  <si>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</si>
  <si>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</si>
  <si>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</si>
  <si>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</si>
  <si>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</si>
  <si>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</si>
  <si>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</si>
  <si>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</si>
  <si>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</si>
  <si>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</si>
  <si>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</si>
  <si>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</si>
  <si>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</si>
  <si>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</si>
  <si>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</si>
  <si>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</si>
  <si>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</si>
  <si>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</si>
  <si>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</si>
  <si>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</si>
  <si>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</si>
  <si>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</si>
  <si>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</si>
  <si>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</si>
  <si>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</si>
  <si>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</si>
  <si>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</si>
  <si>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</si>
  <si>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</si>
  <si>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</si>
  <si>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</si>
  <si>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</si>
  <si>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</si>
  <si>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</si>
  <si>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</si>
  <si>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</si>
  <si>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</si>
  <si>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</si>
  <si>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</si>
  <si>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</si>
  <si>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</si>
  <si>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</si>
  <si>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</si>
  <si>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</si>
  <si>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</si>
  <si>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</si>
  <si>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</si>
  <si>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</si>
  <si>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</si>
  <si>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</si>
  <si>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</si>
  <si>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</si>
  <si>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</si>
  <si>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</si>
  <si>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</si>
  <si>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</si>
  <si>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</si>
  <si>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</si>
  <si>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</si>
  <si>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</si>
  <si>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</si>
  <si>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</si>
  <si>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</si>
  <si>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</si>
  <si>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</si>
  <si>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</si>
  <si>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</si>
  <si>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</si>
  <si>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</si>
  <si>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</si>
  <si>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</si>
  <si>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</si>
  <si>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</si>
  <si>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</si>
  <si>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</si>
  <si>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</si>
  <si>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</si>
  <si>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</si>
  <si>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</si>
  <si>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</si>
  <si>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</si>
  <si>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</si>
  <si>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</si>
  <si>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</si>
  <si>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</si>
  <si>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</si>
  <si>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</si>
  <si>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</si>
  <si>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</si>
  <si>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</si>
  <si>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</si>
  <si>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</si>
  <si>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</si>
  <si>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</si>
  <si>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</si>
  <si>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</si>
  <si>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</si>
  <si>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</si>
  <si>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</si>
  <si>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</si>
  <si>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</si>
  <si>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</si>
  <si>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</si>
  <si>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</si>
  <si>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</si>
  <si>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</si>
  <si>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</si>
  <si>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</si>
  <si>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</si>
  <si>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</si>
  <si>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</si>
  <si>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</si>
  <si>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</si>
  <si>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</si>
  <si>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</si>
  <si>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</si>
  <si>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</si>
  <si>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</si>
  <si>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</si>
  <si>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</si>
  <si>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</si>
  <si>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</si>
  <si>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</si>
  <si>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</si>
  <si>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</si>
  <si>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</si>
  <si>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</si>
  <si>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</si>
  <si>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</si>
  <si>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</si>
  <si>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</si>
  <si>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</si>
  <si>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</si>
  <si>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</si>
  <si>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</si>
  <si>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</si>
  <si>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</si>
  <si>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</si>
  <si>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</si>
  <si>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</si>
  <si>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</si>
  <si>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</si>
  <si>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</si>
  <si>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</si>
  <si>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</si>
  <si>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</si>
  <si>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</si>
  <si>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</si>
  <si>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</si>
  <si>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</si>
  <si>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</si>
  <si>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</si>
  <si>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</si>
  <si>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</si>
  <si>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</si>
  <si>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</si>
  <si>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</si>
  <si>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</si>
  <si>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</si>
  <si>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</si>
  <si>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</si>
  <si>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</si>
  <si>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</si>
  <si>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</si>
  <si>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</si>
  <si>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</si>
  <si>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</si>
  <si>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</si>
  <si>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</si>
  <si>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</si>
  <si>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</si>
  <si>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</si>
  <si>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</si>
  <si>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</si>
  <si>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</si>
  <si>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</si>
  <si>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</si>
  <si>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</si>
  <si>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</si>
  <si>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</si>
  <si>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</si>
  <si>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</si>
  <si>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</si>
  <si>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</si>
  <si>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</si>
  <si>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</si>
  <si>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</si>
  <si>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</si>
  <si>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</si>
  <si>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</si>
  <si>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</si>
  <si>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</si>
  <si>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</si>
  <si>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</si>
  <si>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</si>
  <si>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</si>
  <si>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</si>
  <si>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</si>
  <si>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</si>
  <si>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</si>
  <si>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</si>
  <si>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</si>
  <si>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</si>
  <si>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</si>
  <si>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</si>
  <si>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</si>
  <si>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</si>
  <si>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</si>
  <si>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</si>
  <si>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</si>
  <si>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</si>
  <si>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</si>
  <si>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</si>
  <si>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</si>
  <si>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</si>
  <si>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</si>
  <si>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</si>
  <si>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</si>
  <si>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</si>
  <si>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</si>
  <si>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</si>
  <si>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</si>
  <si>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</si>
  <si>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</si>
  <si>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</si>
  <si>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</si>
  <si>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</si>
  <si>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</si>
  <si>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</si>
  <si>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</si>
  <si>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</si>
  <si>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</si>
  <si>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</si>
  <si>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</si>
  <si>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</si>
  <si>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</si>
  <si>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</si>
  <si>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</si>
  <si>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</si>
  <si>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</si>
  <si>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</si>
  <si>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</si>
  <si>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</si>
  <si>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</si>
  <si>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</si>
  <si>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</si>
  <si>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</si>
  <si>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</si>
  <si>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</si>
  <si>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</si>
  <si>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</si>
  <si>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</si>
  <si>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</si>
  <si>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</si>
  <si>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</si>
  <si>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</si>
  <si>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</si>
  <si>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</si>
  <si>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</si>
  <si>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</si>
  <si>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</si>
  <si>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</si>
  <si>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</si>
  <si>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</si>
  <si>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</si>
  <si>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</si>
  <si>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</si>
  <si>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</si>
  <si>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</si>
  <si>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</si>
  <si>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</si>
  <si>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</si>
  <si>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</si>
  <si>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</si>
  <si>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</si>
  <si>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</si>
  <si>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</si>
  <si>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</si>
  <si>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</si>
  <si>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</si>
  <si>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</si>
  <si>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</si>
  <si>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</si>
  <si>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</si>
  <si>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</si>
  <si>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</si>
  <si>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</si>
  <si>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</si>
  <si>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</si>
  <si>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</si>
  <si>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</si>
  <si>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</si>
  <si>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</si>
  <si>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</si>
  <si>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</si>
  <si>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</si>
  <si>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</si>
  <si>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</si>
  <si>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</si>
  <si>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</si>
  <si>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</si>
  <si>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</si>
  <si>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</si>
  <si>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</si>
  <si>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</si>
  <si>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</si>
  <si>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</si>
  <si>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</si>
  <si>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</si>
  <si>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</si>
  <si>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</si>
  <si>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</si>
  <si>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</si>
  <si>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</si>
  <si>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</si>
  <si>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</si>
  <si>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</si>
  <si>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</si>
  <si>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</si>
  <si>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</si>
  <si>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</si>
  <si>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</si>
  <si>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</si>
  <si>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</si>
  <si>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</si>
  <si>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</si>
  <si>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</si>
  <si>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</si>
  <si>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</si>
  <si>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</si>
  <si>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</si>
  <si>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</si>
  <si>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</si>
  <si>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</si>
  <si>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</si>
  <si>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</si>
  <si>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</si>
  <si>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</si>
  <si>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</si>
  <si>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</si>
  <si>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</si>
  <si>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</si>
  <si>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</si>
  <si>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</si>
  <si>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</si>
  <si>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</si>
  <si>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</si>
  <si>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</si>
  <si>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</si>
  <si>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</si>
  <si>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</si>
  <si>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</si>
  <si>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</si>
  <si>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</si>
  <si>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</si>
  <si>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</si>
  <si>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</si>
  <si>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</si>
  <si>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</si>
  <si>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</si>
  <si>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</si>
  <si>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</si>
  <si>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</si>
  <si>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</si>
  <si>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</si>
  <si>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</si>
  <si>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</si>
  <si>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</si>
  <si>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</si>
  <si>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</si>
  <si>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</si>
  <si>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</si>
  <si>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</si>
  <si>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</si>
  <si>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</si>
  <si>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</si>
  <si>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</si>
  <si>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</si>
  <si>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</si>
  <si>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</si>
  <si>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</si>
  <si>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</si>
  <si>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</si>
  <si>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</si>
  <si>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</si>
  <si>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</si>
  <si>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</si>
  <si>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</si>
  <si>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</si>
  <si>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</si>
  <si>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</si>
  <si>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</si>
  <si>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</si>
  <si>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</si>
  <si>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</si>
  <si>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</si>
  <si>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</si>
  <si>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</si>
  <si>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</si>
  <si>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</si>
  <si>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</si>
  <si>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</si>
  <si>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</si>
  <si>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</si>
  <si>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</si>
  <si>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</si>
  <si>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</si>
  <si>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</si>
  <si>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</si>
  <si>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</si>
  <si>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</si>
  <si>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</si>
  <si>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</si>
  <si>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</si>
  <si>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</si>
  <si>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</si>
  <si>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</si>
  <si>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</si>
  <si>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</si>
  <si>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</si>
  <si>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</si>
  <si>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</si>
  <si>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</si>
  <si>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</si>
  <si>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</si>
  <si>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</si>
  <si>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</si>
  <si>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</si>
  <si>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</si>
  <si>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</si>
  <si>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</si>
  <si>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</si>
  <si>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</si>
  <si>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</si>
  <si>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</si>
  <si>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</si>
  <si>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</si>
  <si>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</si>
  <si>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</si>
  <si>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</si>
  <si>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</si>
  <si>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</si>
  <si>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</si>
  <si>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</si>
  <si>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</si>
  <si>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</si>
  <si>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</si>
  <si>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</si>
  <si>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</si>
  <si>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</si>
  <si>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</si>
  <si>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</si>
  <si>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</si>
  <si>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</si>
  <si>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</si>
  <si>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</si>
  <si>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</si>
  <si>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</si>
  <si>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</si>
  <si>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</si>
  <si>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</si>
  <si>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</si>
  <si>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</si>
  <si>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</si>
  <si>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</si>
  <si>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</si>
  <si>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</si>
  <si>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</si>
  <si>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</si>
  <si>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</si>
  <si>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</si>
  <si>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</si>
  <si>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</si>
  <si>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</si>
  <si>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</si>
  <si>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</si>
  <si>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</si>
  <si>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</si>
  <si>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</si>
  <si>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</si>
  <si>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</si>
  <si>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</si>
  <si>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</si>
  <si>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</si>
  <si>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</si>
  <si>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</si>
  <si>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</si>
  <si>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</si>
  <si>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</si>
  <si>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</si>
  <si>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</si>
  <si>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</si>
  <si>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</si>
  <si>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</si>
  <si>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</si>
  <si>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</si>
  <si>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</si>
  <si>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</si>
  <si>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</si>
  <si>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</si>
  <si>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</si>
  <si>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</si>
  <si>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</si>
  <si>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</si>
  <si>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</si>
  <si>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</si>
  <si>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</si>
  <si>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</si>
  <si>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</si>
  <si>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</si>
  <si>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</si>
  <si>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</si>
  <si>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</si>
  <si>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</si>
  <si>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</si>
  <si>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</si>
  <si>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</si>
  <si>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</si>
  <si>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</si>
  <si>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</si>
  <si>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</si>
  <si>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</si>
  <si>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</si>
  <si>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</si>
  <si>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</si>
  <si>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</si>
  <si>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</si>
  <si>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</si>
  <si>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</si>
  <si>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</si>
  <si>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</si>
  <si>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</si>
  <si>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</si>
  <si>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</si>
  <si>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</si>
  <si>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</si>
  <si>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</si>
  <si>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</si>
  <si>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</si>
  <si>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</si>
  <si>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</si>
  <si>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</si>
  <si>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</si>
  <si>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</si>
  <si>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</si>
  <si>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</si>
  <si>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</si>
  <si>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</si>
  <si>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</si>
  <si>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</si>
  <si>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</si>
  <si>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</si>
  <si>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</si>
  <si>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</si>
  <si>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</si>
  <si>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</si>
  <si>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</si>
  <si>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</si>
  <si>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</si>
  <si>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</si>
  <si>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</si>
  <si>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</si>
  <si>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</si>
  <si>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</si>
  <si>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</si>
  <si>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</si>
  <si>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</si>
  <si>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</si>
  <si>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</si>
  <si>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</si>
  <si>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</si>
  <si>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</si>
  <si>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</si>
  <si>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</si>
  <si>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</si>
  <si>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</si>
  <si>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</si>
  <si>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</si>
  <si>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</si>
  <si>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</si>
  <si>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</si>
  <si>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</si>
  <si>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</si>
  <si>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</si>
  <si>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</si>
  <si>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</si>
  <si>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</si>
  <si>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</si>
  <si>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</si>
  <si>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</si>
  <si>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</si>
  <si>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</si>
  <si>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</si>
  <si>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</si>
  <si>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</si>
  <si>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</si>
  <si>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</si>
  <si>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</si>
  <si>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</si>
  <si>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</si>
  <si>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</si>
  <si>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</si>
  <si>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</si>
  <si>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</si>
  <si>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</si>
  <si>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</si>
  <si>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</si>
  <si>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</si>
  <si>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</si>
  <si>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</si>
  <si>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</si>
  <si>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</si>
  <si>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</si>
  <si>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</si>
  <si>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</si>
  <si>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</si>
  <si>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</si>
  <si>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</si>
  <si>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</si>
  <si>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</si>
  <si>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</si>
  <si>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</si>
  <si>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</si>
  <si>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</si>
  <si>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</si>
  <si>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</si>
  <si>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</si>
  <si>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</si>
  <si>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</si>
  <si>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</si>
  <si>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</si>
  <si>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</si>
  <si>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</si>
  <si>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</si>
  <si>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</si>
  <si>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</si>
  <si>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</si>
  <si>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</si>
  <si>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</si>
  <si>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</si>
  <si>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</si>
  <si>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</si>
  <si>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</si>
  <si>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</si>
  <si>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</si>
  <si>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</si>
  <si>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</si>
  <si>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</si>
  <si>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</si>
  <si>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</si>
  <si>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</si>
  <si>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</si>
  <si>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</si>
  <si>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</si>
  <si>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</si>
  <si>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</si>
  <si>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</si>
  <si>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</si>
  <si>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</si>
  <si>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</si>
  <si>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</si>
  <si>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</si>
  <si>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</si>
  <si>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</si>
  <si>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</si>
  <si>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</si>
  <si>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</si>
  <si>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</si>
  <si>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</si>
  <si>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</si>
  <si>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</si>
  <si>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</si>
  <si>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</si>
  <si>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</si>
  <si>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</si>
  <si>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</si>
  <si>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</si>
  <si>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</si>
  <si>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</si>
  <si>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</si>
  <si>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</si>
  <si>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</si>
  <si>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</si>
  <si>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</si>
  <si>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</si>
  <si>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</si>
  <si>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</si>
  <si>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</si>
  <si>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</si>
  <si>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</si>
  <si>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</si>
  <si>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</si>
  <si>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</si>
  <si>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</si>
  <si>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</si>
  <si>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</si>
  <si>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</si>
  <si>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</si>
  <si>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</si>
  <si>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</si>
  <si>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</si>
  <si>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</si>
  <si>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</si>
  <si>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</si>
  <si>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</si>
  <si>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</si>
  <si>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</si>
  <si>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</si>
  <si>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</si>
  <si>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</si>
  <si>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</si>
  <si>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</si>
  <si>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</si>
  <si>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</si>
  <si>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</si>
  <si>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</si>
  <si>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</si>
  <si>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</si>
  <si>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</si>
  <si>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</si>
  <si>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</si>
  <si>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</si>
  <si>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</si>
  <si>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</si>
  <si>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</si>
  <si>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</si>
  <si>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</si>
  <si>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</si>
  <si>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</si>
  <si>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</si>
  <si>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</si>
  <si>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</si>
  <si>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</si>
  <si>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</si>
  <si>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</si>
  <si>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</si>
  <si>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</si>
  <si>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</si>
  <si>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</si>
  <si>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</si>
  <si>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</si>
  <si>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</si>
  <si>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</si>
  <si>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</si>
  <si>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</si>
  <si>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</si>
  <si>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</si>
  <si>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</si>
  <si>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</si>
  <si>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</si>
  <si>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</si>
  <si>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</si>
  <si>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</si>
  <si>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</si>
  <si>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</si>
  <si>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</si>
  <si>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</si>
  <si>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</si>
  <si>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</si>
  <si>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</si>
  <si>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</si>
  <si>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</si>
  <si>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</si>
  <si>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</si>
  <si>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</si>
  <si>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</si>
  <si>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</si>
  <si>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</si>
  <si>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</si>
  <si>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</si>
  <si>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</si>
  <si>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</si>
  <si>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</si>
  <si>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</si>
  <si>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</si>
  <si>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</si>
  <si>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</si>
  <si>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</si>
  <si>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</si>
  <si>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</si>
  <si>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</si>
  <si>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</si>
  <si>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</si>
  <si>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</si>
  <si>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</si>
  <si>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</si>
  <si>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</si>
  <si>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</si>
  <si>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</si>
  <si>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</si>
  <si>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</si>
  <si>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</si>
  <si>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</si>
  <si>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</si>
  <si>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</si>
  <si>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</si>
  <si>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</si>
  <si>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</si>
  <si>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</si>
  <si>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</si>
  <si>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</si>
  <si>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</si>
  <si>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</si>
  <si>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</si>
  <si>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</si>
  <si>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</si>
  <si>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</si>
  <si>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</si>
  <si>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</si>
  <si>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</si>
  <si>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</si>
  <si>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</si>
  <si>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</si>
  <si>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</si>
  <si>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</si>
  <si>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</si>
  <si>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</si>
  <si>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</si>
  <si>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</si>
  <si>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</si>
  <si>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</si>
  <si>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</si>
  <si>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</si>
  <si>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</si>
  <si>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</si>
  <si>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</si>
  <si>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</si>
  <si>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</si>
  <si>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</si>
  <si>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</si>
  <si>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</si>
  <si>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</si>
  <si>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</si>
  <si>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</si>
  <si>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</si>
  <si>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</si>
  <si>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</si>
  <si>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</si>
  <si>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</si>
  <si>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</si>
  <si>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</si>
  <si>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</si>
  <si>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</si>
  <si>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</si>
  <si>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</si>
  <si>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</si>
  <si>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</si>
  <si>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</si>
  <si>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</si>
  <si>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</si>
  <si>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</si>
  <si>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</si>
  <si>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</si>
  <si>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</si>
  <si>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</si>
  <si>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</si>
  <si>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</si>
  <si>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</si>
  <si>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</si>
  <si>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</si>
  <si>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</si>
  <si>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</si>
  <si>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</si>
  <si>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</si>
  <si>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</si>
  <si>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</si>
  <si>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</si>
  <si>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</si>
  <si>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</si>
  <si>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</si>
  <si>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</si>
  <si>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</si>
  <si>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</si>
  <si>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</si>
  <si>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</si>
  <si>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</si>
  <si>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</si>
  <si>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</si>
  <si>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</si>
  <si>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</si>
  <si>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</si>
  <si>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</si>
  <si>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</si>
  <si>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</si>
  <si>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</si>
  <si>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</si>
  <si>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</si>
  <si>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</si>
  <si>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</si>
  <si>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</si>
  <si>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</si>
  <si>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</si>
  <si>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</si>
  <si>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</si>
  <si>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</si>
  <si>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</si>
  <si>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</si>
  <si>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</si>
  <si>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</si>
  <si>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</si>
  <si>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</si>
  <si>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</si>
  <si>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</si>
  <si>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</si>
  <si>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</si>
  <si>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</si>
  <si>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</si>
  <si>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</si>
  <si>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</si>
  <si>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</si>
  <si>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</si>
  <si>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</si>
  <si>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</si>
  <si>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</si>
  <si>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</si>
  <si>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</si>
  <si>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</si>
  <si>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</si>
  <si>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</si>
  <si>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</si>
  <si>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</si>
  <si>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</si>
  <si>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</si>
  <si>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</si>
  <si>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</si>
  <si>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</si>
  <si>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</si>
  <si>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</si>
  <si>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</si>
  <si>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</si>
  <si>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</si>
  <si>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</si>
  <si>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</si>
  <si>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</si>
  <si>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</si>
  <si>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</si>
  <si>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</si>
  <si>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</si>
  <si>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</si>
  <si>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</si>
  <si>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</si>
  <si>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</si>
  <si>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</si>
  <si>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</si>
  <si>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</si>
  <si>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</si>
  <si>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</si>
  <si>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</si>
  <si>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</si>
  <si>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</si>
  <si>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</si>
  <si>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</si>
  <si>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</si>
  <si>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</si>
  <si>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</si>
  <si>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</si>
  <si>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</si>
  <si>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</si>
  <si>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</si>
  <si>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</si>
  <si>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</si>
  <si>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</si>
  <si>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</si>
  <si>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</si>
  <si>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</si>
  <si>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</si>
  <si>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</si>
  <si>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</si>
  <si>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</si>
  <si>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</si>
  <si>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</si>
  <si>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</si>
  <si>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</si>
  <si>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</si>
  <si>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</si>
  <si>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</si>
  <si>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</si>
  <si>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</si>
  <si>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</si>
  <si>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</si>
  <si>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</si>
  <si>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</si>
  <si>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</si>
  <si>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</si>
  <si>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</si>
  <si>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</si>
  <si>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</si>
  <si>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</si>
  <si>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</si>
  <si>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</si>
  <si>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</si>
  <si>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</si>
  <si>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</si>
  <si>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</si>
  <si>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</si>
  <si>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</si>
  <si>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</si>
  <si>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</si>
  <si>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</si>
  <si>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</si>
  <si>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</si>
  <si>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</si>
  <si>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</si>
  <si>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</si>
  <si>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</si>
  <si>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</si>
  <si>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</si>
  <si>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</si>
  <si>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</si>
  <si>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</si>
  <si>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</si>
  <si>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</si>
  <si>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</si>
  <si>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</si>
  <si>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</si>
  <si>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</si>
  <si>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</si>
  <si>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</si>
  <si>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</si>
  <si>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</si>
  <si>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</si>
  <si>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</si>
  <si>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</si>
  <si>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</si>
  <si>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</si>
  <si>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</si>
  <si>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</si>
  <si>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</si>
  <si>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</si>
  <si>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</si>
  <si>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</si>
  <si>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</si>
  <si>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</si>
  <si>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</si>
  <si>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</si>
  <si>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</si>
  <si>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</si>
  <si>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</si>
  <si>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</si>
  <si>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</si>
  <si>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</si>
  <si>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</si>
  <si>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</si>
  <si>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</si>
  <si>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</si>
  <si>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</si>
  <si>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</si>
  <si>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</si>
  <si>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</si>
  <si>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</si>
  <si>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</si>
  <si>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</si>
  <si>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</si>
  <si>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</si>
  <si>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</si>
  <si>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</si>
  <si>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</si>
  <si>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</si>
  <si>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</si>
  <si>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</si>
  <si>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</si>
  <si>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</si>
  <si>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</si>
  <si>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</si>
  <si>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</si>
  <si>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</si>
  <si>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</si>
  <si>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</si>
  <si>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</si>
  <si>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</si>
  <si>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</si>
  <si>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</si>
  <si>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</si>
  <si>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</si>
  <si>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</si>
  <si>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</si>
  <si>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</si>
  <si>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</si>
  <si>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</si>
  <si>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</si>
  <si>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</si>
  <si>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</si>
  <si>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</si>
  <si>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</si>
  <si>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</si>
  <si>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</si>
  <si>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</si>
  <si>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</si>
  <si>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</si>
  <si>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</si>
  <si>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</si>
  <si>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</si>
  <si>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</si>
  <si>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</si>
  <si>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</si>
  <si>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</si>
  <si>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</si>
  <si>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</si>
  <si>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</si>
  <si>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</si>
  <si>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</si>
  <si>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</si>
  <si>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</si>
  <si>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</si>
  <si>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</si>
  <si>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</si>
  <si>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</si>
  <si>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</si>
  <si>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</si>
  <si>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</si>
  <si>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</si>
  <si>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</si>
  <si>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</si>
  <si>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</si>
  <si>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</si>
  <si>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</si>
  <si>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</si>
  <si>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</si>
  <si>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</si>
  <si>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</si>
  <si>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</si>
  <si>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</si>
  <si>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</si>
  <si>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</si>
  <si>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</si>
  <si>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</si>
  <si>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</si>
  <si>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</si>
  <si>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</si>
  <si>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</si>
  <si>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</si>
  <si>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</si>
  <si>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</si>
  <si>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</si>
  <si>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</si>
  <si>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</si>
  <si>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</si>
  <si>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</si>
  <si>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</si>
  <si>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</si>
  <si>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</si>
  <si>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</si>
  <si>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</si>
  <si>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</si>
  <si>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</si>
  <si>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</si>
  <si>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</si>
  <si>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</si>
  <si>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</si>
  <si>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</si>
  <si>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</si>
  <si>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</si>
  <si>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</si>
  <si>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</si>
  <si>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</si>
  <si>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</si>
  <si>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</si>
  <si>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</si>
  <si>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</si>
  <si>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</si>
  <si>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</si>
  <si>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</si>
  <si>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</si>
  <si>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</si>
  <si>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</si>
  <si>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</si>
  <si>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</si>
  <si>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</si>
  <si>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</si>
  <si>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</si>
  <si>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</si>
  <si>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</si>
  <si>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</si>
  <si>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</si>
  <si>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</si>
  <si>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</si>
  <si>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</si>
  <si>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</si>
  <si>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</si>
  <si>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</si>
  <si>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</si>
  <si>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</si>
  <si>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</si>
  <si>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</si>
  <si>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</si>
  <si>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</si>
  <si>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</si>
  <si>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</si>
  <si>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</si>
  <si>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</si>
  <si>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</si>
  <si>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</si>
  <si>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</si>
  <si>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</si>
  <si>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</si>
  <si>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</si>
  <si>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</si>
  <si>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</si>
  <si>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</si>
  <si>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</si>
  <si>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</si>
  <si>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</si>
  <si>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</si>
  <si>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</si>
  <si>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</si>
  <si>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</si>
  <si>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</si>
  <si>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</si>
  <si>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</si>
  <si>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</si>
  <si>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</si>
  <si>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</si>
  <si>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</si>
  <si>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</si>
  <si>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</si>
  <si>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</si>
  <si>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</si>
  <si>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</si>
  <si>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</si>
  <si>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</si>
  <si>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</si>
  <si>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</si>
  <si>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</si>
  <si>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</si>
  <si>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</si>
  <si>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</si>
  <si>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</si>
  <si>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</si>
  <si>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</si>
  <si>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</si>
  <si>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</si>
  <si>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</si>
  <si>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</si>
  <si>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</si>
  <si>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</si>
  <si>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</si>
  <si>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</si>
  <si>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</si>
  <si>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</si>
  <si>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</si>
  <si>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</si>
  <si>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</si>
  <si>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</si>
  <si>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</si>
  <si>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</si>
  <si>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</si>
  <si>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</si>
  <si>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</si>
  <si>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</si>
  <si>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</si>
  <si>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</si>
  <si>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</si>
  <si>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</si>
  <si>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</si>
  <si>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</si>
  <si>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</si>
  <si>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</si>
  <si>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</si>
  <si>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</si>
  <si>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</si>
  <si>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</si>
  <si>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</si>
  <si>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</si>
  <si>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</si>
  <si>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</si>
  <si>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</si>
  <si>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</si>
  <si>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</si>
  <si>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</si>
  <si>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</si>
  <si>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</si>
  <si>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</si>
  <si>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</si>
  <si>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</si>
  <si>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</si>
  <si>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</si>
  <si>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</si>
  <si>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</si>
  <si>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</si>
  <si>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</si>
  <si>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</si>
  <si>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</si>
  <si>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</si>
  <si>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</si>
  <si>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</si>
  <si>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</si>
  <si>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</si>
  <si>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</si>
  <si>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</si>
  <si>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</si>
  <si>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</si>
  <si>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</si>
  <si>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</si>
  <si>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</si>
  <si>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</si>
  <si>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</si>
  <si>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</si>
  <si>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</si>
  <si>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</si>
  <si>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</si>
  <si>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</si>
  <si>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</si>
  <si>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</si>
  <si>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</si>
  <si>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</si>
  <si>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</si>
  <si>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</si>
  <si>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</si>
  <si>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</si>
  <si>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</si>
  <si>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</si>
  <si>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</si>
  <si>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</si>
  <si>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</si>
  <si>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</si>
  <si>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</si>
  <si>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</si>
  <si>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</si>
  <si>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</si>
  <si>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</si>
  <si>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</si>
  <si>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</si>
  <si>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</si>
  <si>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</si>
  <si>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</si>
  <si>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</si>
  <si>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</si>
  <si>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</si>
  <si>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</si>
  <si>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</si>
  <si>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</si>
  <si>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</si>
  <si>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</si>
  <si>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</si>
  <si>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</si>
  <si>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</si>
  <si>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</si>
  <si>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</si>
  <si>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</si>
  <si>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</si>
  <si>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</si>
  <si>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</si>
  <si>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</si>
  <si>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</si>
  <si>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</si>
  <si>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</si>
  <si>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</si>
  <si>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</si>
  <si>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</si>
  <si>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</si>
  <si>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</si>
  <si>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</si>
  <si>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</si>
  <si>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</si>
  <si>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</si>
  <si>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</si>
  <si>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</si>
  <si>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</si>
  <si>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</si>
  <si>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</si>
  <si>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</si>
  <si>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</si>
  <si>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</si>
  <si>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</si>
  <si>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</si>
  <si>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</si>
  <si>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</si>
  <si>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</si>
  <si>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</si>
  <si>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</si>
  <si>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</si>
  <si>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</si>
  <si>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</si>
  <si>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</si>
  <si>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</si>
  <si>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</si>
  <si>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</si>
  <si>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</si>
  <si>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</si>
  <si>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</si>
  <si>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</si>
  <si>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</si>
  <si>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</si>
  <si>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</si>
  <si>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</si>
  <si>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</si>
  <si>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</si>
  <si>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</si>
  <si>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</si>
  <si>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</si>
  <si>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</si>
  <si>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</si>
  <si>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</si>
  <si>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</si>
  <si>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</si>
  <si>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</si>
  <si>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</si>
  <si>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</si>
  <si>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</si>
  <si>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</si>
  <si>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</si>
  <si>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</si>
  <si>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</si>
  <si>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</si>
  <si>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</si>
  <si>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</si>
  <si>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</si>
  <si>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</si>
  <si>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</si>
  <si>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</si>
  <si>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</si>
  <si>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</si>
  <si>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</si>
  <si>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</si>
  <si>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</si>
  <si>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</si>
  <si>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</si>
  <si>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</si>
  <si>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</si>
  <si>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</si>
  <si>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</si>
  <si>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</si>
  <si>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</si>
  <si>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</si>
  <si>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</si>
  <si>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</si>
  <si>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</si>
  <si>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</si>
  <si>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</si>
  <si>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</si>
  <si>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</si>
  <si>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</si>
  <si>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</si>
  <si>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</si>
  <si>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</si>
  <si>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</si>
  <si>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</si>
  <si>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</si>
  <si>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</si>
  <si>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</si>
  <si>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</si>
  <si>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</si>
  <si>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</si>
  <si>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</si>
  <si>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</si>
  <si>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</si>
  <si>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</si>
  <si>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</si>
  <si>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</si>
  <si>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</si>
  <si>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</si>
  <si>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</si>
  <si>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</si>
  <si>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</si>
  <si>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</si>
  <si>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</si>
  <si>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</si>
  <si>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</si>
  <si>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</si>
  <si>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</si>
  <si>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</si>
  <si>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</si>
  <si>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</si>
  <si>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</si>
  <si>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</si>
  <si>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</si>
  <si>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</si>
  <si>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</si>
  <si>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</si>
  <si>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</si>
  <si>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</si>
  <si>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</si>
  <si>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</si>
  <si>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</si>
  <si>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</si>
  <si>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</si>
  <si>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</si>
  <si>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</si>
  <si>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</si>
  <si>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</si>
  <si>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</si>
  <si>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</si>
  <si>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</si>
  <si>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</si>
  <si>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</si>
  <si>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</si>
  <si>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</si>
  <si>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</si>
  <si>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</si>
  <si>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</si>
  <si>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</si>
  <si>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</si>
  <si>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</si>
  <si>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</si>
  <si>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</si>
  <si>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</si>
  <si>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</si>
  <si>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</si>
  <si>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</si>
  <si>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</si>
  <si>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</si>
  <si>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</si>
  <si>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</si>
  <si>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</si>
  <si>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</si>
  <si>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</si>
  <si>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</si>
  <si>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</si>
  <si>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</si>
  <si>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</si>
  <si>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</si>
  <si>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</si>
  <si>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</si>
  <si>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</si>
  <si>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</si>
  <si>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</si>
  <si>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</si>
  <si>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</si>
  <si>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</si>
  <si>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</si>
  <si>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</si>
  <si>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</si>
  <si>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</si>
  <si>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</si>
  <si>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</si>
  <si>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</si>
  <si>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</si>
  <si>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</si>
  <si>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</si>
  <si>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</si>
  <si>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</si>
  <si>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</si>
  <si>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</si>
  <si>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</si>
  <si>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</si>
  <si>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</si>
  <si>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</si>
  <si>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</si>
  <si>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</si>
  <si>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</si>
  <si>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</si>
  <si>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</si>
  <si>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</si>
  <si>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</si>
  <si>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</si>
  <si>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</si>
  <si>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</si>
  <si>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</si>
  <si>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</si>
  <si>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</si>
  <si>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</si>
  <si>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</si>
  <si>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</si>
  <si>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</si>
  <si>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</si>
  <si>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</si>
  <si>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</si>
  <si>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</si>
  <si>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</si>
  <si>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</si>
  <si>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</si>
  <si>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</si>
  <si>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</si>
  <si>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</si>
  <si>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</si>
  <si>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</si>
  <si>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</si>
  <si>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</si>
  <si>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</si>
  <si>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</si>
  <si>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</si>
  <si>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</si>
  <si>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</si>
  <si>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</si>
  <si>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</si>
  <si>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</si>
  <si>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</si>
  <si>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</si>
  <si>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</si>
  <si>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</si>
  <si>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</si>
  <si>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</si>
  <si>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</si>
  <si>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</si>
  <si>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</si>
  <si>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</si>
  <si>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</si>
  <si>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</si>
  <si>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</si>
  <si>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</si>
  <si>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</si>
  <si>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</si>
  <si>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</si>
  <si>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</si>
  <si>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</si>
  <si>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</si>
  <si>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</si>
  <si>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</si>
  <si>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</si>
  <si>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</si>
  <si>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</si>
  <si>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</si>
  <si>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</si>
  <si>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</si>
  <si>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</si>
  <si>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</si>
  <si>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</si>
  <si>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</si>
  <si>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</si>
  <si>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</si>
  <si>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</si>
  <si>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</si>
  <si>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</si>
  <si>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</si>
  <si>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</si>
  <si>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</si>
  <si>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</si>
  <si>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</si>
  <si>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</si>
  <si>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</si>
  <si>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</si>
  <si>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</si>
  <si>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</si>
  <si>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</si>
  <si>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</si>
  <si>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</si>
  <si>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</si>
  <si>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</si>
  <si>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</si>
  <si>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</si>
  <si>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</si>
  <si>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</si>
  <si>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</si>
  <si>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</si>
  <si>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</si>
  <si>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</si>
  <si>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</si>
  <si>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</si>
  <si>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</si>
  <si>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</si>
  <si>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</si>
  <si>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</si>
  <si>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</si>
  <si>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</si>
  <si>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</si>
  <si>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</si>
  <si>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</si>
  <si>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</si>
  <si>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</si>
  <si>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</si>
  <si>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</si>
  <si>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</si>
  <si>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</si>
  <si>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</si>
  <si>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</si>
  <si>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</si>
  <si>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</si>
  <si>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</si>
  <si>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</si>
  <si>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</si>
  <si>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</si>
  <si>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</si>
  <si>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</si>
  <si>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</si>
  <si>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</si>
  <si>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</si>
  <si>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</si>
  <si>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</si>
  <si>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</si>
  <si>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</si>
  <si>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</si>
  <si>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</si>
  <si>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</si>
  <si>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</si>
  <si>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</si>
  <si>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</si>
  <si>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</si>
  <si>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</si>
  <si>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</si>
  <si>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</si>
  <si>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</si>
  <si>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</si>
  <si>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</si>
  <si>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</si>
  <si>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</si>
  <si>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</si>
  <si>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</si>
  <si>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</si>
  <si>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</si>
  <si>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</si>
  <si>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</si>
  <si>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</si>
  <si>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</si>
  <si>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</si>
  <si>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</si>
  <si>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</si>
  <si>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</si>
  <si>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</si>
  <si>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</si>
  <si>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</si>
  <si>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</si>
  <si>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</si>
  <si>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</si>
  <si>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</si>
  <si>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</si>
  <si>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</si>
  <si>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</si>
  <si>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</si>
  <si>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</si>
  <si>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</si>
  <si>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</si>
  <si>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</si>
  <si>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</si>
  <si>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</si>
  <si>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</si>
  <si>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</si>
  <si>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</si>
  <si>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</si>
  <si>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</si>
  <si>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</si>
  <si>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</si>
  <si>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</si>
  <si>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</si>
  <si>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</si>
  <si>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</si>
  <si>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</si>
  <si>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</si>
  <si>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</si>
  <si>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</si>
  <si>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</si>
  <si>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</si>
  <si>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</si>
  <si>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</si>
  <si>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</si>
  <si>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</si>
  <si>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</si>
  <si>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</si>
  <si>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</si>
  <si>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</si>
  <si>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</si>
  <si>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</si>
  <si>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</si>
  <si>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</si>
  <si>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</si>
  <si>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</si>
  <si>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</si>
  <si>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</si>
  <si>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</si>
  <si>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</si>
  <si>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</si>
  <si>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</si>
  <si>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</si>
  <si>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</si>
  <si>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</si>
  <si>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</si>
  <si>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</si>
  <si>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</si>
  <si>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</si>
  <si>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</si>
  <si>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</si>
  <si>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</si>
  <si>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</si>
  <si>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</si>
  <si>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</si>
  <si>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</si>
  <si>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</si>
  <si>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</si>
  <si>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</si>
  <si>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</si>
  <si>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</si>
  <si>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</si>
  <si>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</si>
  <si>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</si>
  <si>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</si>
  <si>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</si>
  <si>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</si>
  <si>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</si>
  <si>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</si>
  <si>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</si>
  <si>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</si>
  <si>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</si>
  <si>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</si>
  <si>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</si>
  <si>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</si>
  <si>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</si>
  <si>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</si>
  <si>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</si>
  <si>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</si>
  <si>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</si>
  <si>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</si>
  <si>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</si>
  <si>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</si>
  <si>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</si>
  <si>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</si>
  <si>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</si>
  <si>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</si>
  <si>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</si>
  <si>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</si>
  <si>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</si>
  <si>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</si>
  <si>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</si>
  <si>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</si>
  <si>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</si>
  <si>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</si>
  <si>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</si>
  <si>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</si>
  <si>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</si>
  <si>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</si>
  <si>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</si>
  <si>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</si>
  <si>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</si>
  <si>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</si>
  <si>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</si>
  <si>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</si>
  <si>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</si>
  <si>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</si>
  <si>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</si>
  <si>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</si>
  <si>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</si>
  <si>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</si>
  <si>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</si>
  <si>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</si>
  <si>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</si>
  <si>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</si>
  <si>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</si>
  <si>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</si>
  <si>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</si>
  <si>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</si>
  <si>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</si>
  <si>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</si>
  <si>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</si>
  <si>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</si>
  <si>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</si>
  <si>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</si>
  <si>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</si>
  <si>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</si>
  <si>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</si>
  <si>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</si>
  <si>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</si>
  <si>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</si>
  <si>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</si>
  <si>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</si>
  <si>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</si>
  <si>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</si>
  <si>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</si>
  <si>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</si>
  <si>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</si>
  <si>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</si>
  <si>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</si>
  <si>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</si>
  <si>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</si>
  <si>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</si>
  <si>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</si>
  <si>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</si>
  <si>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</si>
  <si>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</si>
  <si>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</si>
  <si>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</si>
  <si>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</si>
  <si>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</si>
  <si>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</si>
  <si>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</si>
  <si>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</si>
  <si>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</si>
  <si>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</si>
  <si>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</si>
  <si>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</si>
  <si>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</si>
  <si>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</si>
  <si>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</si>
  <si>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</si>
  <si>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</si>
  <si>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</si>
  <si>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</si>
  <si>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</si>
  <si>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</si>
  <si>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</si>
  <si>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</si>
  <si>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</si>
  <si>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</si>
  <si>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</si>
  <si>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</si>
  <si>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</si>
  <si>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</si>
  <si>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</si>
  <si>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</si>
  <si>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</si>
  <si>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</si>
  <si>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</si>
  <si>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</si>
  <si>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</si>
  <si>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</si>
  <si>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</si>
  <si>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</si>
  <si>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</si>
  <si>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</si>
  <si>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</si>
  <si>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</si>
  <si>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</si>
  <si>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</si>
  <si>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</si>
  <si>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</si>
  <si>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</si>
  <si>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</si>
  <si>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</si>
  <si>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</si>
  <si>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</si>
  <si>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</si>
  <si>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</si>
  <si>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</si>
  <si>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</si>
  <si>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</si>
  <si>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</si>
  <si>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</si>
  <si>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</si>
  <si>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</si>
  <si>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</si>
  <si>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</si>
  <si>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</si>
  <si>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</si>
  <si>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</si>
  <si>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</si>
  <si>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</si>
  <si>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</si>
  <si>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</si>
  <si>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</si>
  <si>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</si>
  <si>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</si>
  <si>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</si>
  <si>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</si>
  <si>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</si>
  <si>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</si>
  <si>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</si>
  <si>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</si>
  <si>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</si>
  <si>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</si>
  <si>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</si>
  <si>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</si>
  <si>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</si>
  <si>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</si>
  <si>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</si>
  <si>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</si>
  <si>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</si>
  <si>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</si>
  <si>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</si>
  <si>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</si>
  <si>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</si>
  <si>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</si>
  <si>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</si>
  <si>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</si>
  <si>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</si>
  <si>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</si>
  <si>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</si>
  <si>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</si>
  <si>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</si>
  <si>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</si>
  <si>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</si>
  <si>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</si>
  <si>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</si>
  <si>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</si>
  <si>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</si>
  <si>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</si>
  <si>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</si>
  <si>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</si>
  <si>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</si>
  <si>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</si>
  <si>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</si>
  <si>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</si>
  <si>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</si>
  <si>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</si>
  <si>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</si>
  <si>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</si>
  <si>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</si>
  <si>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</si>
  <si>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</si>
  <si>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</si>
  <si>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</si>
  <si>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</si>
  <si>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</si>
  <si>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</si>
  <si>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</si>
  <si>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</si>
  <si>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</si>
  <si>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</si>
  <si>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</si>
  <si>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</si>
  <si>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</si>
  <si>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</si>
  <si>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</si>
  <si>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</si>
  <si>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</si>
  <si>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</si>
  <si>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</si>
  <si>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</si>
  <si>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</si>
  <si>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</si>
  <si>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</si>
  <si>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</si>
  <si>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</si>
  <si>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</si>
  <si>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</si>
  <si>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</si>
  <si>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</si>
  <si>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</si>
  <si>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</si>
  <si>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</si>
  <si>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</si>
  <si>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</si>
  <si>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</si>
  <si>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</si>
  <si>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</si>
  <si>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</si>
  <si>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</si>
  <si>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</si>
  <si>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</si>
  <si>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</si>
  <si>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</si>
  <si>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</si>
  <si>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</si>
  <si>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</si>
  <si>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</si>
  <si>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</si>
  <si>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</si>
  <si>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</si>
  <si>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</si>
  <si>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</si>
  <si>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</si>
  <si>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</si>
  <si>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</si>
  <si>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</si>
  <si>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</si>
  <si>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</si>
  <si>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</si>
  <si>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</si>
  <si>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</si>
  <si>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</si>
  <si>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</si>
  <si>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</si>
  <si>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</si>
  <si>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</si>
  <si>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</si>
  <si>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</si>
  <si>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</si>
  <si>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</si>
  <si>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</si>
  <si>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</si>
  <si>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</si>
  <si>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</si>
  <si>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</si>
  <si>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</si>
  <si>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</si>
  <si>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</si>
  <si>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</si>
  <si>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</si>
  <si>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</si>
  <si>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</si>
  <si>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</si>
  <si>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</si>
  <si>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</si>
  <si>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</si>
  <si>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</si>
  <si>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</si>
  <si>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</si>
  <si>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</si>
  <si>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</si>
  <si>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</si>
  <si>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</si>
  <si>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</si>
  <si>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</si>
  <si>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</si>
  <si>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</si>
  <si>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</si>
  <si>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</si>
  <si>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</si>
  <si>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</si>
  <si>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</si>
  <si>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</si>
  <si>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</si>
  <si>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</si>
  <si>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</si>
  <si>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</si>
  <si>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</si>
  <si>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</si>
  <si>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</si>
  <si>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</si>
  <si>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</si>
  <si>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</si>
  <si>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</si>
  <si>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</si>
  <si>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</si>
  <si>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</si>
  <si>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</si>
  <si>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</si>
  <si>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</si>
  <si>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</si>
  <si>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</si>
  <si>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</si>
  <si>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</si>
  <si>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</si>
  <si>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</si>
  <si>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</si>
  <si>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</si>
  <si>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</si>
  <si>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</si>
  <si>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</si>
  <si>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</si>
  <si>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</si>
  <si>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</si>
  <si>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</si>
  <si>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</si>
  <si>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</si>
  <si>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</si>
  <si>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</si>
  <si>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</si>
  <si>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</si>
  <si>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</si>
  <si>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</si>
  <si>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</si>
  <si>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</si>
  <si>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</si>
  <si>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</si>
  <si>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</si>
  <si>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</si>
  <si>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</si>
  <si>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</si>
  <si>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</si>
  <si>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</si>
  <si>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</si>
  <si>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</si>
  <si>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</si>
  <si>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</si>
  <si>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</si>
  <si>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</si>
  <si>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</si>
  <si>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</si>
  <si>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</si>
  <si>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</si>
  <si>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</si>
  <si>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</si>
  <si>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</si>
  <si>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</si>
  <si>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</si>
  <si>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</si>
  <si>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</si>
  <si>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</si>
  <si>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</si>
  <si>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</si>
  <si>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</si>
  <si>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</si>
  <si>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</si>
  <si>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</si>
  <si>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</si>
  <si>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</si>
  <si>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</si>
  <si>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</si>
  <si>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</si>
  <si>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</si>
  <si>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</si>
  <si>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</si>
  <si>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</si>
  <si>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</si>
  <si>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</si>
  <si>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</si>
  <si>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</si>
  <si>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</si>
  <si>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</si>
  <si>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</si>
  <si>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</si>
  <si>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</si>
  <si>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</si>
  <si>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</si>
  <si>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</si>
  <si>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</si>
  <si>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</si>
  <si>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</si>
  <si>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</si>
  <si>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</si>
  <si>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</si>
  <si>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</si>
  <si>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</si>
  <si>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</si>
  <si>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</si>
  <si>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</si>
  <si>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</si>
  <si>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</si>
  <si>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</si>
  <si>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</si>
  <si>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</si>
  <si>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</si>
  <si>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</si>
  <si>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</si>
  <si>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</si>
  <si>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</si>
  <si>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</si>
  <si>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</si>
  <si>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</si>
  <si>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</si>
  <si>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</si>
  <si>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</si>
  <si>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</si>
  <si>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</si>
  <si>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</si>
  <si>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</si>
  <si>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</si>
  <si>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</si>
  <si>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</si>
  <si>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</si>
  <si>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</si>
  <si>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</si>
  <si>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</si>
  <si>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</si>
  <si>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</si>
  <si>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</si>
  <si>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</si>
  <si>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</si>
  <si>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</si>
  <si>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</si>
  <si>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</si>
  <si>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</si>
  <si>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</si>
  <si>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</si>
  <si>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</si>
  <si>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</si>
  <si>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</si>
  <si>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</si>
  <si>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</si>
  <si>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</si>
  <si>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</si>
  <si>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</si>
  <si>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</si>
  <si>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</si>
  <si>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</si>
  <si>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</si>
  <si>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</si>
  <si>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</si>
  <si>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</si>
  <si>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</si>
  <si>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</si>
  <si>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</si>
  <si>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</si>
  <si>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</si>
  <si>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</si>
  <si>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</si>
  <si>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</si>
  <si>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</si>
  <si>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</si>
  <si>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</si>
  <si>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</si>
  <si>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</si>
  <si>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</si>
  <si>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</si>
  <si>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</si>
  <si>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</si>
  <si>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</si>
  <si>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</si>
  <si>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</si>
  <si>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</si>
  <si>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</si>
  <si>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</si>
  <si>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</si>
  <si>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</si>
  <si>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</si>
  <si>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</si>
  <si>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</si>
  <si>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</si>
  <si>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</si>
  <si>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</si>
  <si>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</si>
  <si>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</si>
  <si>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</si>
  <si>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</si>
  <si>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</si>
  <si>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</si>
  <si>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</si>
  <si>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</si>
  <si>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</si>
  <si>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</si>
  <si>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</si>
  <si>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</si>
  <si>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</si>
  <si>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</si>
  <si>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</si>
  <si>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</si>
  <si>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</si>
  <si>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</si>
  <si>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</si>
  <si>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</si>
  <si>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</si>
  <si>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</si>
  <si>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</si>
  <si>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</si>
  <si>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</si>
  <si>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</si>
  <si>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</si>
  <si>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</si>
  <si>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</si>
  <si>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</si>
  <si>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</si>
  <si>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</si>
  <si>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</si>
  <si>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</si>
  <si>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</si>
  <si>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</si>
  <si>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</si>
  <si>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</si>
  <si>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</si>
  <si>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</si>
  <si>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</si>
  <si>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</si>
  <si>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</si>
  <si>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</si>
  <si>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</si>
  <si>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</si>
  <si>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</si>
  <si>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</si>
  <si>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</si>
  <si>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</si>
  <si>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</si>
  <si>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</si>
  <si>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</si>
  <si>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</si>
  <si>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</si>
  <si>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</si>
  <si>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</si>
  <si>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</si>
  <si>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</si>
  <si>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</si>
  <si>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</si>
  <si>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</si>
  <si>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</si>
  <si>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</si>
  <si>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</si>
  <si>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</si>
  <si>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</si>
  <si>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</si>
  <si>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</si>
  <si>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</si>
  <si>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</si>
  <si>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</si>
  <si>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</si>
  <si>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</si>
  <si>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</si>
  <si>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</si>
  <si>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</si>
  <si>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</si>
  <si>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</si>
  <si>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</si>
  <si>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</si>
  <si>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</si>
  <si>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</si>
  <si>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</si>
  <si>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</si>
  <si>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</si>
  <si>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</si>
  <si>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</si>
  <si>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</si>
  <si>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</si>
  <si>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</si>
  <si>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</si>
  <si>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</si>
  <si>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</si>
  <si>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</si>
  <si>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</si>
  <si>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</si>
  <si>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</si>
  <si>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</si>
  <si>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</si>
  <si>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</si>
  <si>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</si>
  <si>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</si>
  <si>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</si>
  <si>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</si>
  <si>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</si>
  <si>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</si>
  <si>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</si>
  <si>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</si>
  <si>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</si>
  <si>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</si>
  <si>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</si>
  <si>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</si>
  <si>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</si>
  <si>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</si>
  <si>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</si>
  <si>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</si>
  <si>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</si>
  <si>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</si>
  <si>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</si>
  <si>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</si>
  <si>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</si>
  <si>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</si>
  <si>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</si>
  <si>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</si>
  <si>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</si>
  <si>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</si>
  <si>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</si>
  <si>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</si>
  <si>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</si>
  <si>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</si>
  <si>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</si>
  <si>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</si>
  <si>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</si>
  <si>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</si>
  <si>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</si>
  <si>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</si>
  <si>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</si>
  <si>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</si>
  <si>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</si>
  <si>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</si>
  <si>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</si>
  <si>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</si>
  <si>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</si>
  <si>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</si>
  <si>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</si>
  <si>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</si>
  <si>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</si>
  <si>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</si>
  <si>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</si>
  <si>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</si>
  <si>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</si>
  <si>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</si>
  <si>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</si>
  <si>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</si>
  <si>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</si>
  <si>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</si>
  <si>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</si>
  <si>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</si>
  <si>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</si>
  <si>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</si>
  <si>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</si>
  <si>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</si>
  <si>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</si>
  <si>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</si>
  <si>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</si>
  <si>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</si>
  <si>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</si>
  <si>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</si>
  <si>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</si>
  <si>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</si>
  <si>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</si>
  <si>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</si>
  <si>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</si>
  <si>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</si>
  <si>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</si>
  <si>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</si>
  <si>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</si>
  <si>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</si>
  <si>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</si>
  <si>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</si>
  <si>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</si>
  <si>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</si>
  <si>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</si>
  <si>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</si>
  <si>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</si>
  <si>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</si>
  <si>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</si>
  <si>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</si>
  <si>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</si>
  <si>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</si>
  <si>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</si>
  <si>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</si>
  <si>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</si>
  <si>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</si>
  <si>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</si>
  <si>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</si>
  <si>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</si>
  <si>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</si>
  <si>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</si>
  <si>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</si>
  <si>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</si>
  <si>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</si>
  <si>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</si>
  <si>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</si>
  <si>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</si>
  <si>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</si>
  <si>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</si>
  <si>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</si>
  <si>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</si>
  <si>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</si>
  <si>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</si>
  <si>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</si>
  <si>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</si>
  <si>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</si>
  <si>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</si>
  <si>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</si>
  <si>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</si>
  <si>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</si>
  <si>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</si>
  <si>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</si>
  <si>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</si>
  <si>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</si>
  <si>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</si>
  <si>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</si>
  <si>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</si>
  <si>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</si>
  <si>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</si>
  <si>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</si>
  <si>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</si>
  <si>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</si>
  <si>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</si>
  <si>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</si>
  <si>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</si>
  <si>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</si>
  <si>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</si>
  <si>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</si>
  <si>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</si>
  <si>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</si>
  <si>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</si>
  <si>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</si>
  <si>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</si>
  <si>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</si>
  <si>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</si>
  <si>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</si>
  <si>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</si>
  <si>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</si>
  <si>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</si>
  <si>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</si>
  <si>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</si>
  <si>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</si>
  <si>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</si>
  <si>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</si>
  <si>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</si>
  <si>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</si>
  <si>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</si>
  <si>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</si>
  <si>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</si>
  <si>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</si>
  <si>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</si>
  <si>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</si>
  <si>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</si>
  <si>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</si>
  <si>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</si>
  <si>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</si>
  <si>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</si>
  <si>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</si>
  <si>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</si>
  <si>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</si>
  <si>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</si>
  <si>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</si>
  <si>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</si>
  <si>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</si>
  <si>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</si>
  <si>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</si>
  <si>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</si>
  <si>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</si>
  <si>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</si>
  <si>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</si>
  <si>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</si>
  <si>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</si>
  <si>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</si>
  <si>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</si>
  <si>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</si>
  <si>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</si>
  <si>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</si>
  <si>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</si>
  <si>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</si>
  <si>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</si>
  <si>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</si>
  <si>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</si>
  <si>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</si>
  <si>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</si>
  <si>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</si>
  <si>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</si>
  <si>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</si>
  <si>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</si>
  <si>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</si>
  <si>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</si>
  <si>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</si>
  <si>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</si>
  <si>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</si>
  <si>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</si>
  <si>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</si>
  <si>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</si>
  <si>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</si>
  <si>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</si>
  <si>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</si>
  <si>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</si>
  <si>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</si>
  <si>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</si>
  <si>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</si>
  <si>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</si>
  <si>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</si>
  <si>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</si>
  <si>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</si>
  <si>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</si>
  <si>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</si>
  <si>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</si>
  <si>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</si>
  <si>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</si>
  <si>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</si>
  <si>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</si>
  <si>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</si>
  <si>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</si>
  <si>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</si>
  <si>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</si>
  <si>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</si>
  <si>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</si>
  <si>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</si>
  <si>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</si>
  <si>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</si>
  <si>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</si>
  <si>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</si>
  <si>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</si>
  <si>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</si>
  <si>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</si>
  <si>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</si>
  <si>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</si>
  <si>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</si>
  <si>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</si>
  <si>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</si>
  <si>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</si>
  <si>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</si>
  <si>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</si>
  <si>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</si>
  <si>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</si>
  <si>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</si>
  <si>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</si>
  <si>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</si>
  <si>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</si>
  <si>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</si>
  <si>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</si>
  <si>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</si>
  <si>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</si>
  <si>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</si>
  <si>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</si>
  <si>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</si>
  <si>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</si>
  <si>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</si>
  <si>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</si>
  <si>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</si>
  <si>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</si>
  <si>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</si>
  <si>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</si>
  <si>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</si>
  <si>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</si>
  <si>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</si>
  <si>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</si>
  <si>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</si>
  <si>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</si>
  <si>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</si>
  <si>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</si>
  <si>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</si>
  <si>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</si>
  <si>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</si>
  <si>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</si>
  <si>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</si>
  <si>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</si>
  <si>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</si>
  <si>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</si>
  <si>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</si>
  <si>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</si>
  <si>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</si>
  <si>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</si>
  <si>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</si>
  <si>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</si>
  <si>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</si>
  <si>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</si>
  <si>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</si>
  <si>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</si>
  <si>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</si>
  <si>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</si>
  <si>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</si>
  <si>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</si>
  <si>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</si>
  <si>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</si>
  <si>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</si>
  <si>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</si>
  <si>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</si>
  <si>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</si>
  <si>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</si>
  <si>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</si>
  <si>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</si>
  <si>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</si>
  <si>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</si>
  <si>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</si>
  <si>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</si>
  <si>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</si>
  <si>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</si>
  <si>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</si>
  <si>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</si>
  <si>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</si>
  <si>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</si>
  <si>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</si>
  <si>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</si>
  <si>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</si>
  <si>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</si>
  <si>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</si>
  <si>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</si>
  <si>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</si>
  <si>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</si>
  <si>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</si>
  <si>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</si>
  <si>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</si>
  <si>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</si>
  <si>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</si>
  <si>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</si>
  <si>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</si>
  <si>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</si>
  <si>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</si>
  <si>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</si>
  <si>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</si>
  <si>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</si>
  <si>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</si>
  <si>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</si>
  <si>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</si>
  <si>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</si>
  <si>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</si>
  <si>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</si>
  <si>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</si>
  <si>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</si>
  <si>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</si>
  <si>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</si>
  <si>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</si>
  <si>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</si>
  <si>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</si>
  <si>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</si>
  <si>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</si>
  <si>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</si>
  <si>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</si>
  <si>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</si>
  <si>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</si>
  <si>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</si>
  <si>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</si>
  <si>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</si>
  <si>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</si>
  <si>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</si>
  <si>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</si>
  <si>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</si>
  <si>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</si>
  <si>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</si>
  <si>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</si>
  <si>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</si>
  <si>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</si>
  <si>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</si>
  <si>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</si>
  <si>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</si>
  <si>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</si>
  <si>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</si>
  <si>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</si>
  <si>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</si>
  <si>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</si>
  <si>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</si>
  <si>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</si>
  <si>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</si>
  <si>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</si>
  <si>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</si>
  <si>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</si>
  <si>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</si>
  <si>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</si>
  <si>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</si>
  <si>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</si>
  <si>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</si>
  <si>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</si>
  <si>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</si>
  <si>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</si>
  <si>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</si>
  <si>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</si>
  <si>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</si>
  <si>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</si>
  <si>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</si>
  <si>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</si>
  <si>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</si>
  <si>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</si>
  <si>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</si>
  <si>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</si>
  <si>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</si>
  <si>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</si>
  <si>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</si>
  <si>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</si>
  <si>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</si>
  <si>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</si>
  <si>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</si>
  <si>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</si>
  <si>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</si>
  <si>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</si>
  <si>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</si>
  <si>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</si>
  <si>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</si>
  <si>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</si>
  <si>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</si>
  <si>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</si>
  <si>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</si>
  <si>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</si>
  <si>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</si>
  <si>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</si>
  <si>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</si>
  <si>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</si>
  <si>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</si>
  <si>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</si>
  <si>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</si>
  <si>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</si>
  <si>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</si>
  <si>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</si>
  <si>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</si>
  <si>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</si>
  <si>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</si>
  <si>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</si>
  <si>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</si>
  <si>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</si>
  <si>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</si>
  <si>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</si>
  <si>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</si>
  <si>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</si>
  <si>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</si>
  <si>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</si>
  <si>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</si>
  <si>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</si>
  <si>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</si>
  <si>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</si>
  <si>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</si>
  <si>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</si>
  <si>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</si>
  <si>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</si>
  <si>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</si>
  <si>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</si>
  <si>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</si>
  <si>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</si>
  <si>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</si>
  <si>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</si>
  <si>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</si>
  <si>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</si>
  <si>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</si>
  <si>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</si>
  <si>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</si>
  <si>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</si>
  <si>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</si>
  <si>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</si>
  <si>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</si>
  <si>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</si>
  <si>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</si>
  <si>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</si>
  <si>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</si>
  <si>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</si>
  <si>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</si>
  <si>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</si>
  <si>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</si>
  <si>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</si>
  <si>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</si>
  <si>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</si>
  <si>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</si>
  <si>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</si>
  <si>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</si>
  <si>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</si>
  <si>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</si>
  <si>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</si>
  <si>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</si>
  <si>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</si>
  <si>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</si>
  <si>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</si>
  <si>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</si>
  <si>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</si>
  <si>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</si>
  <si>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</si>
  <si>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</si>
  <si>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</si>
  <si>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</si>
  <si>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</si>
  <si>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</si>
  <si>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</si>
  <si>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</si>
  <si>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</si>
  <si>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</si>
  <si>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</si>
  <si>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</si>
  <si>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</si>
  <si>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</si>
  <si>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</si>
  <si>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</si>
  <si>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</si>
  <si>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</si>
  <si>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</si>
  <si>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</si>
  <si>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</si>
  <si>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</si>
  <si>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</si>
  <si>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</si>
  <si>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</si>
  <si>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</si>
  <si>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</si>
  <si>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</si>
  <si>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</si>
  <si>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</si>
  <si>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</si>
  <si>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</si>
  <si>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</si>
  <si>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</si>
  <si>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</si>
  <si>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</si>
  <si>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</si>
  <si>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</si>
  <si>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</si>
  <si>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</si>
  <si>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</si>
  <si>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</si>
  <si>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</si>
  <si>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</si>
  <si>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</si>
  <si>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</si>
  <si>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</si>
  <si>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</si>
  <si>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</si>
  <si>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</si>
  <si>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</si>
  <si>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</si>
  <si>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</si>
  <si>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</si>
  <si>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</si>
  <si>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</si>
  <si>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</si>
  <si>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</si>
  <si>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</si>
  <si>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</si>
  <si>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</si>
  <si>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</si>
  <si>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</si>
  <si>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</si>
  <si>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</si>
  <si>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</si>
  <si>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</si>
  <si>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</si>
  <si>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</si>
  <si>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</si>
  <si>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</si>
  <si>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</si>
  <si>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</si>
  <si>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</si>
  <si>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</si>
  <si>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</si>
  <si>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</si>
  <si>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</si>
  <si>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</si>
  <si>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</si>
  <si>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</si>
  <si>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</si>
  <si>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</si>
  <si>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</si>
  <si>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</si>
  <si>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</si>
  <si>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</si>
  <si>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</si>
  <si>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</si>
  <si>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</si>
  <si>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</si>
  <si>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</si>
  <si>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</si>
  <si>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</si>
  <si>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</si>
  <si>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</si>
  <si>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</si>
  <si>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</si>
  <si>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</si>
  <si>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</si>
  <si>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</si>
  <si>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</si>
  <si>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</si>
  <si>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</si>
  <si>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</si>
  <si>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</si>
  <si>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</si>
  <si>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</si>
  <si>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</si>
  <si>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</si>
  <si>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</si>
  <si>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</si>
  <si>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</si>
  <si>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</si>
  <si>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</si>
  <si>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</si>
  <si>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</si>
  <si>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</si>
  <si>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</si>
  <si>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</si>
  <si>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</si>
  <si>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</si>
  <si>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</si>
  <si>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</si>
  <si>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</si>
  <si>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</si>
  <si>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</si>
  <si>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</si>
  <si>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</si>
  <si>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</si>
  <si>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</si>
  <si>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</si>
  <si>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</si>
  <si>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</si>
  <si>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</si>
  <si>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</si>
  <si>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</si>
  <si>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</si>
  <si>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</si>
  <si>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</si>
  <si>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</si>
  <si>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</si>
  <si>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</si>
  <si>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</si>
  <si>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</si>
  <si>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</si>
  <si>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</si>
  <si>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</si>
  <si>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</si>
  <si>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</si>
  <si>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</si>
  <si>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</si>
  <si>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</si>
  <si>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</si>
  <si>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</si>
  <si>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</si>
  <si>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</si>
  <si>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</si>
  <si>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</si>
  <si>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</si>
  <si>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</si>
  <si>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</si>
  <si>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</si>
  <si>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</si>
  <si>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</si>
  <si>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</si>
  <si>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</si>
  <si>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</si>
  <si>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</si>
  <si>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</si>
  <si>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</si>
  <si>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</si>
  <si>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</si>
  <si>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</si>
  <si>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</si>
  <si>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</si>
  <si>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</si>
  <si>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</si>
  <si>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</si>
  <si>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</si>
  <si>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</si>
  <si>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</si>
  <si>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</si>
  <si>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</si>
  <si>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</si>
  <si>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</si>
  <si>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</si>
  <si>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</si>
  <si>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</si>
  <si>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</si>
  <si>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</si>
  <si>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</si>
  <si>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</si>
  <si>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</si>
  <si>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</si>
  <si>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</si>
  <si>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</si>
  <si>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</si>
  <si>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</si>
  <si>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</si>
  <si>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</si>
  <si>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</si>
  <si>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</si>
  <si>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</si>
  <si>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</si>
  <si>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</si>
  <si>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</si>
  <si>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</si>
  <si>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</si>
  <si>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</si>
  <si>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</si>
  <si>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</si>
  <si>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</si>
  <si>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</si>
  <si>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</si>
  <si>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</si>
  <si>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</si>
  <si>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</si>
  <si>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</si>
  <si>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</si>
  <si>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</si>
  <si>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</si>
  <si>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</si>
  <si>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</si>
  <si>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</si>
  <si>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</si>
  <si>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</si>
  <si>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</si>
  <si>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</si>
  <si>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</si>
  <si>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</si>
  <si>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</si>
  <si>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</si>
  <si>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</si>
  <si>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</si>
  <si>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</si>
  <si>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</si>
  <si>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</si>
  <si>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</si>
  <si>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</si>
  <si>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</si>
  <si>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</si>
  <si>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</si>
  <si>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</si>
  <si>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</si>
  <si>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</si>
  <si>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</si>
  <si>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</si>
  <si>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</si>
  <si>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</si>
  <si>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</si>
  <si>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</si>
  <si>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</si>
  <si>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</si>
  <si>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</si>
  <si>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</si>
  <si>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</si>
  <si>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</si>
  <si>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</si>
  <si>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</si>
  <si>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</si>
  <si>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</si>
  <si>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</si>
  <si>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</si>
  <si>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</si>
  <si>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</si>
  <si>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</si>
  <si>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</si>
  <si>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</si>
  <si>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</si>
  <si>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</si>
  <si>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</si>
  <si>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</si>
  <si>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</si>
  <si>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</si>
  <si>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</si>
  <si>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</si>
  <si>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</si>
  <si>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</si>
  <si>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</si>
  <si>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</si>
  <si>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</si>
  <si>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</si>
  <si>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</si>
  <si>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</si>
  <si>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</si>
  <si>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</si>
  <si>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</si>
  <si>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</si>
  <si>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</si>
  <si>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</si>
  <si>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</si>
  <si>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</si>
  <si>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</si>
  <si>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</si>
  <si>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</si>
  <si>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</si>
  <si>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</si>
  <si>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</si>
  <si>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</si>
  <si>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</si>
  <si>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</si>
  <si>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</si>
  <si>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</si>
  <si>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</si>
  <si>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</si>
  <si>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</si>
  <si>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</si>
  <si>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</si>
  <si>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</si>
  <si>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</si>
  <si>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</si>
  <si>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</si>
  <si>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</si>
  <si>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</si>
  <si>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</si>
  <si>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</si>
  <si>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</si>
  <si>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</si>
  <si>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</si>
  <si>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</si>
  <si>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</si>
  <si>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</si>
  <si>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</si>
  <si>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</si>
  <si>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</si>
  <si>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</si>
  <si>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</si>
  <si>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</si>
  <si>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</si>
  <si>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</si>
  <si>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</si>
  <si>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</si>
  <si>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</si>
  <si>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</si>
  <si>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</si>
  <si>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</si>
  <si>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</si>
  <si>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</si>
  <si>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</si>
  <si>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</si>
  <si>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</si>
  <si>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</si>
  <si>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</si>
  <si>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</si>
  <si>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</si>
  <si>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</si>
  <si>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</si>
  <si>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</si>
  <si>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</si>
  <si>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</si>
  <si>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</si>
  <si>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</si>
  <si>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</si>
  <si>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</si>
  <si>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</si>
  <si>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</si>
  <si>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</si>
  <si>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</si>
  <si>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</si>
  <si>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</si>
  <si>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</si>
  <si>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</si>
  <si>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</si>
  <si>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</si>
  <si>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</si>
  <si>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</si>
  <si>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</si>
  <si>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</si>
  <si>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</si>
  <si>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</si>
  <si>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</si>
  <si>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</si>
  <si>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</si>
  <si>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</si>
  <si>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</si>
  <si>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</si>
  <si>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</si>
  <si>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</si>
  <si>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</si>
  <si>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</si>
  <si>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</si>
  <si>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</si>
  <si>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</si>
  <si>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</si>
  <si>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</si>
  <si>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</si>
  <si>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</si>
  <si>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</si>
  <si>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</si>
  <si>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</si>
  <si>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</si>
  <si>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</si>
  <si>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</si>
  <si>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</si>
  <si>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</si>
  <si>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</si>
  <si>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</si>
  <si>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</si>
  <si>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</si>
  <si>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</si>
  <si>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</si>
  <si>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</si>
  <si>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</si>
  <si>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</si>
  <si>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</si>
  <si>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</si>
  <si>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</si>
  <si>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</si>
  <si>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</si>
  <si>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</si>
  <si>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</si>
  <si>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</si>
  <si>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</si>
  <si>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</si>
  <si>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</si>
  <si>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</si>
  <si>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</si>
  <si>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</si>
  <si>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</si>
  <si>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</si>
  <si>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</si>
  <si>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</si>
  <si>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</si>
  <si>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</si>
  <si>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</si>
  <si>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</si>
  <si>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</si>
  <si>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</si>
  <si>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</si>
  <si>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</si>
  <si>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</si>
  <si>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</si>
  <si>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</si>
  <si>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</si>
  <si>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</si>
  <si>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</si>
  <si>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</si>
  <si>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</si>
  <si>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</si>
  <si>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</si>
  <si>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</si>
  <si>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</si>
  <si>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</si>
  <si>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</si>
  <si>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</si>
  <si>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</si>
  <si>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</si>
  <si>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</si>
  <si>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</si>
  <si>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</si>
  <si>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</si>
  <si>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</si>
  <si>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</si>
  <si>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</si>
  <si>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</si>
  <si>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</si>
  <si>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</si>
  <si>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</si>
  <si>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</si>
  <si>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</si>
  <si>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</si>
  <si>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</si>
  <si>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</si>
  <si>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</si>
  <si>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</si>
  <si>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</si>
  <si>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</si>
  <si>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</si>
  <si>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</si>
  <si>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</si>
  <si>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</si>
  <si>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</si>
  <si>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</si>
  <si>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</si>
  <si>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</si>
  <si>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</si>
  <si>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</si>
  <si>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</si>
  <si>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</si>
  <si>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</si>
  <si>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</si>
  <si>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</si>
  <si>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</si>
  <si>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</si>
  <si>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</si>
  <si>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</si>
  <si>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</si>
  <si>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</si>
  <si>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</si>
  <si>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</si>
  <si>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</si>
  <si>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</si>
  <si>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</si>
  <si>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</si>
  <si>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</si>
  <si>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</si>
  <si>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</si>
  <si>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</si>
  <si>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</si>
  <si>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</si>
  <si>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</si>
  <si>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</si>
  <si>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</si>
  <si>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</si>
  <si>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</si>
  <si>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</si>
  <si>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</si>
  <si>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</si>
  <si>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</si>
  <si>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</si>
  <si>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</si>
  <si>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</si>
  <si>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</si>
  <si>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</si>
  <si>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</si>
  <si>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</si>
  <si>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</si>
  <si>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</si>
  <si>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</si>
  <si>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</si>
  <si>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</si>
  <si>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</si>
  <si>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</si>
  <si>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</si>
  <si>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</si>
  <si>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</si>
  <si>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</si>
  <si>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</si>
  <si>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</si>
  <si>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</si>
  <si>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</si>
  <si>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</si>
  <si>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</si>
  <si>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</si>
  <si>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</si>
  <si>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</si>
  <si>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</si>
  <si>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</si>
  <si>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</si>
  <si>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</si>
  <si>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</si>
  <si>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</si>
  <si>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</si>
  <si>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</si>
  <si>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</si>
  <si>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</si>
  <si>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</si>
  <si>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</si>
  <si>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</si>
  <si>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</si>
  <si>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</si>
  <si>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</si>
  <si>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</si>
  <si>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</si>
  <si>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</si>
  <si>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</si>
  <si>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</si>
  <si>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</si>
  <si>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</si>
  <si>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</si>
  <si>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</si>
  <si>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</si>
  <si>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</si>
  <si>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</si>
  <si>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</si>
  <si>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</si>
  <si>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</si>
  <si>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</si>
  <si>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</si>
  <si>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</si>
  <si>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</si>
  <si>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</si>
  <si>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</si>
  <si>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</si>
  <si>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</si>
  <si>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</si>
  <si>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</si>
  <si>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</si>
  <si>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</si>
  <si>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</si>
  <si>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</si>
  <si>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</si>
  <si>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</si>
  <si>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</si>
  <si>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</si>
  <si>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</si>
  <si>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</si>
  <si>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</si>
  <si>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</si>
  <si>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</si>
  <si>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</si>
  <si>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</si>
  <si>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</si>
  <si>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</si>
  <si>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</si>
  <si>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</si>
  <si>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</si>
  <si>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</si>
  <si>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</si>
  <si>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</si>
  <si>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</si>
  <si>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</si>
  <si>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</si>
  <si>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</si>
  <si>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</si>
  <si>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</si>
  <si>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</si>
  <si>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</si>
  <si>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</si>
  <si>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</si>
  <si>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</si>
  <si>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</si>
  <si>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</si>
  <si>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</si>
  <si>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</si>
  <si>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</si>
  <si>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</si>
  <si>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</si>
  <si>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</si>
  <si>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</si>
  <si>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</si>
  <si>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</si>
  <si>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</si>
  <si>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</si>
  <si>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</si>
  <si>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</si>
  <si>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</si>
  <si>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</si>
  <si>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</si>
  <si>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</si>
  <si>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</si>
  <si>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</si>
  <si>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</si>
  <si>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</si>
  <si>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</si>
  <si>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</si>
  <si>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</si>
  <si>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</si>
  <si>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</si>
  <si>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</si>
  <si>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</si>
  <si>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</si>
  <si>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</si>
  <si>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</si>
  <si>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</si>
  <si>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</si>
  <si>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</si>
  <si>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</si>
  <si>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</si>
  <si>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</si>
  <si>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</si>
  <si>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</si>
  <si>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</si>
  <si>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</si>
  <si>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</si>
  <si>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</si>
  <si>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</si>
  <si>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</si>
  <si>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</si>
  <si>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</si>
  <si>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</si>
  <si>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</si>
  <si>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</si>
  <si>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</si>
  <si>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</si>
  <si>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</si>
  <si>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</si>
  <si>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</si>
  <si>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</si>
  <si>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</si>
  <si>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</si>
  <si>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</si>
  <si>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</si>
  <si>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</si>
  <si>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</si>
  <si>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</si>
  <si>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</si>
  <si>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</si>
  <si>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</si>
  <si>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</si>
  <si>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</si>
  <si>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</si>
  <si>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</si>
  <si>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</si>
  <si>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</si>
  <si>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</si>
  <si>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</si>
  <si>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</si>
  <si>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</si>
  <si>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</si>
  <si>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</si>
  <si>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</si>
  <si>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</si>
  <si>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</si>
  <si>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</si>
  <si>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</si>
  <si>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</si>
  <si>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</si>
  <si>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</si>
  <si>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</si>
  <si>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</si>
  <si>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</si>
  <si>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</si>
  <si>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</si>
  <si>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</si>
  <si>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</si>
  <si>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</si>
  <si>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</si>
  <si>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</si>
  <si>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</si>
  <si>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</si>
  <si>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</si>
  <si>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</si>
  <si>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</si>
  <si>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</si>
  <si>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</si>
  <si>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</si>
  <si>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</si>
  <si>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</si>
  <si>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</si>
  <si>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</si>
  <si>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</si>
  <si>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</si>
  <si>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</si>
  <si>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</si>
  <si>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</si>
  <si>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</si>
  <si>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</si>
  <si>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</si>
  <si>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</si>
  <si>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</si>
  <si>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</si>
  <si>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</si>
  <si>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</si>
  <si>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</si>
  <si>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</si>
  <si>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</si>
  <si>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</si>
  <si>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</si>
  <si>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</si>
  <si>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</si>
  <si>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</si>
  <si>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</si>
  <si>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</si>
  <si>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</si>
  <si>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</si>
  <si>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</si>
  <si>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</si>
  <si>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</si>
  <si>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</si>
  <si>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</si>
  <si>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</si>
  <si>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</si>
  <si>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</si>
  <si>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</si>
  <si>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</si>
  <si>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</si>
  <si>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</si>
  <si>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</si>
  <si>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</si>
  <si>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</si>
  <si>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</si>
  <si>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</si>
  <si>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</si>
  <si>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</si>
  <si>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</si>
  <si>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</si>
  <si>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</si>
  <si>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</si>
  <si>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</si>
  <si>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</si>
  <si>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</si>
  <si>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</si>
  <si>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</si>
  <si>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</si>
  <si>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</si>
  <si>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</si>
  <si>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</si>
  <si>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</si>
  <si>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</si>
  <si>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</si>
  <si>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</si>
  <si>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</si>
  <si>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</si>
  <si>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</si>
  <si>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</si>
  <si>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</si>
  <si>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</si>
  <si>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</si>
  <si>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</si>
  <si>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</si>
  <si>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</si>
  <si>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</si>
  <si>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</si>
  <si>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</si>
  <si>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</si>
  <si>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</si>
  <si>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</si>
  <si>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</si>
  <si>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</si>
  <si>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</si>
  <si>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</si>
  <si>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</si>
  <si>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</si>
  <si>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</si>
  <si>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</si>
  <si>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</si>
  <si>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</si>
  <si>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</si>
  <si>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</si>
  <si>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</si>
  <si>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</si>
  <si>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</si>
  <si>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</si>
  <si>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</si>
  <si>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</si>
  <si>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</si>
  <si>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</si>
  <si>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</si>
  <si>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</si>
  <si>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</si>
  <si>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</si>
  <si>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</si>
  <si>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FITMENT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</si>
  <si>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</si>
  <si>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</si>
  <si>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</si>
  <si>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</si>
  <si>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</si>
  <si>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</si>
  <si>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</si>
  <si>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</si>
  <si>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</si>
  <si>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</si>
  <si>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</si>
  <si>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</si>
  <si>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</si>
  <si>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</si>
  <si>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</si>
  <si>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</si>
  <si>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</si>
  <si>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</si>
  <si>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</si>
  <si>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</si>
  <si>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</si>
  <si>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</si>
  <si>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</si>
  <si>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</si>
  <si>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</si>
  <si>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</si>
  <si>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</si>
  <si>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</si>
  <si>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</si>
  <si>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</si>
  <si>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</si>
  <si>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</si>
  <si>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</si>
  <si>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</si>
  <si>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</si>
  <si>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</si>
  <si>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</si>
  <si>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</si>
  <si>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</si>
  <si>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</si>
  <si>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</si>
  <si>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</si>
  <si>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</si>
  <si>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</si>
  <si>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</si>
  <si>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</si>
  <si>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</si>
  <si>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</si>
  <si>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</si>
  <si>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</si>
  <si>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</si>
  <si>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</si>
  <si>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</si>
  <si>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</si>
  <si>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</si>
  <si>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</si>
  <si>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</si>
  <si>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</si>
  <si>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</si>
  <si>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</si>
  <si>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</si>
  <si>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</si>
  <si>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</si>
  <si>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</si>
  <si>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</si>
  <si>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</si>
  <si>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BH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</si>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</sst>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08" totalsRowShown="0" headerRowDxfId="81" dataDxfId="80">
  <autoFilter ref="A1:R808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20" totalsRowShown="0" headerRowDxfId="36" dataDxfId="35">
  <autoFilter ref="A2:H52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976"/>
  <sheetViews>
    <sheetView tabSelected="1" topLeftCell="G784" zoomScaleNormal="100" workbookViewId="0">
      <selection activeCell="I806" sqref="I806:I80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10872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/>
      <c r="N228" s="22"/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10885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10776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/>
      <c r="N755" s="22"/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6436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08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92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/>
      <c r="N770" s="22"/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10774</v>
      </c>
      <c r="N774" s="22"/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/>
      <c r="N775" s="22"/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/>
      <c r="N778" s="22"/>
      <c r="O778" s="21" t="s">
        <v>23</v>
      </c>
      <c r="P778" s="24">
        <v>46162</v>
      </c>
      <c r="Q778" s="21" t="s">
        <v>10857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/>
      <c r="N779" s="22"/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10775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10780</v>
      </c>
      <c r="C781" s="21" t="s">
        <v>10781</v>
      </c>
      <c r="D781" s="21" t="s">
        <v>10782</v>
      </c>
      <c r="E781" s="21" t="s">
        <v>10783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10784</v>
      </c>
      <c r="J781" s="22">
        <v>46163</v>
      </c>
      <c r="K781" s="21">
        <v>8825010525</v>
      </c>
      <c r="L781" s="21" t="s">
        <v>2244</v>
      </c>
      <c r="M781" s="23"/>
      <c r="N781" s="22"/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10777</v>
      </c>
      <c r="C782" s="21" t="s">
        <v>10778</v>
      </c>
      <c r="D782" s="21" t="s">
        <v>10779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10801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10786</v>
      </c>
      <c r="C783" s="21" t="s">
        <v>10787</v>
      </c>
      <c r="D783" s="21" t="s">
        <v>10788</v>
      </c>
      <c r="E783" s="21" t="s">
        <v>10789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10802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10793</v>
      </c>
      <c r="C784" s="21" t="s">
        <v>10790</v>
      </c>
      <c r="D784" s="21" t="s">
        <v>10791</v>
      </c>
      <c r="E784" s="21" t="s">
        <v>10792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10803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10794</v>
      </c>
      <c r="C785" s="21" t="s">
        <v>10795</v>
      </c>
      <c r="D785" s="21" t="s">
        <v>10796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10805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10797</v>
      </c>
      <c r="C786" s="21" t="s">
        <v>10798</v>
      </c>
      <c r="D786" s="21" t="s">
        <v>10799</v>
      </c>
      <c r="E786" s="21" t="s">
        <v>10800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10804</v>
      </c>
      <c r="J786" s="22">
        <v>46163</v>
      </c>
      <c r="K786" s="21">
        <v>8803833012</v>
      </c>
      <c r="L786" s="21" t="s">
        <v>303</v>
      </c>
      <c r="M786" s="23"/>
      <c r="N786" s="22"/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10815</v>
      </c>
      <c r="C787" s="21" t="s">
        <v>10812</v>
      </c>
      <c r="D787" s="21" t="s">
        <v>10813</v>
      </c>
      <c r="E787" s="21" t="s">
        <v>10814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10833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10818</v>
      </c>
      <c r="C788" s="21" t="s">
        <v>10816</v>
      </c>
      <c r="D788" s="21" t="s">
        <v>10817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10832</v>
      </c>
      <c r="J788" s="22">
        <v>46164</v>
      </c>
      <c r="K788" s="21">
        <v>9906666238</v>
      </c>
      <c r="L788" s="21" t="s">
        <v>68</v>
      </c>
      <c r="M788" s="23"/>
      <c r="N788" s="22"/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10827</v>
      </c>
      <c r="C789" s="21" t="s">
        <v>10828</v>
      </c>
      <c r="D789" s="21" t="s">
        <v>10829</v>
      </c>
      <c r="E789" s="21" t="s">
        <v>10830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10831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10823</v>
      </c>
      <c r="C790" s="21" t="s">
        <v>10824</v>
      </c>
      <c r="D790" s="21" t="s">
        <v>10825</v>
      </c>
      <c r="E790" s="21" t="s">
        <v>10826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10834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10822</v>
      </c>
      <c r="C791" s="21" t="s">
        <v>10819</v>
      </c>
      <c r="D791" s="21" t="s">
        <v>10820</v>
      </c>
      <c r="E791" s="21" t="s">
        <v>10821</v>
      </c>
      <c r="F791" s="21" t="s">
        <v>12</v>
      </c>
      <c r="G791" s="21" t="s">
        <v>197</v>
      </c>
      <c r="H791" s="21" t="str">
        <f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NEW</v>
      </c>
      <c r="I791" s="21"/>
      <c r="J791" s="22">
        <v>46164</v>
      </c>
      <c r="K791" s="21">
        <v>8493839221</v>
      </c>
      <c r="L791" s="21" t="s">
        <v>68</v>
      </c>
      <c r="M791" s="23"/>
      <c r="N791" s="22"/>
      <c r="O791" s="21"/>
      <c r="P791" s="24"/>
      <c r="Q791" s="21"/>
      <c r="R791" s="21"/>
    </row>
    <row r="792" spans="1:18" x14ac:dyDescent="0.25">
      <c r="A792" s="21">
        <f t="shared" si="24"/>
        <v>791</v>
      </c>
      <c r="B792" s="21" t="s">
        <v>10842</v>
      </c>
      <c r="C792" s="21" t="s">
        <v>10838</v>
      </c>
      <c r="D792" s="21" t="s">
        <v>10839</v>
      </c>
      <c r="E792" s="21" t="s">
        <v>10840</v>
      </c>
      <c r="F792" s="21" t="s">
        <v>277</v>
      </c>
      <c r="G792" s="21" t="s">
        <v>178</v>
      </c>
      <c r="H792" s="21" t="str">
        <f t="shared" si="25"/>
        <v>NEW</v>
      </c>
      <c r="I792" s="21" t="s">
        <v>10841</v>
      </c>
      <c r="J792" s="22">
        <v>46164</v>
      </c>
      <c r="K792" s="21">
        <v>8979091582</v>
      </c>
      <c r="L792" s="21" t="s">
        <v>6823</v>
      </c>
      <c r="M792" s="23"/>
      <c r="N792" s="22"/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10846</v>
      </c>
      <c r="C793" s="21" t="s">
        <v>10843</v>
      </c>
      <c r="D793" s="21" t="s">
        <v>10844</v>
      </c>
      <c r="E793" s="21" t="s">
        <v>10845</v>
      </c>
      <c r="F793" s="21" t="s">
        <v>12</v>
      </c>
      <c r="G793" s="21" t="s">
        <v>178</v>
      </c>
      <c r="H793" s="21" t="str">
        <f t="shared" ref="H793:H802" si="26">IF(LEFT(I793,4)="JK13","PULWAMA",IF(LEFT(I793,4)="JK01","SRINAGAR",IF(LEFT(I793,4)="JK04","BUDGAM",IF(LEFT(I793,4)="JK03","ANANTNAG",IF(LEFT(I793,4)="LA01","KARGIL",IF(LEFT(I793,4)="JK05","BARAMULLA",IF(LEFT(I793,4)="26BH","BHARAT",IF(LEFT(I793,4)="25BH","BHARAT",IF(LEFT(I793,4)="JK12","POONCH",IF(LEFT(I793,4)="JK16","GANDERBAL",IF(LEFT(I793,4)="JK18","KULGAM",IF(LEFT(I793,4)="JK22","SHOPIAN",IF(LEFT(I793,4)="JK02","JAMMU",IF(LEFT(I793,4)="JK09","KUPWARA",IF(LEFT(I793,4)="JK15","BANDIPORA",IF(LEFT(I793,4)="JK17","KISHTWAR",IF(LEFT(I793,4)="LA01","KARGIL",IF(LEFT(I793,1)="T","TEMP","NEW"))))))))))))))))))</f>
        <v>SRINAGAR</v>
      </c>
      <c r="I793" s="21" t="s">
        <v>10869</v>
      </c>
      <c r="J793" s="22">
        <v>46164</v>
      </c>
      <c r="K793" s="21">
        <v>9419766402</v>
      </c>
      <c r="L793" s="21" t="s">
        <v>10243</v>
      </c>
      <c r="M793" s="23"/>
      <c r="N793" s="22"/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10847</v>
      </c>
      <c r="C794" s="21" t="s">
        <v>10848</v>
      </c>
      <c r="D794" s="21" t="s">
        <v>10849</v>
      </c>
      <c r="E794" s="21" t="s">
        <v>10850</v>
      </c>
      <c r="F794" s="21" t="s">
        <v>5</v>
      </c>
      <c r="G794" s="21" t="s">
        <v>196</v>
      </c>
      <c r="H794" s="21" t="str">
        <f t="shared" si="26"/>
        <v>KUPWARA</v>
      </c>
      <c r="I794" s="21" t="s">
        <v>10868</v>
      </c>
      <c r="J794" s="22">
        <v>46164</v>
      </c>
      <c r="K794" s="21">
        <v>9797964101</v>
      </c>
      <c r="L794" s="21" t="s">
        <v>7689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10863</v>
      </c>
      <c r="C795" s="21" t="s">
        <v>10860</v>
      </c>
      <c r="D795" s="21" t="s">
        <v>10861</v>
      </c>
      <c r="E795" s="21" t="s">
        <v>10862</v>
      </c>
      <c r="F795" s="21" t="s">
        <v>5</v>
      </c>
      <c r="G795" s="21" t="s">
        <v>196</v>
      </c>
      <c r="H795" s="21" t="str">
        <f t="shared" si="26"/>
        <v>KULGAM</v>
      </c>
      <c r="I795" s="21" t="s">
        <v>10871</v>
      </c>
      <c r="J795" s="22">
        <v>46165</v>
      </c>
      <c r="K795" s="21">
        <v>6006180214</v>
      </c>
      <c r="L795" s="21" t="s">
        <v>434</v>
      </c>
      <c r="M795" s="23"/>
      <c r="N795" s="22"/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10864</v>
      </c>
      <c r="C796" s="21" t="s">
        <v>10865</v>
      </c>
      <c r="D796" s="21" t="s">
        <v>10866</v>
      </c>
      <c r="E796" s="21" t="s">
        <v>10867</v>
      </c>
      <c r="F796" s="21" t="s">
        <v>65</v>
      </c>
      <c r="G796" s="21" t="s">
        <v>197</v>
      </c>
      <c r="H796" s="21" t="str">
        <f t="shared" si="26"/>
        <v>PULWAMA</v>
      </c>
      <c r="I796" s="21" t="s">
        <v>10870</v>
      </c>
      <c r="J796" s="22">
        <v>46165</v>
      </c>
      <c r="K796" s="21">
        <v>9622728446</v>
      </c>
      <c r="L796" s="21" t="s">
        <v>7228</v>
      </c>
      <c r="M796" s="23"/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10873</v>
      </c>
      <c r="C797" s="21" t="s">
        <v>10874</v>
      </c>
      <c r="D797" s="21" t="s">
        <v>10875</v>
      </c>
      <c r="E797" s="21" t="s">
        <v>10876</v>
      </c>
      <c r="F797" s="21" t="s">
        <v>190</v>
      </c>
      <c r="G797" s="21" t="s">
        <v>196</v>
      </c>
      <c r="H797" s="21" t="str">
        <f t="shared" si="26"/>
        <v>SRINAGAR</v>
      </c>
      <c r="I797" s="21" t="s">
        <v>10877</v>
      </c>
      <c r="J797" s="22">
        <v>46165</v>
      </c>
      <c r="K797" s="21">
        <v>6005528953</v>
      </c>
      <c r="L797" s="21" t="s">
        <v>2143</v>
      </c>
      <c r="M797" s="23" t="s">
        <v>8531</v>
      </c>
      <c r="N797" s="22">
        <v>46167</v>
      </c>
      <c r="O797" s="21" t="s">
        <v>23</v>
      </c>
      <c r="P797" s="24">
        <v>46165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10884</v>
      </c>
      <c r="C798" s="21" t="s">
        <v>10882</v>
      </c>
      <c r="D798" s="21" t="s">
        <v>10883</v>
      </c>
      <c r="E798" s="21" t="s">
        <v>10881</v>
      </c>
      <c r="F798" s="21" t="s">
        <v>12</v>
      </c>
      <c r="G798" s="21" t="s">
        <v>178</v>
      </c>
      <c r="H798" s="21" t="str">
        <f t="shared" si="26"/>
        <v>NEW</v>
      </c>
      <c r="I798" s="21" t="s">
        <v>10886</v>
      </c>
      <c r="J798" s="22">
        <v>46165</v>
      </c>
      <c r="K798" s="21">
        <v>9622281979</v>
      </c>
      <c r="L798" s="21" t="s">
        <v>547</v>
      </c>
      <c r="M798" s="23"/>
      <c r="N798" s="22"/>
      <c r="O798" s="21"/>
      <c r="P798" s="24"/>
      <c r="Q798" s="21"/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10899</v>
      </c>
      <c r="D799" s="21" t="s">
        <v>10914</v>
      </c>
      <c r="E799" s="21" t="s">
        <v>10901</v>
      </c>
      <c r="F799" s="21" t="s">
        <v>5</v>
      </c>
      <c r="G799" s="21" t="s">
        <v>196</v>
      </c>
      <c r="H799" s="21" t="str">
        <f t="shared" si="26"/>
        <v>ANANTNAG</v>
      </c>
      <c r="I799" s="21" t="s">
        <v>10905</v>
      </c>
      <c r="J799" s="22">
        <v>46167</v>
      </c>
      <c r="K799" s="21">
        <v>9906564039</v>
      </c>
      <c r="L799" s="21" t="s">
        <v>10932</v>
      </c>
      <c r="M799" s="23"/>
      <c r="N799" s="22"/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10904</v>
      </c>
      <c r="C800" s="21" t="s">
        <v>10900</v>
      </c>
      <c r="D800" s="21" t="s">
        <v>10915</v>
      </c>
      <c r="E800" s="21" t="s">
        <v>10902</v>
      </c>
      <c r="F800" s="21" t="s">
        <v>36</v>
      </c>
      <c r="G800" s="21" t="s">
        <v>196</v>
      </c>
      <c r="H800" s="54" t="str">
        <f>IF(LEFT(I800,4)="JK13","PULWAMA",IF(LEFT(I800,4)="JK01","SRINAGAR",IF(LEFT(I800,4)="JK04","BUDGAM",IF(LEFT(I800,4)="JK03","ANANTNAG",IF(LEFT(I800,4)="LA01","KARGIL",IF(LEFT(I800,4)="JK05","BARAMULLA",IF(LEFT(I800,4)="26BH","BHARAT",IF(LEFT(I800,4)="25BH","BHARAT",IF(LEFT(I800,4)="JK12","POONCH",IF(LEFT(I800,4)="JK16","GANDERBAL",IF(LEFT(I800,4)="JK18","KULGAM",IF(LEFT(I800,4)="JK22","SHOPIAN",IF(LEFT(I800,4)="JK02","JAMMU",IF(LEFT(I800,4)="JK09","KUPWARA",IF(LEFT(I800,4)="JK15","BANDIPORA",IF(LEFT(I800,4)="JK17","KISHTWAR",IF(LEFT(I800,4)="LA01","KARGIL",IF(LEFT(I800,1)="T","TEMP","NEW"))))))))))))))))))</f>
        <v>SRINAGAR</v>
      </c>
      <c r="I800" s="21" t="s">
        <v>10906</v>
      </c>
      <c r="J800" s="22">
        <v>46167</v>
      </c>
      <c r="K800" s="21">
        <v>6005323353</v>
      </c>
      <c r="L800" s="53" t="s">
        <v>73</v>
      </c>
      <c r="M800" s="56"/>
      <c r="N800" s="55"/>
      <c r="O800" s="53" t="s">
        <v>23</v>
      </c>
      <c r="P800" s="57">
        <v>46167</v>
      </c>
      <c r="Q800" s="53" t="s">
        <v>6454</v>
      </c>
      <c r="R800" s="53"/>
    </row>
    <row r="801" spans="1:18" x14ac:dyDescent="0.25">
      <c r="A801" s="21">
        <f t="shared" si="24"/>
        <v>800</v>
      </c>
      <c r="B801" s="21" t="s">
        <v>10907</v>
      </c>
      <c r="C801" s="21" t="s">
        <v>10908</v>
      </c>
      <c r="D801" s="21" t="s">
        <v>10909</v>
      </c>
      <c r="E801" s="21" t="s">
        <v>10910</v>
      </c>
      <c r="F801" s="21" t="s">
        <v>98</v>
      </c>
      <c r="G801" s="21" t="s">
        <v>171</v>
      </c>
      <c r="H801" s="54" t="str">
        <f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BARAMULLA</v>
      </c>
      <c r="I801" s="21" t="s">
        <v>10917</v>
      </c>
      <c r="J801" s="55">
        <v>46167</v>
      </c>
      <c r="K801" s="21">
        <v>9622485607</v>
      </c>
      <c r="L801" s="53" t="s">
        <v>191</v>
      </c>
      <c r="M801" s="56"/>
      <c r="N801" s="55"/>
      <c r="O801" s="53" t="s">
        <v>23</v>
      </c>
      <c r="P801" s="57">
        <v>46167</v>
      </c>
      <c r="Q801" s="53" t="s">
        <v>6454</v>
      </c>
      <c r="R801" s="53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10912</v>
      </c>
      <c r="E802" s="21" t="s">
        <v>10891</v>
      </c>
      <c r="F802" s="21" t="s">
        <v>98</v>
      </c>
      <c r="G802" s="21" t="s">
        <v>223</v>
      </c>
      <c r="H802" s="21" t="str">
        <f t="shared" si="26"/>
        <v>BUDGAM</v>
      </c>
      <c r="I802" s="21" t="s">
        <v>10919</v>
      </c>
      <c r="J802" s="22">
        <v>46167</v>
      </c>
      <c r="K802" s="21">
        <v>7889479226</v>
      </c>
      <c r="L802" s="21" t="s">
        <v>26</v>
      </c>
      <c r="M802" s="23"/>
      <c r="N802" s="22"/>
      <c r="O802" s="21"/>
      <c r="P802" s="24"/>
      <c r="Q802" s="21"/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10913</v>
      </c>
      <c r="E803" s="21" t="s">
        <v>10892</v>
      </c>
      <c r="F803" s="21" t="s">
        <v>5</v>
      </c>
      <c r="G803" s="21" t="s">
        <v>196</v>
      </c>
      <c r="H803" s="54" t="str">
        <f t="shared" ref="H803:H808" si="27">IF(LEFT(I803,4)="JK13","PULWAMA",IF(LEFT(I803,4)="JK01","SRINAGAR",IF(LEFT(I803,4)="JK04","BUDGAM",IF(LEFT(I803,4)="JK03","ANANTNAG",IF(LEFT(I803,4)="LA01","KARGIL",IF(LEFT(I803,4)="JK05","BARAMULLA",IF(LEFT(I803,4)="26BH","BHARAT",IF(LEFT(I803,4)="25BH","BHARAT",IF(LEFT(I803,4)="JK12","POONCH",IF(LEFT(I803,4)="JK16","GANDERBAL",IF(LEFT(I803,4)="JK18","KULGAM",IF(LEFT(I803,4)="JK22","SHOPIAN",IF(LEFT(I803,4)="JK02","JAMMU",IF(LEFT(I803,4)="JK09","KUPWARA",IF(LEFT(I803,4)="JK15","BANDIPORA",IF(LEFT(I803,4)="JK17","KISHTWAR",IF(LEFT(I803,4)="LA01","KARGIL",IF(LEFT(I803,1)="T","TEMP","NEW"))))))))))))))))))</f>
        <v>BUDGAM</v>
      </c>
      <c r="I803" s="21" t="s">
        <v>10918</v>
      </c>
      <c r="J803" s="22">
        <v>46167</v>
      </c>
      <c r="K803" s="21">
        <v>9055028530</v>
      </c>
      <c r="L803" s="53" t="s">
        <v>68</v>
      </c>
      <c r="M803" s="56"/>
      <c r="N803" s="55"/>
      <c r="O803" s="53"/>
      <c r="P803" s="57"/>
      <c r="Q803" s="53"/>
      <c r="R803" s="53"/>
    </row>
    <row r="804" spans="1:18" x14ac:dyDescent="0.25">
      <c r="A804" s="21">
        <f t="shared" si="24"/>
        <v>803</v>
      </c>
      <c r="B804" s="21" t="s">
        <v>10897</v>
      </c>
      <c r="C804" s="21" t="s">
        <v>10889</v>
      </c>
      <c r="D804" s="21" t="s">
        <v>10911</v>
      </c>
      <c r="E804" s="21" t="s">
        <v>10893</v>
      </c>
      <c r="F804" s="21" t="s">
        <v>12</v>
      </c>
      <c r="G804" s="21" t="s">
        <v>178</v>
      </c>
      <c r="H804" s="54" t="str">
        <f t="shared" si="27"/>
        <v>SRINAGAR</v>
      </c>
      <c r="I804" s="21" t="s">
        <v>10921</v>
      </c>
      <c r="J804" s="22">
        <v>46167</v>
      </c>
      <c r="K804" s="21">
        <v>8825097876</v>
      </c>
      <c r="L804" s="53" t="s">
        <v>191</v>
      </c>
      <c r="M804" s="56"/>
      <c r="N804" s="55"/>
      <c r="O804" s="53"/>
      <c r="P804" s="57"/>
      <c r="Q804" s="53"/>
      <c r="R804" s="53"/>
    </row>
    <row r="805" spans="1:18" x14ac:dyDescent="0.25">
      <c r="A805" s="21">
        <f t="shared" si="24"/>
        <v>804</v>
      </c>
      <c r="B805" s="21" t="s">
        <v>10898</v>
      </c>
      <c r="C805" s="21" t="s">
        <v>10890</v>
      </c>
      <c r="D805" s="21" t="s">
        <v>10916</v>
      </c>
      <c r="E805" s="21" t="s">
        <v>10894</v>
      </c>
      <c r="F805" s="21" t="s">
        <v>5</v>
      </c>
      <c r="G805" s="21" t="s">
        <v>197</v>
      </c>
      <c r="H805" s="54" t="str">
        <f t="shared" si="27"/>
        <v>SRINAGAR</v>
      </c>
      <c r="I805" s="21" t="s">
        <v>10920</v>
      </c>
      <c r="J805" s="22">
        <v>46167</v>
      </c>
      <c r="K805" s="21">
        <v>9149773196</v>
      </c>
      <c r="L805" s="53" t="s">
        <v>1513</v>
      </c>
      <c r="M805" s="56"/>
      <c r="N805" s="55"/>
      <c r="O805" s="53"/>
      <c r="P805" s="57"/>
      <c r="Q805" s="53"/>
      <c r="R805" s="53"/>
    </row>
    <row r="806" spans="1:18" x14ac:dyDescent="0.25">
      <c r="A806" s="21">
        <f t="shared" si="24"/>
        <v>805</v>
      </c>
      <c r="B806" s="21" t="s">
        <v>10928</v>
      </c>
      <c r="C806" s="21" t="s">
        <v>10929</v>
      </c>
      <c r="D806" s="21" t="s">
        <v>10930</v>
      </c>
      <c r="E806" s="21" t="s">
        <v>10931</v>
      </c>
      <c r="F806" s="21" t="s">
        <v>98</v>
      </c>
      <c r="G806" s="21" t="s">
        <v>178</v>
      </c>
      <c r="H806" s="54" t="str">
        <f t="shared" si="27"/>
        <v>SRINAGAR</v>
      </c>
      <c r="I806" s="21" t="s">
        <v>10937</v>
      </c>
      <c r="J806" s="55">
        <v>46167</v>
      </c>
      <c r="K806" s="21">
        <v>7051923420</v>
      </c>
      <c r="L806" s="53" t="s">
        <v>10243</v>
      </c>
      <c r="M806" s="56"/>
      <c r="N806" s="55"/>
      <c r="O806" s="53"/>
      <c r="P806" s="57"/>
      <c r="Q806" s="53"/>
      <c r="R806" s="53"/>
    </row>
    <row r="807" spans="1:18" x14ac:dyDescent="0.25">
      <c r="A807" s="21">
        <f t="shared" si="24"/>
        <v>806</v>
      </c>
      <c r="B807" s="21" t="s">
        <v>10934</v>
      </c>
      <c r="C807" s="21" t="s">
        <v>10853</v>
      </c>
      <c r="D807" s="21" t="s">
        <v>10935</v>
      </c>
      <c r="E807" s="21" t="s">
        <v>10851</v>
      </c>
      <c r="F807" s="21" t="s">
        <v>277</v>
      </c>
      <c r="G807" s="21" t="s">
        <v>197</v>
      </c>
      <c r="H807" s="54" t="str">
        <f t="shared" si="27"/>
        <v>SRINAGAR</v>
      </c>
      <c r="I807" s="21" t="s">
        <v>10936</v>
      </c>
      <c r="J807" s="55">
        <v>46167</v>
      </c>
      <c r="K807" s="21">
        <v>9796990530</v>
      </c>
      <c r="L807" s="53" t="s">
        <v>73</v>
      </c>
      <c r="M807" s="56"/>
      <c r="N807" s="55"/>
      <c r="O807" s="53"/>
      <c r="P807" s="57"/>
      <c r="Q807" s="53"/>
      <c r="R807" s="53"/>
    </row>
    <row r="808" spans="1:18" x14ac:dyDescent="0.25">
      <c r="A808" s="21">
        <f t="shared" si="24"/>
        <v>807</v>
      </c>
      <c r="B808" s="21"/>
      <c r="C808" s="21"/>
      <c r="D808" s="21"/>
      <c r="E808" s="21"/>
      <c r="F808" s="21"/>
      <c r="G808" s="21"/>
      <c r="H808" s="54" t="str">
        <f t="shared" si="27"/>
        <v>NEW</v>
      </c>
      <c r="I808" s="21"/>
      <c r="J808" s="55"/>
      <c r="K808" s="21"/>
      <c r="L808" s="53"/>
      <c r="M808" s="56"/>
      <c r="N808" s="55"/>
      <c r="O808" s="53"/>
      <c r="P808" s="57"/>
      <c r="Q808" s="53"/>
      <c r="R808" s="53"/>
    </row>
    <row r="809" spans="1:18" ht="15.75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12"/>
      <c r="K809" s="21"/>
      <c r="L809" s="21"/>
      <c r="M809" t="s">
        <v>43</v>
      </c>
    </row>
    <row r="810" spans="1:18" ht="15.75" x14ac:dyDescent="0.25">
      <c r="A810" s="21"/>
      <c r="B810" s="21"/>
      <c r="C810" s="21"/>
      <c r="D810" s="21"/>
      <c r="E810" s="21"/>
      <c r="F810" s="21"/>
      <c r="G810" s="21"/>
      <c r="H810" s="1"/>
      <c r="I810" s="13"/>
      <c r="K810" s="21"/>
      <c r="L810" s="21"/>
    </row>
    <row r="811" spans="1:18" x14ac:dyDescent="0.25">
      <c r="K811" s="21"/>
    </row>
    <row r="812" spans="1:18" x14ac:dyDescent="0.25">
      <c r="K812" s="21"/>
    </row>
    <row r="813" spans="1:18" x14ac:dyDescent="0.25">
      <c r="K813" s="21"/>
    </row>
    <row r="814" spans="1:18" x14ac:dyDescent="0.25">
      <c r="K814" s="21"/>
    </row>
    <row r="815" spans="1:18" x14ac:dyDescent="0.25">
      <c r="K815" s="21"/>
    </row>
    <row r="816" spans="1:18" x14ac:dyDescent="0.25">
      <c r="K816" s="21"/>
    </row>
    <row r="817" spans="11:11" x14ac:dyDescent="0.25">
      <c r="K817" s="21"/>
    </row>
    <row r="818" spans="11:11" x14ac:dyDescent="0.25">
      <c r="K818" s="21"/>
    </row>
    <row r="819" spans="11:11" x14ac:dyDescent="0.25">
      <c r="K819" s="21"/>
    </row>
    <row r="820" spans="11:11" x14ac:dyDescent="0.25">
      <c r="K820" s="21"/>
    </row>
    <row r="821" spans="11:11" x14ac:dyDescent="0.25">
      <c r="K821" s="21"/>
    </row>
    <row r="822" spans="11:11" x14ac:dyDescent="0.25">
      <c r="K822" s="21"/>
    </row>
    <row r="823" spans="11:11" x14ac:dyDescent="0.25">
      <c r="K823" s="21"/>
    </row>
    <row r="824" spans="11:11" x14ac:dyDescent="0.25">
      <c r="K824" s="21"/>
    </row>
    <row r="825" spans="11:11" x14ac:dyDescent="0.25">
      <c r="K825" s="21"/>
    </row>
    <row r="826" spans="11:11" x14ac:dyDescent="0.25">
      <c r="K826" s="21"/>
    </row>
    <row r="827" spans="11:11" x14ac:dyDescent="0.25">
      <c r="K827" s="21"/>
    </row>
    <row r="828" spans="11:11" x14ac:dyDescent="0.25">
      <c r="K828" s="21"/>
    </row>
    <row r="829" spans="11:11" x14ac:dyDescent="0.25">
      <c r="K829" s="21"/>
    </row>
    <row r="830" spans="11:11" x14ac:dyDescent="0.25">
      <c r="K830" s="21"/>
    </row>
    <row r="831" spans="11:11" x14ac:dyDescent="0.25">
      <c r="K831" s="21"/>
    </row>
    <row r="832" spans="11:11" x14ac:dyDescent="0.25">
      <c r="K832" s="21"/>
    </row>
    <row r="833" spans="11:11" x14ac:dyDescent="0.25">
      <c r="K833" s="21"/>
    </row>
    <row r="834" spans="11:11" x14ac:dyDescent="0.25">
      <c r="K834" s="21"/>
    </row>
    <row r="835" spans="11:11" x14ac:dyDescent="0.25">
      <c r="K835" s="21"/>
    </row>
    <row r="836" spans="11:11" x14ac:dyDescent="0.25">
      <c r="K836" s="21"/>
    </row>
    <row r="837" spans="11:11" x14ac:dyDescent="0.25">
      <c r="K837" s="21"/>
    </row>
    <row r="838" spans="11:11" x14ac:dyDescent="0.25">
      <c r="K838" s="21"/>
    </row>
    <row r="839" spans="11:11" x14ac:dyDescent="0.25">
      <c r="K839" s="21"/>
    </row>
    <row r="840" spans="11:11" x14ac:dyDescent="0.25">
      <c r="K840" s="21"/>
    </row>
    <row r="841" spans="11:11" x14ac:dyDescent="0.25">
      <c r="K841" s="21"/>
    </row>
    <row r="842" spans="11:11" x14ac:dyDescent="0.25">
      <c r="K842" s="21"/>
    </row>
    <row r="843" spans="11:11" x14ac:dyDescent="0.25">
      <c r="K843" s="21"/>
    </row>
    <row r="844" spans="11:11" x14ac:dyDescent="0.25">
      <c r="K844" s="21"/>
    </row>
    <row r="845" spans="11:11" x14ac:dyDescent="0.25">
      <c r="K845" s="21"/>
    </row>
    <row r="846" spans="11:11" x14ac:dyDescent="0.25">
      <c r="K846" s="21"/>
    </row>
    <row r="847" spans="11:11" x14ac:dyDescent="0.25">
      <c r="K847" s="21"/>
    </row>
    <row r="848" spans="11:11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ht="15.75" x14ac:dyDescent="0.25">
      <c r="K906" s="12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x14ac:dyDescent="0.25">
      <c r="K938" s="20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8 B768:G770 H769 H770:R770 O771 B771:H784 K771:K784 I772:I796 J773 J775:J784 G785:H788 J785:K790 B789:H790 H791:K791 J792:K793 H792:H795 J794:J796 G796:H796 A797:J797 K809:L810 H802 E803:H803 B777:G797 E802:G803 B798:C798 A799:C803 D798:D803 E798:J800 I806:I809 E801:H801 I801:J805 A804:H805 J806:J808 L777:R808 K792:K808 A806:A808 H806:H808 B806:G809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H809 A810:G810 K810:K888 A809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09:O810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09:Q810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338" zoomScaleNormal="100" workbookViewId="0">
      <selection activeCell="B351" sqref="B3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20"/>
  <sheetViews>
    <sheetView topLeftCell="A505" zoomScaleNormal="100" workbookViewId="0">
      <selection activeCell="B506" sqref="B50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10785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10806</v>
      </c>
      <c r="C499" s="21">
        <v>9797928475</v>
      </c>
      <c r="D499" s="21" t="s">
        <v>10807</v>
      </c>
      <c r="E499" s="21" t="s">
        <v>10802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10808</v>
      </c>
      <c r="C500" s="21">
        <v>9906598118</v>
      </c>
      <c r="D500" s="21" t="s">
        <v>10809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10792</v>
      </c>
      <c r="C501" s="21">
        <v>7006694541</v>
      </c>
      <c r="D501" s="21" t="s">
        <v>10810</v>
      </c>
      <c r="E501" s="21" t="s">
        <v>10803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10783</v>
      </c>
      <c r="C502" s="21">
        <v>8825010525</v>
      </c>
      <c r="D502" s="21" t="s">
        <v>10811</v>
      </c>
      <c r="E502" s="21" t="s">
        <v>10784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10835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10836</v>
      </c>
      <c r="E504" s="21" t="s">
        <v>10805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10826</v>
      </c>
      <c r="C505" s="21">
        <v>9484057404</v>
      </c>
      <c r="D505" s="21" t="s">
        <v>10837</v>
      </c>
      <c r="E505" s="21" t="s">
        <v>10824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10851</v>
      </c>
      <c r="C506" s="21">
        <v>9796990530</v>
      </c>
      <c r="D506" s="21" t="s">
        <v>10852</v>
      </c>
      <c r="E506" s="21" t="s">
        <v>10853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10814</v>
      </c>
      <c r="C507" s="21">
        <v>6006286690</v>
      </c>
      <c r="D507" s="21" t="s">
        <v>10854</v>
      </c>
      <c r="E507" s="21" t="s">
        <v>10833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10855</v>
      </c>
      <c r="E508" s="21" t="s">
        <v>10832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10830</v>
      </c>
      <c r="C509" s="21">
        <v>7006107410</v>
      </c>
      <c r="D509" s="21" t="s">
        <v>10856</v>
      </c>
      <c r="E509" s="21" t="s">
        <v>10831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10858</v>
      </c>
      <c r="E510" s="21" t="s">
        <v>10766</v>
      </c>
      <c r="F510" s="14">
        <v>46162</v>
      </c>
      <c r="G510" s="14" t="s">
        <v>337</v>
      </c>
      <c r="H510" s="12" t="s">
        <v>10859</v>
      </c>
    </row>
    <row r="511" spans="1:8" ht="15.75" x14ac:dyDescent="0.25">
      <c r="A511" s="12">
        <f t="shared" si="7"/>
        <v>509</v>
      </c>
      <c r="B511" s="21" t="s">
        <v>10876</v>
      </c>
      <c r="C511" s="21">
        <v>6005528953</v>
      </c>
      <c r="D511" s="21" t="s">
        <v>10878</v>
      </c>
      <c r="E511" s="21" t="s">
        <v>10877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10862</v>
      </c>
      <c r="C512" s="21">
        <v>6006180214</v>
      </c>
      <c r="D512" s="21" t="s">
        <v>10879</v>
      </c>
      <c r="E512" s="21" t="s">
        <v>10871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10845</v>
      </c>
      <c r="C513" s="21">
        <v>9419766402</v>
      </c>
      <c r="D513" s="21" t="s">
        <v>10880</v>
      </c>
      <c r="E513" s="21" t="s">
        <v>10869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10910</v>
      </c>
      <c r="C514" s="21">
        <v>7006418329</v>
      </c>
      <c r="D514" s="21" t="s">
        <v>10922</v>
      </c>
      <c r="E514" s="21" t="s">
        <v>10917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10923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10924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10902</v>
      </c>
      <c r="C517" s="21">
        <v>6005323353</v>
      </c>
      <c r="D517" s="21" t="s">
        <v>10925</v>
      </c>
      <c r="E517" s="21" t="s">
        <v>10906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10926</v>
      </c>
      <c r="C518" s="21"/>
      <c r="D518" s="21" t="s">
        <v>10927</v>
      </c>
      <c r="E518" s="21" t="s">
        <v>10503</v>
      </c>
      <c r="F518" s="14">
        <v>46167</v>
      </c>
      <c r="G518" s="14" t="s">
        <v>338</v>
      </c>
      <c r="H518" s="12" t="s">
        <v>8155</v>
      </c>
    </row>
    <row r="519" spans="1:8" ht="15.75" x14ac:dyDescent="0.25">
      <c r="A519" s="12">
        <f t="shared" ref="A519:A520" si="8">ROW()-2</f>
        <v>517</v>
      </c>
      <c r="B519" s="21" t="s">
        <v>10901</v>
      </c>
      <c r="C519" s="21">
        <v>9906564039</v>
      </c>
      <c r="D519" s="21" t="s">
        <v>10933</v>
      </c>
      <c r="E519" s="21" t="s">
        <v>10905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12"/>
      <c r="C520" s="12"/>
      <c r="D520" s="12"/>
      <c r="E520" s="12"/>
      <c r="F520" s="14"/>
      <c r="G520" s="14"/>
      <c r="H520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D16" sqref="D16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2026-05-25T13:38:01Z</dcterms:modified>
</cp:coreProperties>
</file>