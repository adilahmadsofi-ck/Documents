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A58DDE4-1086-47EA-85F8-71AF2875D73D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70" i="4" l="1"/>
  <c r="H871" i="4"/>
  <c r="H872" i="4"/>
  <c r="H873" i="4"/>
  <c r="H874" i="4"/>
  <c r="H875" i="4"/>
  <c r="H876" i="4"/>
  <c r="A870" i="4"/>
  <c r="A871" i="4"/>
  <c r="A872" i="4"/>
  <c r="A873" i="4"/>
  <c r="A874" i="4"/>
  <c r="A875" i="4"/>
  <c r="A876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<sst xmlns="http://schemas.openxmlformats.org/spreadsheetml/2006/main" count="28221" uniqueCount="11348">
  <si>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</si>
  <si>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</si>
  <si>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</si>
  <si>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</si>
  <si>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</si>
  <si>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</si>
  <si>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</si>
  <si>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</si>
  <si>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</si>
  <si>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</si>
  <si>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</si>
  <si>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</si>
  <si>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</si>
  <si>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</si>
  <si>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</si>
  <si>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</si>
  <si>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</si>
  <si>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</si>
  <si>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</si>
  <si>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</si>
  <si>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</si>
  <si>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</si>
  <si>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</si>
  <si>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</si>
  <si>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</si>
  <si>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</si>
  <si>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</si>
  <si>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</si>
  <si>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</si>
  <si>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</si>
  <si>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</si>
  <si>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</si>
  <si>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</si>
  <si>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</si>
  <si>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</si>
  <si>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</si>
  <si>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</si>
  <si>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</si>
  <si>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</si>
  <si>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</si>
  <si>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</si>
  <si>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</si>
  <si>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</si>
  <si>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</si>
  <si>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</si>
  <si>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</si>
  <si>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</si>
  <si>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</si>
  <si>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</si>
  <si>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</si>
  <si>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</si>
  <si>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</si>
  <si>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</si>
  <si>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</si>
  <si>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</si>
  <si>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</si>
  <si>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</si>
  <si>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</si>
  <si>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</si>
  <si>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</si>
  <si>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</si>
  <si>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</si>
  <si>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</si>
  <si>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</si>
  <si>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</si>
  <si>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</si>
  <si>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</si>
  <si>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</si>
  <si>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</si>
  <si>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</si>
  <si>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</si>
  <si>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</si>
  <si>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</si>
  <si>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</si>
  <si>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</si>
  <si>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</si>
  <si>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</si>
  <si>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</si>
  <si>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</si>
  <si>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</si>
  <si>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</si>
  <si>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</si>
  <si>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</si>
  <si>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</si>
  <si>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</si>
  <si>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</si>
  <si>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</si>
  <si>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</si>
  <si>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</si>
  <si>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</si>
  <si>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</si>
  <si>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</si>
  <si>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</si>
  <si>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</si>
  <si>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</si>
  <si>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</si>
  <si>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</si>
  <si>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</si>
  <si>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</si>
  <si>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</si>
  <si>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</si>
  <si>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</si>
  <si>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</si>
  <si>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</si>
  <si>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</si>
  <si>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</si>
  <si>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</si>
  <si>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</si>
  <si>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</si>
  <si>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</si>
  <si>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</si>
  <si>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</si>
  <si>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</si>
  <si>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</si>
  <si>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</si>
  <si>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</si>
  <si>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</si>
  <si>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</si>
  <si>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</si>
  <si>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</si>
  <si>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</si>
  <si>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</si>
  <si>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</si>
  <si>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</si>
  <si>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</si>
  <si>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</si>
  <si>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</si>
  <si>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</si>
  <si>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</si>
  <si>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</si>
  <si>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</si>
  <si>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</si>
  <si>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</si>
  <si>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</si>
  <si>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</si>
  <si>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</si>
  <si>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</si>
  <si>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</si>
  <si>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</si>
  <si>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</si>
  <si>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</si>
  <si>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</si>
  <si>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</si>
  <si>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</si>
  <si>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</si>
  <si>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</si>
  <si>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</si>
  <si>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</si>
  <si>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</si>
  <si>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</si>
  <si>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</si>
  <si>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</si>
  <si>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</si>
  <si>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</si>
  <si>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</si>
  <si>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</si>
  <si>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</si>
  <si>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</si>
  <si>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</si>
  <si>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</si>
  <si>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</si>
  <si>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</si>
  <si>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</si>
  <si>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</si>
  <si>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</si>
  <si>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</si>
  <si>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</si>
  <si>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</si>
  <si>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</si>
  <si>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</si>
  <si>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</si>
  <si>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</si>
  <si>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</si>
  <si>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</si>
  <si>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</si>
  <si>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</si>
  <si>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</si>
  <si>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</si>
  <si>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</si>
  <si>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</si>
  <si>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</si>
  <si>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</si>
  <si>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</si>
  <si>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</si>
  <si>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</si>
  <si>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</si>
  <si>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</si>
  <si>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</si>
  <si>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</si>
  <si>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</si>
  <si>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</si>
  <si>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</si>
  <si>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</si>
  <si>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</si>
  <si>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</si>
  <si>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</si>
  <si>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</si>
  <si>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</si>
  <si>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</si>
  <si>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</si>
  <si>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</si>
  <si>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</si>
  <si>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</si>
  <si>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</si>
  <si>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</si>
  <si>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</si>
  <si>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</si>
  <si>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</si>
  <si>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</si>
  <si>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</si>
  <si>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</si>
  <si>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</si>
  <si>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</si>
  <si>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</si>
  <si>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</si>
  <si>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</si>
  <si>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</si>
  <si>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</si>
  <si>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</si>
  <si>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</si>
  <si>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</si>
  <si>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</si>
  <si>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</si>
  <si>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</si>
  <si>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</si>
  <si>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</si>
  <si>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</si>
  <si>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</si>
  <si>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</si>
  <si>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</si>
  <si>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</si>
  <si>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</si>
  <si>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</si>
  <si>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</si>
  <si>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</si>
  <si>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</si>
  <si>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</si>
  <si>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</si>
  <si>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</si>
  <si>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</si>
  <si>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</si>
  <si>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</si>
  <si>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</si>
  <si>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</si>
  <si>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</si>
  <si>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</si>
  <si>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</si>
  <si>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</si>
  <si>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</si>
  <si>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</si>
  <si>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</si>
  <si>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</si>
  <si>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</si>
  <si>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</si>
  <si>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</si>
  <si>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</si>
  <si>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</si>
  <si>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</si>
  <si>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</si>
  <si>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</si>
  <si>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</si>
  <si>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</si>
  <si>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</si>
  <si>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</si>
  <si>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</si>
  <si>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</si>
  <si>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</si>
  <si>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</si>
  <si>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</si>
  <si>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</si>
  <si>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</si>
  <si>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</si>
  <si>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</si>
  <si>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</si>
  <si>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</si>
  <si>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</si>
  <si>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</si>
  <si>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</si>
  <si>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</si>
  <si>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</si>
  <si>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</si>
  <si>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</si>
  <si>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</si>
  <si>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</si>
  <si>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</si>
  <si>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</si>
  <si>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</si>
  <si>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</si>
  <si>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</si>
  <si>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</si>
  <si>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</si>
  <si>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</si>
  <si>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</si>
  <si>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</si>
  <si>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</si>
  <si>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</si>
  <si>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</si>
  <si>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</si>
  <si>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</si>
  <si>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</si>
  <si>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</si>
  <si>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</si>
  <si>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</si>
  <si>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</si>
  <si>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</si>
  <si>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</si>
  <si>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</si>
  <si>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</si>
  <si>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</si>
  <si>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</si>
  <si>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</si>
  <si>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</si>
  <si>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</si>
  <si>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</si>
  <si>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</si>
  <si>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</si>
  <si>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</si>
  <si>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</si>
  <si>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</si>
  <si>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</si>
  <si>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</si>
  <si>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</si>
  <si>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</si>
  <si>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</si>
  <si>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</si>
  <si>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</si>
  <si>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</si>
  <si>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</si>
  <si>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</si>
  <si>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</si>
  <si>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</si>
  <si>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</si>
  <si>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</si>
  <si>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</si>
  <si>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</si>
  <si>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</si>
  <si>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</si>
  <si>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</si>
  <si>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</si>
  <si>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</si>
  <si>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</si>
  <si>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</si>
  <si>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</si>
  <si>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</si>
  <si>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</si>
  <si>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</si>
  <si>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</si>
  <si>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</si>
  <si>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</si>
  <si>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</si>
  <si>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</si>
  <si>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</si>
  <si>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</si>
  <si>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</si>
  <si>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</si>
  <si>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</si>
  <si>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</si>
  <si>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</si>
  <si>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</si>
  <si>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</si>
  <si>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</si>
  <si>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</si>
  <si>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</si>
  <si>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</si>
  <si>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</si>
  <si>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</si>
  <si>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</si>
  <si>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</si>
  <si>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</si>
  <si>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</si>
  <si>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</si>
  <si>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</si>
  <si>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</si>
  <si>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</si>
  <si>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</si>
  <si>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</si>
  <si>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</si>
  <si>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</si>
  <si>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</si>
  <si>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</si>
  <si>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</si>
  <si>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</si>
  <si>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</si>
  <si>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</si>
  <si>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</si>
  <si>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</si>
  <si>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</si>
  <si>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</si>
  <si>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</si>
  <si>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</si>
  <si>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</si>
  <si>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</si>
  <si>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</si>
  <si>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</si>
  <si>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</si>
  <si>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</si>
  <si>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</si>
  <si>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</si>
  <si>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</si>
  <si>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</si>
  <si>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</si>
  <si>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</si>
  <si>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</si>
  <si>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</si>
  <si>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</si>
  <si>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</si>
  <si>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</si>
  <si>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</si>
  <si>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</si>
  <si>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</si>
  <si>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</si>
  <si>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</si>
  <si>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</si>
  <si>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</si>
  <si>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</si>
  <si>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</si>
  <si>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</si>
  <si>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</si>
  <si>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</si>
  <si>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</si>
  <si>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</si>
  <si>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</si>
  <si>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</si>
  <si>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</si>
  <si>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</si>
  <si>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</si>
  <si>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</si>
  <si>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</si>
  <si>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</si>
  <si>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</si>
  <si>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</si>
  <si>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</si>
  <si>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</si>
  <si>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</si>
  <si>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</si>
  <si>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</si>
  <si>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</si>
  <si>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</si>
  <si>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</si>
  <si>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</si>
  <si>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</si>
  <si>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</si>
  <si>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</si>
  <si>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</si>
  <si>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</si>
  <si>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</si>
  <si>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</si>
  <si>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</si>
  <si>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</si>
  <si>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</si>
  <si>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</si>
  <si>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</si>
  <si>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</si>
  <si>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</si>
  <si>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</si>
  <si>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</si>
  <si>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</si>
  <si>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</si>
  <si>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</si>
  <si>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</si>
  <si>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</si>
  <si>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</si>
  <si>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</si>
  <si>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</si>
  <si>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</si>
  <si>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</si>
  <si>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</si>
  <si>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</si>
  <si>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</si>
  <si>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</si>
  <si>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</si>
  <si>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</si>
  <si>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</si>
  <si>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</si>
  <si>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</si>
  <si>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</si>
  <si>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</si>
  <si>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</si>
  <si>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</si>
  <si>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</si>
  <si>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</si>
  <si>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</si>
  <si>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</si>
  <si>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</si>
  <si>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</si>
  <si>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</si>
  <si>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</si>
  <si>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</si>
  <si>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</si>
  <si>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</si>
  <si>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</si>
  <si>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</si>
  <si>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</si>
  <si>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</si>
  <si>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</si>
  <si>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</si>
  <si>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</si>
  <si>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</si>
  <si>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</si>
  <si>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</si>
  <si>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</si>
  <si>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</si>
  <si>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</si>
  <si>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</si>
  <si>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</si>
  <si>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</si>
  <si>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</si>
  <si>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</si>
  <si>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</si>
  <si>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</si>
  <si>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</si>
  <si>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</si>
  <si>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</si>
  <si>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</si>
  <si>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</si>
  <si>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</si>
  <si>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</si>
  <si>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</si>
  <si>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</si>
  <si>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</si>
  <si>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</si>
  <si>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</si>
  <si>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</si>
  <si>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</si>
  <si>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</si>
  <si>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</si>
  <si>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</si>
  <si>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</si>
  <si>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</si>
  <si>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</si>
  <si>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</si>
  <si>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</si>
  <si>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</si>
  <si>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</si>
  <si>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</si>
  <si>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</si>
  <si>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</si>
  <si>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</si>
  <si>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</si>
  <si>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</si>
  <si>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</si>
  <si>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</si>
  <si>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</si>
  <si>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</si>
  <si>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</si>
  <si>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</si>
  <si>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</si>
  <si>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</si>
  <si>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</si>
  <si>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</si>
  <si>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</si>
  <si>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</si>
  <si>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</si>
  <si>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</si>
  <si>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</si>
  <si>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</si>
  <si>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</si>
  <si>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</si>
  <si>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</si>
  <si>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</si>
  <si>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</si>
  <si>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</si>
  <si>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</si>
  <si>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</si>
  <si>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</si>
  <si>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</si>
  <si>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</si>
  <si>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</si>
  <si>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</si>
  <si>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</si>
  <si>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</si>
  <si>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</si>
  <si>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</si>
  <si>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</si>
  <si>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</si>
  <si>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</si>
  <si>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</si>
  <si>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</si>
  <si>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</si>
  <si>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</si>
  <si>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</si>
  <si>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</si>
  <si>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</si>
  <si>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</si>
  <si>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</si>
  <si>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</si>
  <si>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</si>
  <si>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</si>
  <si>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</si>
  <si>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</si>
  <si>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</si>
  <si>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</si>
  <si>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</si>
  <si>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</si>
  <si>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</si>
  <si>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</si>
  <si>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</si>
  <si>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</si>
  <si>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</si>
  <si>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</si>
  <si>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</si>
  <si>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</si>
  <si>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</si>
  <si>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</si>
  <si>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</si>
  <si>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</si>
  <si>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</si>
  <si>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</si>
  <si>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</si>
  <si>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</si>
  <si>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</si>
  <si>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</si>
  <si>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</si>
  <si>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</si>
  <si>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</si>
  <si>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</si>
  <si>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</si>
  <si>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</si>
  <si>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</si>
  <si>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</si>
  <si>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</si>
  <si>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</si>
  <si>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</si>
  <si>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</si>
  <si>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</si>
  <si>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</si>
  <si>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</si>
  <si>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</si>
  <si>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</si>
  <si>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</si>
  <si>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</si>
  <si>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</si>
  <si>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</si>
  <si>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</si>
  <si>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</si>
  <si>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</si>
  <si>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</si>
  <si>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</si>
  <si>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</si>
  <si>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</si>
  <si>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</si>
  <si>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</si>
  <si>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</si>
  <si>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</si>
  <si>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</si>
  <si>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</si>
  <si>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</si>
  <si>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</si>
  <si>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</si>
  <si>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</si>
  <si>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</si>
  <si>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</si>
  <si>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</si>
  <si>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</si>
  <si>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</si>
  <si>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</si>
  <si>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</si>
  <si>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</si>
  <si>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</si>
  <si>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</si>
  <si>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</si>
  <si>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</si>
  <si>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</si>
  <si>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</si>
  <si>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</si>
  <si>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</si>
  <si>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</si>
  <si>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</si>
  <si>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</si>
  <si>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</si>
  <si>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</si>
  <si>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</si>
  <si>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</si>
  <si>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</si>
  <si>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</si>
  <si>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</si>
  <si>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</si>
  <si>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</si>
  <si>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</si>
  <si>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</si>
  <si>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</si>
  <si>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</si>
  <si>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</si>
  <si>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</si>
  <si>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</si>
  <si>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</si>
  <si>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</si>
  <si>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</si>
  <si>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</si>
  <si>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</si>
  <si>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</si>
  <si>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</si>
  <si>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</si>
  <si>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</si>
  <si>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</si>
  <si>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</si>
  <si>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</si>
  <si>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</si>
  <si>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</si>
  <si>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</si>
  <si>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</si>
  <si>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</si>
  <si>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</si>
  <si>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</si>
  <si>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</si>
  <si>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</si>
  <si>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</si>
  <si>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</si>
  <si>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</si>
  <si>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</si>
  <si>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</si>
  <si>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</si>
  <si>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</si>
  <si>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</si>
  <si>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</si>
  <si>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</si>
  <si>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</si>
  <si>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</si>
  <si>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</si>
  <si>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</si>
  <si>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</si>
  <si>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</si>
  <si>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</si>
  <si>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</si>
  <si>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</si>
  <si>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</si>
  <si>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</si>
  <si>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</si>
  <si>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</si>
  <si>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</si>
  <si>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</si>
  <si>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</si>
  <si>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</si>
  <si>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</si>
  <si>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</si>
  <si>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</si>
  <si>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</si>
  <si>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</si>
  <si>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</si>
  <si>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</si>
  <si>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</si>
  <si>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</si>
  <si>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</si>
  <si>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</si>
  <si>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</si>
  <si>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</si>
  <si>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</si>
  <si>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</si>
  <si>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</si>
  <si>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</si>
  <si>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</si>
  <si>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</si>
  <si>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</si>
  <si>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</si>
  <si>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</si>
  <si>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</si>
  <si>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</si>
  <si>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</si>
  <si>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</si>
  <si>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</si>
  <si>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</si>
  <si>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</si>
  <si>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</si>
  <si>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</si>
  <si>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</si>
  <si>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</si>
  <si>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</si>
  <si>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</si>
  <si>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</si>
  <si>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</si>
  <si>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</si>
  <si>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</si>
  <si>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</si>
  <si>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</si>
  <si>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</si>
  <si>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</si>
  <si>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</si>
  <si>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</si>
  <si>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</si>
  <si>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</si>
  <si>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</si>
  <si>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</si>
  <si>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</si>
  <si>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</si>
  <si>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</si>
  <si>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</si>
  <si>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</si>
  <si>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</si>
  <si>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</si>
  <si>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</si>
  <si>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</si>
  <si>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</si>
  <si>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</si>
  <si>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</si>
  <si>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</si>
  <si>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</si>
  <si>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</si>
  <si>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</si>
  <si>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</si>
  <si>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</si>
  <si>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</si>
  <si>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</si>
  <si>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</si>
  <si>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</si>
  <si>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</si>
  <si>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</si>
  <si>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</si>
  <si>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</si>
  <si>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</si>
  <si>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</si>
  <si>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</si>
  <si>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</si>
  <si>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</si>
  <si>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</si>
  <si>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</si>
  <si>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</si>
  <si>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</si>
  <si>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</si>
  <si>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</si>
  <si>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</si>
  <si>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</si>
  <si>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</si>
  <si>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</si>
  <si>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</si>
  <si>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</si>
  <si>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</si>
  <si>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</si>
  <si>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</si>
  <si>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</si>
  <si>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</si>
  <si>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</si>
  <si>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</si>
  <si>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</si>
  <si>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</si>
  <si>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</si>
  <si>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</si>
  <si>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</si>
  <si>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</si>
  <si>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</si>
  <si>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</si>
  <si>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</si>
  <si>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</si>
  <si>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</si>
  <si>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</si>
  <si>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</si>
  <si>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</si>
  <si>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</si>
  <si>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</si>
  <si>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</si>
  <si>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</si>
  <si>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</si>
  <si>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</si>
  <si>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</si>
  <si>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</si>
  <si>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</si>
  <si>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</si>
  <si>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</si>
  <si>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</si>
  <si>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</si>
  <si>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</si>
  <si>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</si>
  <si>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</si>
  <si>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</si>
  <si>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</si>
  <si>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</si>
  <si>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</si>
  <si>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</si>
  <si>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</si>
  <si>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</si>
  <si>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</si>
  <si>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</si>
  <si>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</si>
  <si>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</si>
  <si>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</si>
  <si>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</si>
  <si>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</si>
  <si>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</si>
  <si>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</si>
  <si>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</si>
  <si>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</si>
  <si>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</si>
  <si>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</si>
  <si>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</si>
  <si>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</si>
  <si>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</si>
  <si>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</si>
  <si>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</si>
  <si>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</si>
  <si>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</si>
  <si>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</si>
  <si>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</si>
  <si>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</si>
  <si>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</si>
  <si>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</si>
  <si>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</si>
  <si>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</si>
  <si>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</si>
  <si>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</si>
  <si>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</si>
  <si>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</si>
  <si>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</si>
  <si>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</si>
  <si>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</si>
  <si>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</si>
  <si>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</si>
  <si>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</si>
  <si>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</si>
  <si>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</si>
  <si>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</si>
  <si>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</si>
  <si>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</si>
  <si>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</si>
  <si>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</si>
  <si>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</si>
  <si>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</si>
  <si>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</si>
  <si>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</si>
  <si>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</si>
  <si>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</si>
  <si>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</si>
  <si>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</si>
  <si>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</si>
  <si>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</si>
  <si>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</si>
  <si>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</si>
  <si>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</si>
  <si>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</si>
  <si>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</si>
  <si>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</si>
  <si>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</si>
  <si>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</si>
  <si>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</si>
  <si>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</si>
  <si>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</si>
  <si>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</si>
  <si>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</si>
  <si>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</si>
  <si>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</si>
  <si>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</si>
  <si>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</si>
  <si>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</si>
  <si>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</si>
  <si>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</si>
  <si>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</si>
  <si>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</si>
  <si>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</si>
  <si>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</si>
  <si>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</si>
  <si>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</si>
  <si>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</si>
  <si>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</si>
  <si>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</si>
  <si>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</si>
  <si>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</si>
  <si>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</si>
  <si>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</si>
  <si>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</si>
  <si>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</si>
  <si>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</si>
  <si>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</si>
  <si>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</si>
  <si>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</si>
  <si>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</si>
  <si>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</si>
  <si>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</si>
  <si>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</si>
  <si>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</si>
  <si>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</si>
  <si>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</si>
  <si>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</si>
  <si>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</si>
  <si>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</si>
  <si>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</si>
  <si>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</si>
  <si>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</si>
  <si>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</si>
  <si>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</si>
  <si>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</si>
  <si>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</si>
  <si>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</si>
  <si>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</si>
  <si>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</si>
  <si>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</si>
  <si>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</si>
  <si>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</si>
  <si>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</si>
  <si>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</si>
  <si>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</si>
  <si>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</si>
  <si>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</si>
  <si>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</si>
  <si>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</si>
  <si>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</si>
  <si>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</si>
  <si>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</si>
  <si>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</si>
  <si>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</si>
  <si>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</si>
  <si>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</si>
  <si>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</si>
  <si>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</si>
  <si>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</si>
  <si>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</si>
  <si>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</si>
  <si>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</si>
  <si>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</si>
  <si>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</si>
  <si>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</si>
  <si>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</si>
  <si>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</si>
  <si>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</si>
  <si>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</si>
  <si>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</si>
  <si>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</si>
  <si>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</si>
  <si>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</si>
  <si>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</si>
  <si>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</si>
  <si>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</si>
  <si>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</si>
  <si>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</si>
  <si>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</si>
  <si>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</si>
  <si>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</si>
  <si>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</si>
  <si>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</si>
  <si>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</si>
  <si>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</si>
  <si>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</si>
  <si>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</si>
  <si>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</si>
  <si>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</si>
  <si>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</si>
  <si>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</si>
  <si>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</si>
  <si>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</si>
  <si>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</si>
  <si>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</si>
  <si>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</si>
  <si>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</si>
  <si>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</si>
  <si>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</si>
  <si>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</si>
  <si>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</si>
  <si>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</si>
  <si>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</si>
  <si>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</si>
  <si>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</si>
  <si>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</si>
  <si>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</si>
  <si>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</si>
  <si>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</si>
  <si>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</si>
  <si>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</si>
  <si>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</si>
  <si>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</si>
  <si>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</si>
  <si>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</si>
  <si>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</si>
  <si>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</si>
  <si>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</si>
  <si>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</si>
  <si>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</si>
  <si>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</si>
  <si>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</si>
  <si>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</si>
  <si>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</si>
  <si>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</si>
  <si>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</si>
  <si>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</si>
  <si>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</si>
  <si>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</si>
  <si>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</si>
  <si>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</si>
  <si>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</si>
  <si>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</si>
  <si>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</si>
  <si>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</si>
  <si>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</si>
  <si>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</si>
  <si>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</si>
  <si>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</si>
  <si>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</si>
  <si>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</si>
  <si>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</si>
  <si>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</si>
  <si>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</si>
  <si>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</si>
  <si>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</si>
  <si>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</si>
  <si>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</si>
  <si>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</si>
  <si>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</si>
  <si>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</si>
  <si>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</si>
  <si>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</si>
  <si>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</si>
  <si>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</si>
  <si>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</si>
  <si>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</si>
  <si>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</si>
  <si>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</si>
  <si>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</si>
  <si>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</si>
  <si>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</si>
  <si>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</si>
  <si>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</si>
  <si>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</si>
  <si>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</si>
  <si>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</si>
  <si>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</si>
  <si>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</si>
  <si>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</si>
  <si>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</si>
  <si>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</si>
  <si>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</si>
  <si>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</si>
  <si>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</si>
  <si>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</si>
  <si>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</si>
  <si>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</si>
  <si>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</si>
  <si>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</si>
  <si>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</si>
  <si>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</si>
  <si>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</si>
  <si>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</si>
  <si>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</si>
  <si>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</si>
  <si>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</si>
  <si>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</si>
  <si>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</si>
  <si>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</si>
  <si>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</si>
  <si>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</si>
  <si>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</si>
  <si>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</si>
  <si>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</si>
  <si>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</si>
  <si>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</si>
  <si>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</si>
  <si>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</si>
  <si>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</si>
  <si>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</si>
  <si>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</si>
  <si>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</si>
  <si>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</si>
  <si>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</si>
  <si>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</si>
  <si>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</si>
  <si>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</si>
  <si>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</si>
  <si>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</si>
  <si>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</si>
  <si>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</si>
  <si>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</si>
  <si>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</si>
  <si>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</si>
  <si>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</si>
  <si>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</si>
  <si>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</si>
  <si>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</si>
  <si>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</si>
  <si>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</si>
  <si>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</si>
  <si>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</si>
  <si>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</si>
  <si>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</si>
  <si>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</si>
  <si>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</si>
  <si>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</si>
  <si>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</si>
  <si>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</si>
  <si>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</si>
  <si>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</si>
  <si>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</si>
  <si>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</si>
  <si>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</si>
  <si>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</si>
  <si>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</si>
  <si>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</si>
  <si>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</si>
  <si>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</si>
  <si>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</si>
  <si>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</si>
  <si>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</si>
  <si>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</si>
  <si>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</si>
  <si>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</si>
  <si>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</si>
  <si>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</si>
  <si>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</si>
  <si>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</si>
  <si>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</si>
  <si>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</si>
  <si>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</si>
  <si>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</si>
  <si>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</si>
  <si>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</si>
  <si>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</si>
  <si>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</si>
  <si>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</si>
  <si>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</si>
  <si>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</si>
  <si>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</si>
  <si>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</si>
  <si>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</si>
  <si>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</si>
  <si>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</si>
  <si>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</si>
  <si>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</si>
  <si>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</si>
  <si>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</si>
  <si>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</si>
  <si>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</si>
  <si>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</si>
  <si>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</si>
  <si>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</si>
  <si>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</si>
  <si>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</si>
  <si>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</si>
  <si>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</si>
  <si>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</si>
  <si>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</si>
  <si>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</si>
  <si>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</si>
  <si>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</si>
  <si>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</si>
  <si>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</si>
  <si>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</si>
  <si>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</si>
  <si>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</si>
  <si>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</si>
  <si>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</si>
  <si>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</si>
  <si>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</si>
  <si>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</si>
  <si>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</si>
  <si>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</si>
  <si>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</si>
  <si>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</si>
  <si>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</si>
  <si>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</si>
  <si>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</si>
  <si>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</si>
  <si>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</si>
  <si>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</si>
  <si>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</si>
  <si>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</si>
  <si>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</si>
  <si>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</si>
  <si>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</si>
  <si>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</si>
  <si>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</si>
  <si>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</si>
  <si>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</si>
  <si>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</si>
  <si>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</si>
  <si>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</si>
  <si>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</si>
  <si>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</si>
  <si>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</si>
  <si>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</si>
  <si>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</si>
  <si>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</si>
  <si>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</si>
  <si>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</si>
  <si>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</si>
  <si>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</si>
  <si>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</si>
  <si>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</si>
  <si>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</si>
  <si>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</si>
  <si>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</si>
  <si>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</si>
  <si>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</si>
  <si>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</si>
  <si>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</si>
  <si>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</si>
  <si>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</si>
  <si>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</si>
  <si>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</si>
  <si>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</si>
  <si>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</si>
  <si>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</si>
  <si>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</si>
  <si>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</si>
  <si>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</si>
  <si>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</si>
  <si>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</si>
  <si>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</si>
  <si>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</si>
  <si>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</si>
  <si>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</si>
  <si>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</si>
  <si>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</si>
  <si>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</si>
  <si>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</si>
  <si>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</si>
  <si>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</si>
  <si>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</si>
  <si>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</si>
  <si>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</si>
  <si>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</si>
  <si>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</si>
  <si>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</si>
  <si>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</si>
  <si>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</si>
  <si>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</si>
  <si>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</si>
  <si>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</si>
  <si>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</si>
  <si>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</si>
  <si>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</si>
  <si>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</si>
  <si>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</si>
  <si>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</si>
  <si>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</si>
  <si>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</si>
  <si>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</si>
  <si>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</si>
  <si>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</si>
  <si>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</si>
  <si>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</si>
  <si>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</si>
  <si>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</si>
  <si>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</si>
  <si>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</si>
  <si>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</si>
  <si>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</si>
  <si>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</si>
  <si>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</si>
  <si>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</si>
  <si>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</si>
  <si>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</si>
  <si>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</si>
  <si>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</si>
  <si>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</si>
  <si>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</si>
  <si>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</si>
  <si>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</si>
  <si>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</si>
  <si>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</si>
  <si>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</si>
  <si>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</si>
  <si>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</si>
  <si>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</si>
  <si>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</si>
  <si>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</si>
  <si>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</si>
  <si>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</si>
  <si>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</si>
  <si>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</si>
  <si>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</si>
  <si>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</si>
  <si>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</si>
  <si>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</si>
  <si>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</si>
  <si>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</si>
  <si>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</si>
  <si>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</si>
  <si>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</si>
  <si>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</si>
  <si>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</si>
  <si>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</si>
  <si>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</si>
  <si>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</si>
  <si>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</si>
  <si>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</si>
  <si>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</si>
  <si>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</si>
  <si>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</si>
  <si>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</si>
  <si>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</si>
  <si>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</si>
  <si>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</si>
  <si>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</si>
  <si>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</si>
  <si>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</si>
  <si>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</si>
  <si>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</si>
  <si>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</si>
  <si>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</si>
  <si>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</si>
  <si>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</si>
  <si>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</si>
  <si>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</si>
  <si>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</si>
  <si>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</si>
  <si>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</si>
  <si>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</si>
  <si>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</si>
  <si>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</si>
  <si>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</si>
  <si>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</si>
  <si>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</si>
  <si>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</si>
  <si>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</si>
  <si>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</si>
  <si>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</si>
  <si>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</si>
  <si>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</si>
  <si>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</si>
  <si>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</si>
  <si>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</si>
  <si>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</si>
  <si>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</si>
  <si>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</si>
  <si>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</si>
  <si>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</si>
  <si>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</si>
  <si>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</si>
  <si>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</si>
  <si>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</si>
  <si>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</si>
  <si>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</si>
  <si>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</si>
  <si>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</si>
  <si>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</si>
  <si>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</si>
  <si>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</si>
  <si>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</si>
  <si>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</si>
  <si>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</si>
  <si>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</si>
  <si>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</si>
  <si>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</si>
  <si>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</si>
  <si>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</si>
  <si>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</si>
  <si>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</si>
  <si>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</si>
  <si>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</si>
  <si>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</si>
  <si>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</si>
  <si>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</si>
  <si>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</si>
  <si>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</si>
  <si>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</si>
  <si>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</si>
  <si>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</si>
  <si>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</si>
  <si>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</si>
  <si>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</si>
  <si>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</si>
  <si>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</si>
  <si>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</si>
  <si>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</si>
  <si>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</si>
  <si>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</si>
  <si>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</si>
  <si>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</si>
  <si>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</si>
  <si>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</si>
  <si>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</si>
  <si>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</si>
  <si>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</si>
  <si>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</si>
  <si>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</si>
  <si>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</si>
  <si>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</si>
  <si>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</si>
  <si>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</si>
  <si>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</si>
  <si>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</si>
  <si>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</si>
  <si>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</si>
  <si>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</si>
  <si>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</si>
  <si>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</si>
  <si>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</si>
  <si>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</si>
  <si>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</si>
  <si>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</si>
  <si>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</si>
  <si>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</si>
  <si>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</si>
  <si>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</si>
  <si>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</si>
  <si>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</si>
  <si>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</si>
  <si>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</si>
  <si>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</si>
  <si>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</si>
  <si>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</si>
  <si>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</si>
  <si>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</si>
  <si>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</si>
  <si>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</si>
  <si>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</si>
  <si>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</si>
  <si>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</si>
  <si>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</si>
  <si>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</si>
  <si>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</si>
  <si>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</si>
  <si>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</si>
  <si>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</si>
  <si>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</si>
  <si>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</si>
  <si>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</si>
  <si>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</si>
  <si>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</si>
  <si>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</si>
  <si>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</si>
  <si>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</si>
  <si>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</si>
  <si>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</si>
  <si>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</si>
  <si>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</si>
  <si>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</si>
  <si>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</si>
  <si>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</si>
  <si>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</si>
  <si>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</si>
  <si>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</si>
  <si>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</si>
  <si>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</si>
  <si>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</si>
  <si>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</si>
  <si>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</si>
  <si>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</si>
  <si>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</si>
  <si>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</si>
  <si>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</si>
  <si>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</si>
  <si>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</si>
  <si>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</si>
  <si>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</si>
  <si>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</si>
  <si>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</si>
  <si>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</si>
  <si>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</si>
  <si>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</si>
  <si>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</si>
  <si>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</si>
  <si>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</si>
  <si>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</si>
  <si>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</si>
  <si>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</si>
  <si>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</si>
  <si>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</si>
  <si>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</si>
  <si>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</si>
  <si>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</si>
  <si>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</si>
  <si>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</si>
  <si>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</si>
  <si>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</si>
  <si>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</si>
  <si>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</si>
  <si>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</si>
  <si>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</si>
  <si>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</si>
  <si>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</si>
  <si>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</si>
  <si>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</si>
  <si>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</si>
  <si>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</si>
  <si>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</si>
  <si>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</si>
  <si>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</si>
  <si>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</si>
  <si>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</si>
  <si>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</si>
  <si>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</si>
  <si>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</si>
  <si>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</si>
  <si>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</si>
  <si>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</si>
  <si>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</si>
  <si>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</si>
  <si>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</si>
  <si>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</si>
  <si>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</si>
  <si>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</si>
  <si>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</si>
  <si>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</si>
  <si>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</si>
  <si>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</si>
  <si>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</si>
  <si>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</si>
  <si>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</si>
  <si>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</si>
  <si>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</si>
  <si>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</si>
  <si>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</si>
  <si>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</si>
  <si>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</si>
  <si>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</si>
  <si>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</si>
  <si>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</si>
  <si>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</si>
  <si>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</si>
  <si>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</si>
  <si>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</si>
  <si>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</si>
  <si>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</si>
  <si>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</si>
  <si>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</si>
  <si>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</si>
  <si>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</si>
  <si>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</si>
  <si>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</si>
  <si>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</si>
  <si>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</si>
  <si>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</si>
  <si>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</si>
  <si>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</si>
  <si>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</si>
  <si>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</si>
  <si>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</si>
  <si>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</si>
  <si>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</si>
  <si>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</si>
  <si>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</si>
  <si>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</si>
  <si>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</si>
  <si>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</si>
  <si>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</si>
  <si>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</si>
  <si>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</si>
  <si>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</si>
  <si>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</si>
  <si>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</si>
  <si>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</si>
  <si>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</si>
  <si>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</si>
  <si>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</si>
  <si>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</si>
  <si>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</si>
  <si>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</si>
  <si>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</si>
  <si>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</si>
  <si>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</si>
  <si>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</si>
  <si>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</si>
  <si>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</si>
  <si>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</si>
  <si>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</si>
  <si>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</si>
  <si>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</si>
  <si>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</si>
  <si>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</si>
  <si>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</si>
  <si>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</si>
  <si>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</si>
  <si>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</si>
  <si>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</si>
  <si>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</si>
  <si>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</si>
  <si>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</si>
  <si>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</si>
  <si>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</si>
  <si>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</si>
  <si>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</si>
  <si>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</si>
  <si>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</si>
  <si>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</si>
  <si>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</si>
  <si>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</si>
  <si>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</si>
  <si>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</si>
  <si>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</si>
  <si>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</si>
  <si>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</si>
  <si>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</si>
  <si>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</si>
  <si>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</si>
  <si>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</si>
  <si>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</si>
  <si>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</si>
  <si>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</si>
  <si>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</si>
  <si>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</si>
  <si>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</si>
  <si>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</si>
  <si>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</si>
  <si>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</si>
  <si>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</si>
  <si>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</si>
  <si>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</si>
  <si>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</si>
  <si>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</si>
  <si>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</si>
  <si>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</si>
  <si>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</si>
  <si>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</si>
  <si>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</si>
  <si>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</si>
  <si>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</si>
  <si>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</si>
  <si>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</si>
  <si>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</si>
  <si>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</si>
  <si>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</si>
  <si>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</si>
  <si>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</si>
  <si>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</si>
  <si>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</si>
  <si>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</si>
  <si>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</si>
  <si>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</si>
  <si>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</si>
  <si>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</si>
  <si>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</si>
  <si>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</si>
  <si>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</si>
  <si>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</si>
  <si>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</si>
  <si>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</si>
  <si>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</si>
  <si>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</si>
  <si>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</si>
  <si>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</si>
  <si>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</si>
  <si>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</si>
  <si>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</si>
  <si>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</si>
  <si>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</si>
  <si>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</si>
  <si>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</si>
  <si>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</si>
  <si>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</si>
  <si>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</si>
  <si>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</si>
  <si>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</si>
  <si>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</si>
  <si>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</si>
  <si>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</si>
  <si>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</si>
  <si>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</si>
  <si>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</si>
  <si>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</si>
  <si>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</si>
  <si>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</si>
  <si>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</si>
  <si>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</si>
  <si>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</si>
  <si>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</si>
  <si>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</si>
  <si>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</si>
  <si>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</si>
  <si>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</si>
  <si>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</si>
  <si>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</si>
  <si>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</si>
  <si>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</si>
  <si>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</si>
  <si>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</si>
  <si>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</si>
  <si>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</si>
  <si>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</si>
  <si>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</si>
  <si>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</si>
  <si>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</si>
  <si>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</si>
  <si>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</si>
  <si>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</si>
  <si>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</si>
  <si>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</si>
  <si>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</si>
  <si>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</si>
  <si>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</si>
  <si>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</si>
  <si>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</si>
  <si>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</si>
  <si>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</si>
  <si>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</si>
  <si>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</si>
  <si>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</si>
  <si>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</si>
  <si>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</si>
  <si>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</si>
  <si>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</si>
  <si>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</si>
  <si>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</si>
  <si>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</si>
  <si>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</si>
  <si>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</si>
  <si>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</si>
  <si>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</si>
  <si>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</si>
  <si>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</si>
  <si>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</si>
  <si>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</si>
  <si>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</si>
  <si>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</si>
  <si>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</si>
  <si>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</si>
  <si>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</si>
  <si>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</si>
  <si>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</si>
  <si>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</si>
  <si>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</si>
  <si>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</si>
  <si>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</si>
  <si>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</si>
  <si>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</si>
  <si>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</si>
  <si>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</si>
  <si>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</si>
  <si>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</si>
  <si>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</si>
  <si>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</si>
  <si>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</si>
  <si>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</si>
  <si>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</si>
  <si>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</si>
  <si>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</si>
  <si>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</si>
  <si>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</si>
  <si>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</si>
  <si>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</si>
  <si>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</si>
  <si>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</si>
  <si>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</si>
  <si>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</si>
  <si>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</si>
  <si>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</si>
  <si>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</si>
  <si>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</si>
  <si>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</si>
  <si>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</si>
  <si>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</si>
  <si>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</si>
  <si>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</si>
  <si>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</si>
  <si>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</si>
  <si>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</si>
  <si>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</si>
  <si>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</si>
  <si>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</si>
  <si>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</si>
  <si>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</si>
  <si>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</si>
  <si>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</si>
  <si>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</si>
  <si>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</si>
  <si>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</si>
  <si>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</si>
  <si>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</si>
  <si>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</si>
  <si>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</si>
  <si>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</si>
  <si>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</si>
  <si>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</si>
  <si>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</si>
  <si>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</si>
  <si>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</si>
  <si>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</si>
  <si>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</si>
  <si>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</si>
  <si>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</si>
  <si>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</si>
  <si>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</si>
  <si>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</si>
  <si>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</si>
  <si>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</si>
  <si>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</si>
  <si>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</si>
  <si>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</si>
  <si>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</si>
  <si>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</si>
  <si>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</si>
  <si>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</si>
  <si>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</si>
  <si>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</si>
  <si>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</si>
  <si>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</si>
  <si>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</si>
  <si>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</si>
  <si>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</si>
  <si>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</si>
  <si>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</si>
  <si>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</si>
  <si>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</si>
  <si>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</si>
  <si>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</si>
  <si>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</si>
  <si>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</si>
  <si>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</si>
  <si>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</si>
  <si>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</si>
  <si>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</si>
  <si>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</si>
  <si>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</si>
  <si>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</si>
  <si>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</si>
  <si>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</si>
  <si>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</si>
  <si>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</si>
  <si>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</si>
  <si>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</si>
  <si>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</si>
  <si>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</si>
  <si>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</si>
  <si>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</si>
  <si>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</si>
  <si>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</si>
  <si>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</si>
  <si>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</si>
  <si>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</si>
  <si>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</si>
  <si>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</si>
  <si>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</si>
  <si>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</si>
  <si>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</si>
  <si>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</si>
  <si>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</si>
  <si>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</si>
  <si>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</si>
  <si>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</si>
  <si>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</si>
  <si>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</si>
  <si>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</si>
  <si>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</si>
  <si>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</si>
  <si>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</si>
  <si>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</si>
  <si>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</si>
  <si>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</si>
  <si>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</si>
  <si>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</si>
  <si>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</si>
  <si>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</si>
  <si>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</si>
  <si>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</si>
  <si>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</si>
  <si>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</si>
  <si>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</si>
  <si>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</si>
  <si>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</si>
  <si>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</si>
  <si>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</si>
  <si>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</si>
  <si>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</si>
  <si>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</si>
  <si>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</si>
  <si>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</si>
  <si>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</si>
  <si>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</si>
  <si>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</si>
  <si>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</si>
  <si>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</si>
  <si>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</si>
  <si>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</si>
  <si>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</si>
  <si>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</si>
  <si>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</si>
  <si>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</si>
  <si>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</si>
  <si>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</si>
  <si>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</si>
  <si>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</si>
  <si>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</si>
  <si>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</si>
  <si>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</si>
  <si>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</si>
  <si>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</si>
  <si>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</si>
  <si>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</si>
  <si>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</si>
  <si>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</si>
  <si>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</si>
  <si>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</si>
  <si>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</si>
  <si>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</si>
  <si>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</si>
  <si>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</si>
  <si>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</si>
  <si>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</si>
  <si>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</si>
  <si>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</si>
  <si>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</si>
  <si>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</si>
  <si>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</si>
  <si>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</si>
  <si>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</si>
  <si>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</si>
  <si>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</si>
  <si>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</si>
  <si>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</si>
  <si>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</si>
  <si>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</si>
  <si>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</si>
  <si>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</si>
  <si>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</si>
  <si>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</si>
  <si>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</si>
  <si>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</si>
  <si>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</si>
  <si>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</si>
  <si>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</si>
  <si>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</si>
  <si>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</si>
  <si>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</si>
  <si>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</si>
  <si>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</si>
  <si>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</si>
  <si>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</si>
  <si>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</si>
  <si>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</si>
  <si>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</si>
  <si>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</si>
  <si>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</si>
  <si>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</si>
  <si>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</si>
  <si>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</si>
  <si>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</si>
  <si>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</si>
  <si>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</si>
  <si>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</si>
  <si>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</si>
  <si>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</si>
  <si>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</si>
  <si>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</si>
  <si>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</si>
  <si>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</si>
  <si>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</si>
  <si>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</si>
  <si>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</si>
  <si>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</si>
  <si>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</si>
  <si>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</si>
  <si>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</si>
  <si>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</si>
  <si>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</si>
  <si>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</si>
  <si>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</si>
  <si>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</si>
  <si>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</si>
  <si>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</si>
  <si>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</si>
  <si>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</si>
  <si>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</si>
  <si>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</si>
  <si>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</si>
  <si>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</si>
  <si>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</si>
  <si>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</si>
  <si>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</si>
  <si>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</si>
  <si>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</si>
  <si>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</si>
  <si>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</si>
  <si>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</si>
  <si>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</si>
  <si>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</si>
  <si>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</si>
  <si>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</si>
  <si>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</si>
  <si>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</si>
  <si>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</si>
  <si>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</si>
  <si>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</si>
  <si>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</si>
  <si>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</si>
  <si>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</si>
  <si>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</si>
  <si>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</si>
  <si>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</si>
  <si>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</si>
  <si>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</si>
  <si>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</si>
  <si>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</si>
  <si>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</si>
  <si>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</si>
  <si>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</si>
  <si>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</si>
  <si>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</si>
  <si>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</si>
  <si>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</si>
  <si>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</si>
  <si>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</si>
  <si>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</si>
  <si>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</si>
  <si>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</si>
  <si>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</si>
  <si>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</si>
  <si>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</si>
  <si>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</si>
  <si>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</si>
  <si>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</si>
  <si>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</si>
  <si>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</si>
  <si>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</si>
  <si>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</si>
  <si>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</si>
  <si>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</si>
  <si>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</si>
  <si>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</si>
  <si>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</si>
  <si>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</si>
  <si>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</si>
  <si>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</si>
  <si>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</si>
  <si>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</si>
  <si>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</si>
  <si>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</si>
  <si>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</si>
  <si>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</si>
  <si>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</si>
  <si>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</si>
  <si>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</si>
  <si>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</si>
  <si>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</si>
  <si>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</si>
  <si>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</si>
  <si>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</si>
  <si>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</si>
  <si>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</si>
  <si>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</si>
  <si>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</si>
  <si>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</si>
  <si>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</si>
  <si>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</si>
  <si>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</si>
  <si>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</si>
  <si>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</si>
  <si>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</si>
  <si>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</si>
  <si>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</si>
  <si>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</si>
  <si>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</si>
  <si>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</si>
  <si>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</si>
  <si>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</si>
  <si>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</si>
  <si>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</si>
  <si>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</si>
  <si>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</si>
  <si>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</si>
  <si>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</si>
  <si>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</si>
  <si>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</si>
  <si>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</si>
  <si>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</si>
  <si>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</si>
  <si>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</si>
  <si>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</si>
  <si>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</si>
  <si>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</si>
  <si>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</si>
  <si>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</si>
  <si>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</si>
  <si>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</si>
  <si>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</si>
  <si>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</si>
  <si>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</si>
  <si>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</si>
  <si>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</si>
  <si>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</si>
  <si>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</si>
  <si>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</si>
  <si>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</si>
  <si>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</si>
  <si>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</si>
  <si>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</si>
  <si>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</si>
  <si>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</si>
  <si>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</si>
  <si>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</si>
  <si>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</si>
  <si>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</si>
  <si>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</si>
  <si>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</si>
  <si>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</si>
  <si>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</si>
  <si>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</si>
  <si>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</si>
  <si>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</si>
  <si>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</si>
  <si>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</si>
  <si>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</si>
  <si>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</si>
  <si>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</si>
  <si>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</si>
  <si>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</si>
  <si>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</si>
  <si>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</si>
  <si>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</si>
  <si>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</si>
  <si>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</si>
  <si>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</si>
  <si>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</si>
  <si>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</si>
  <si>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</si>
  <si>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</si>
  <si>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</si>
  <si>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</si>
  <si>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</si>
  <si>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</si>
  <si>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</si>
  <si>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</si>
  <si>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</si>
  <si>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</si>
  <si>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</si>
  <si>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</si>
  <si>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</si>
  <si>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</si>
  <si>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</si>
  <si>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</si>
  <si>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</si>
  <si>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</si>
  <si>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</si>
  <si>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</si>
  <si>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</si>
  <si>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</si>
  <si>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</si>
  <si>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</si>
  <si>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</si>
  <si>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</si>
  <si>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</si>
  <si>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</si>
  <si>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</si>
  <si>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</si>
  <si>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</si>
  <si>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</si>
  <si>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</si>
  <si>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</si>
  <si>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</si>
  <si>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</si>
  <si>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</si>
  <si>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</si>
  <si>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</si>
  <si>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</si>
  <si>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</si>
  <si>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</si>
  <si>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</si>
  <si>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</si>
  <si>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</si>
  <si>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</si>
  <si>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</si>
  <si>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</si>
  <si>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</si>
  <si>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</si>
  <si>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</si>
  <si>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</si>
  <si>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</si>
  <si>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</si>
  <si>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</si>
  <si>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</si>
  <si>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</si>
  <si>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</si>
  <si>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</si>
  <si>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</si>
  <si>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</si>
  <si>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</si>
  <si>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</si>
  <si>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</si>
  <si>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</si>
  <si>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</si>
  <si>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</si>
  <si>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</si>
  <si>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</si>
  <si>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</si>
  <si>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</si>
  <si>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</si>
  <si>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</si>
  <si>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</si>
  <si>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</si>
  <si>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</si>
  <si>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</si>
  <si>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</si>
  <si>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</si>
  <si>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</si>
  <si>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</si>
  <si>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</si>
  <si>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</si>
  <si>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</si>
  <si>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</si>
  <si>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</si>
  <si>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</si>
  <si>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</si>
  <si>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</si>
  <si>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</si>
  <si>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</si>
  <si>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</si>
  <si>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</si>
  <si>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</si>
  <si>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</si>
  <si>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</si>
  <si>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</si>
  <si>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</si>
  <si>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</si>
  <si>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</si>
  <si>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</si>
  <si>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</si>
  <si>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</si>
  <si>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</si>
  <si>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</si>
  <si>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</si>
  <si>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</si>
  <si>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</si>
  <si>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</si>
  <si>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</si>
  <si>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</si>
  <si>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</si>
  <si>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</si>
  <si>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</si>
  <si>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</si>
  <si>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</si>
  <si>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</si>
  <si>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</si>
  <si>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</si>
  <si>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</si>
  <si>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</si>
  <si>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</si>
  <si>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</si>
  <si>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</si>
  <si>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</si>
  <si>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</si>
  <si>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</si>
  <si>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</si>
  <si>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</si>
  <si>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</si>
  <si>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</si>
  <si>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</si>
  <si>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</si>
  <si>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</si>
  <si>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</si>
  <si>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</si>
  <si>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</si>
  <si>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</si>
  <si>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</si>
  <si>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</si>
  <si>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</si>
  <si>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</si>
  <si>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</si>
  <si>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</si>
  <si>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</si>
  <si>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</si>
  <si>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</si>
  <si>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</si>
  <si>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</si>
  <si>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</si>
  <si>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</si>
  <si>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</si>
  <si>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</si>
  <si>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</si>
  <si>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</si>
  <si>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</si>
  <si>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</si>
  <si>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</si>
  <si>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</si>
  <si>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</si>
  <si>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</si>
  <si>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</si>
  <si>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</si>
  <si>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</si>
  <si>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</si>
  <si>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</si>
  <si>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</si>
  <si>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</si>
  <si>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</si>
  <si>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</si>
  <si>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</si>
  <si>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</si>
  <si>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</si>
  <si>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</si>
  <si>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</si>
  <si>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</si>
  <si>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</si>
  <si>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</si>
  <si>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</si>
  <si>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</si>
  <si>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</si>
  <si>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</si>
  <si>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</si>
  <si>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</si>
  <si>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</si>
  <si>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</si>
  <si>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</si>
  <si>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</si>
  <si>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</si>
  <si>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</si>
  <si>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</si>
  <si>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</si>
  <si>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</si>
  <si>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</si>
  <si>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</si>
  <si>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</si>
  <si>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</si>
  <si>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</si>
  <si>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</si>
  <si>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</si>
  <si>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</si>
  <si>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</si>
  <si>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</si>
  <si>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</si>
  <si>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</si>
  <si>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</si>
  <si>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</si>
  <si>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</si>
  <si>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</si>
  <si>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</si>
  <si>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</si>
  <si>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</si>
  <si>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</si>
  <si>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</si>
  <si>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</si>
  <si>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</si>
  <si>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</si>
  <si>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</si>
  <si>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</si>
  <si>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</si>
  <si>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</si>
  <si>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</si>
  <si>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</si>
  <si>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</si>
  <si>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</si>
  <si>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</si>
  <si>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</si>
  <si>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</si>
  <si>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</si>
  <si>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</si>
  <si>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</si>
  <si>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</si>
  <si>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</si>
  <si>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</si>
  <si>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</si>
  <si>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</si>
  <si>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</si>
  <si>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</si>
  <si>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</si>
  <si>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</si>
  <si>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</si>
  <si>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</si>
  <si>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</si>
  <si>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</si>
  <si>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</si>
  <si>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</si>
  <si>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</si>
  <si>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</si>
  <si>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</si>
  <si>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</si>
  <si>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</si>
  <si>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</si>
  <si>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</si>
  <si>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</si>
  <si>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</si>
  <si>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</si>
  <si>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</si>
  <si>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</si>
  <si>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</si>
  <si>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</si>
  <si>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</si>
  <si>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</si>
  <si>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</si>
  <si>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</si>
  <si>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</si>
  <si>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</si>
  <si>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</si>
  <si>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</si>
  <si>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</si>
  <si>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</si>
  <si>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</si>
  <si>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</si>
  <si>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</si>
  <si>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</si>
  <si>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</si>
  <si>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</si>
  <si>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</si>
  <si>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</si>
  <si>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</si>
  <si>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</si>
  <si>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</si>
  <si>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</si>
  <si>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</si>
  <si>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</si>
  <si>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</si>
  <si>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</si>
  <si>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</si>
  <si>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</si>
  <si>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</si>
  <si>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</si>
  <si>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</si>
  <si>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</si>
  <si>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</si>
  <si>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</si>
  <si>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</si>
  <si>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</si>
  <si>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</si>
  <si>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</si>
  <si>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</si>
  <si>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</si>
  <si>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</si>
  <si>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</si>
  <si>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</si>
  <si>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</si>
  <si>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</si>
  <si>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</si>
  <si>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</si>
  <si>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</si>
  <si>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</si>
  <si>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</si>
  <si>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</si>
  <si>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</si>
  <si>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</si>
  <si>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</si>
  <si>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</si>
  <si>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</si>
  <si>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</si>
  <si>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</si>
  <si>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</si>
  <si>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</si>
  <si>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</si>
  <si>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</si>
  <si>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</si>
  <si>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</si>
  <si>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</si>
  <si>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</si>
  <si>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</si>
  <si>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</si>
  <si>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</si>
  <si>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</si>
  <si>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</si>
  <si>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</si>
  <si>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</si>
  <si>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</si>
  <si>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</si>
  <si>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</si>
  <si>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</si>
  <si>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</si>
  <si>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</si>
  <si>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</si>
  <si>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</si>
  <si>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</si>
  <si>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</si>
  <si>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</si>
  <si>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</si>
  <si>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</si>
  <si>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</si>
  <si>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</si>
  <si>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</si>
  <si>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</si>
  <si>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</si>
  <si>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</si>
  <si>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</si>
  <si>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</si>
  <si>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</si>
  <si>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</si>
  <si>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</si>
  <si>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</si>
  <si>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</si>
  <si>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</si>
  <si>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</si>
  <si>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</si>
  <si>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</si>
  <si>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</si>
  <si>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</si>
  <si>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</si>
  <si>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</si>
  <si>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</si>
  <si>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</si>
  <si>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</si>
  <si>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</si>
  <si>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</si>
  <si>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</si>
  <si>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</si>
  <si>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</si>
  <si>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</si>
  <si>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</si>
  <si>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</si>
  <si>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</si>
  <si>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</si>
  <si>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</si>
  <si>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</si>
  <si>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</si>
  <si>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</si>
  <si>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</si>
  <si>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</si>
  <si>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</si>
  <si>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</si>
  <si>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</si>
  <si>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</si>
  <si>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</si>
  <si>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</si>
  <si>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</si>
  <si>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</si>
  <si>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</si>
  <si>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</si>
  <si>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</si>
  <si>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</si>
  <si>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</si>
  <si>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</si>
  <si>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</si>
  <si>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</si>
  <si>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</si>
  <si>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</si>
  <si>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</si>
  <si>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</si>
  <si>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</si>
  <si>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</si>
  <si>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</si>
  <si>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</si>
  <si>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</si>
  <si>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</si>
  <si>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</si>
  <si>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</si>
  <si>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</si>
  <si>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</si>
  <si>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</si>
  <si>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</si>
  <si>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</si>
  <si>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</si>
  <si>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</si>
  <si>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</si>
  <si>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</si>
  <si>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</si>
  <si>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</si>
  <si>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</si>
  <si>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</si>
  <si>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</si>
  <si>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</si>
  <si>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</si>
  <si>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</si>
  <si>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</si>
  <si>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</si>
  <si>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</si>
  <si>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</si>
  <si>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</si>
  <si>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</si>
  <si>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</si>
  <si>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</si>
  <si>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</si>
  <si>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</si>
  <si>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</si>
  <si>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</si>
  <si>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</si>
  <si>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</si>
  <si>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</si>
  <si>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</si>
  <si>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</si>
  <si>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</si>
  <si>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</si>
  <si>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</si>
  <si>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</si>
  <si>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</si>
  <si>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</si>
  <si>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</si>
  <si>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</si>
  <si>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</si>
  <si>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</si>
  <si>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</si>
  <si>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</si>
  <si>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</si>
  <si>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</si>
  <si>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</si>
  <si>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</si>
  <si>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</si>
  <si>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</si>
  <si>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</si>
  <si>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</si>
  <si>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</si>
  <si>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</si>
  <si>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</si>
  <si>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</si>
  <si>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</si>
  <si>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</si>
  <si>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</si>
  <si>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</si>
  <si>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</si>
  <si>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</si>
  <si>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</si>
  <si>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</si>
  <si>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</si>
  <si>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</si>
  <si>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</si>
  <si>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</si>
  <si>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</si>
  <si>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</si>
  <si>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</si>
  <si>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</si>
  <si>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</si>
  <si>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</si>
  <si>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</si>
  <si>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</si>
  <si>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</si>
  <si>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</si>
  <si>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</si>
  <si>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</si>
  <si>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</si>
  <si>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</si>
  <si>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</si>
  <si>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</si>
  <si>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</si>
  <si>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</si>
  <si>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</si>
  <si>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</si>
  <si>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</si>
  <si>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</si>
  <si>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</si>
  <si>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</si>
  <si>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</si>
  <si>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</si>
  <si>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</si>
  <si>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</si>
  <si>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</si>
  <si>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</si>
  <si>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</si>
  <si>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</si>
  <si>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</si>
  <si>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</si>
  <si>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</si>
  <si>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</si>
  <si>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</si>
  <si>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</si>
  <si>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</si>
  <si>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</si>
  <si>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</si>
  <si>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</si>
  <si>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</si>
  <si>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</si>
  <si>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</si>
  <si>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</si>
  <si>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</si>
  <si>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</si>
  <si>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</si>
  <si>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</si>
  <si>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</si>
  <si>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</si>
  <si>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</si>
  <si>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</si>
  <si>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</si>
  <si>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</si>
  <si>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</si>
  <si>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</si>
  <si>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</si>
  <si>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</si>
  <si>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</si>
  <si>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</si>
  <si>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</si>
  <si>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</si>
  <si>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</si>
  <si>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</si>
  <si>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</si>
  <si>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</si>
  <si>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</si>
  <si>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</si>
  <si>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</si>
  <si>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</si>
  <si>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</si>
  <si>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</si>
  <si>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</si>
  <si>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</si>
  <si>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</si>
  <si>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</si>
  <si>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</si>
  <si>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</si>
  <si>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</si>
  <si>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</si>
  <si>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</si>
  <si>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</si>
  <si>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</si>
  <si>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</si>
  <si>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</si>
  <si>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</si>
  <si>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</si>
  <si>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</si>
  <si>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</si>
  <si>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</si>
  <si>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</si>
  <si>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</si>
  <si>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</si>
  <si>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</si>
  <si>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</si>
  <si>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</si>
  <si>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</si>
  <si>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</si>
  <si>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</si>
  <si>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</si>
  <si>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</si>
  <si>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</si>
  <si>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</si>
  <si>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</si>
  <si>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</si>
  <si>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</si>
  <si>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</si>
  <si>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</si>
  <si>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</si>
  <si>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</si>
  <si>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</si>
  <si>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</si>
  <si>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</si>
  <si>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</si>
  <si>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</si>
  <si>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</si>
  <si>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</si>
  <si>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</si>
  <si>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</si>
  <si>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</si>
  <si>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</si>
  <si>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</si>
  <si>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</si>
  <si>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</si>
  <si>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</si>
  <si>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</si>
  <si>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</si>
  <si>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</si>
  <si>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</si>
  <si>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</si>
  <si>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</si>
  <si>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</si>
  <si>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</si>
  <si>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</si>
  <si>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</si>
  <si>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</si>
  <si>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</si>
  <si>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</si>
  <si>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</si>
  <si>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</si>
  <si>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</si>
  <si>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</si>
  <si>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</si>
  <si>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</si>
  <si>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</si>
  <si>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</si>
  <si>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</si>
  <si>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</si>
  <si>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</si>
  <si>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</si>
  <si>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</si>
  <si>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</si>
  <si>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</si>
  <si>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</si>
  <si>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</si>
  <si>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</si>
  <si>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</si>
  <si>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</si>
  <si>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</si>
  <si>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</si>
  <si>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</si>
  <si>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</si>
  <si>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</si>
  <si>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</si>
  <si>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</si>
  <si>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</si>
  <si>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</si>
  <si>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</si>
  <si>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</si>
  <si>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</si>
  <si>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</si>
  <si>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</si>
  <si>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</si>
  <si>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</si>
  <si>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</si>
  <si>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</si>
  <si>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</si>
  <si>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</si>
  <si>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</si>
  <si>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</si>
  <si>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</si>
  <si>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</si>
  <si>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</si>
  <si>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</si>
  <si>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</si>
  <si>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</si>
  <si>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</si>
  <si>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</si>
  <si>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</si>
  <si>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</si>
  <si>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</si>
  <si>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</si>
  <si>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</si>
  <si>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</si>
  <si>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</si>
  <si>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</si>
  <si>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</si>
  <si>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</si>
  <si>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</si>
  <si>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</si>
  <si>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</si>
  <si>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</si>
  <si>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</si>
  <si>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</si>
  <si>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</si>
  <si>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</si>
  <si>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</si>
  <si>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</si>
  <si>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</si>
  <si>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</si>
  <si>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</si>
  <si>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</si>
  <si>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</si>
  <si>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</si>
  <si>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</si>
  <si>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</si>
  <si>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</si>
  <si>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</si>
  <si>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</si>
  <si>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</si>
  <si>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</si>
  <si>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</si>
  <si>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</si>
  <si>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</si>
  <si>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</si>
  <si>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</si>
  <si>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</si>
  <si>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</si>
  <si>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</si>
  <si>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</si>
  <si>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</si>
  <si>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</si>
  <si>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</si>
  <si>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</si>
  <si>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</si>
  <si>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</si>
  <si>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</si>
  <si>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</si>
  <si>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</si>
  <si>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</si>
  <si>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</si>
  <si>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</si>
  <si>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</si>
  <si>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</si>
  <si>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</si>
  <si>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</si>
  <si>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</si>
  <si>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</si>
  <si>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</si>
  <si>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</si>
  <si>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</si>
  <si>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</si>
  <si>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</si>
  <si>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</si>
  <si>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</si>
  <si>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</si>
  <si>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</si>
  <si>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</si>
  <si>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</si>
  <si>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</si>
  <si>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</si>
  <si>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</si>
  <si>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</si>
  <si>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</si>
  <si>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</si>
  <si>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</si>
  <si>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</si>
  <si>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</si>
  <si>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</si>
  <si>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</si>
  <si>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</si>
  <si>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</si>
  <si>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</si>
  <si>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</si>
  <si>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</si>
  <si>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</si>
  <si>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</si>
  <si>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</si>
  <si>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</si>
  <si>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</si>
  <si>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</si>
  <si>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</si>
  <si>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</si>
  <si>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</si>
  <si>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</si>
  <si>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</si>
  <si>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</si>
  <si>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</si>
  <si>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</si>
  <si>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</si>
  <si>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</si>
  <si>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</si>
  <si>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</si>
  <si>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</si>
  <si>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</si>
  <si>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</si>
  <si>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</si>
  <si>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</si>
  <si>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</si>
  <si>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</si>
  <si>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</si>
  <si>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</si>
  <si>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</si>
  <si>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</si>
  <si>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</si>
  <si>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</si>
  <si>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</si>
  <si>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</si>
  <si>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</si>
  <si>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</si>
  <si>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</si>
  <si>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</si>
  <si>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</si>
  <si>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</si>
  <si>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</si>
  <si>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</si>
  <si>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</si>
  <si>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</si>
  <si>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</si>
  <si>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</si>
  <si>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</si>
  <si>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</si>
  <si>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</si>
  <si>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</si>
  <si>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</si>
  <si>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</si>
  <si>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</si>
  <si>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</si>
  <si>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</si>
  <si>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</si>
  <si>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</si>
  <si>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</si>
  <si>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</si>
  <si>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</si>
  <si>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</si>
  <si>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</si>
  <si>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</si>
  <si>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</si>
  <si>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</si>
  <si>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</si>
  <si>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</si>
  <si>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</si>
  <si>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</si>
  <si>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</si>
  <si>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</si>
  <si>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</si>
  <si>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</si>
  <si>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</si>
  <si>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</si>
  <si>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</si>
  <si>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</si>
  <si>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</si>
  <si>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</si>
  <si>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</si>
  <si>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</si>
  <si>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</si>
  <si>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</si>
  <si>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</si>
  <si>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</si>
  <si>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</si>
  <si>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</si>
  <si>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</si>
  <si>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</si>
  <si>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</si>
  <si>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</si>
  <si>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</si>
  <si>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</si>
  <si>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</si>
  <si>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</si>
  <si>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</si>
  <si>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</si>
  <si>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</si>
  <si>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</si>
  <si>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</si>
  <si>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</si>
  <si>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</si>
  <si>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</si>
  <si>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</si>
  <si>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</si>
  <si>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</si>
  <si>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</si>
  <si>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</si>
  <si>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</si>
  <si>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</si>
  <si>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</si>
  <si>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</si>
  <si>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</si>
  <si>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</si>
  <si>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</si>
  <si>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</si>
  <si>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</si>
  <si>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</si>
  <si>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</si>
  <si>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</si>
  <si>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</si>
  <si>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</si>
  <si>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</si>
  <si>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</si>
  <si>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</si>
  <si>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</si>
  <si>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</si>
  <si>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</si>
  <si>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</si>
  <si>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</si>
  <si>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</si>
  <si>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</si>
  <si>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</si>
  <si>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</si>
  <si>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</si>
  <si>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</si>
  <si>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</si>
  <si>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</si>
  <si>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</si>
  <si>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</si>
  <si>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</si>
  <si>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</si>
  <si>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</si>
  <si>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</si>
  <si>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</si>
  <si>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</si>
  <si>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</si>
  <si>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</si>
  <si>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</si>
  <si>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</si>
  <si>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</si>
  <si>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</si>
  <si>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</si>
  <si>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</si>
  <si>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</si>
  <si>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</si>
  <si>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</si>
  <si>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</si>
  <si>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</si>
  <si>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</si>
  <si>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</si>
  <si>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</si>
  <si>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</si>
  <si>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</si>
  <si>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</si>
  <si>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</si>
  <si>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</si>
  <si>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</si>
  <si>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</si>
  <si>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</si>
  <si>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</si>
  <si>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</si>
  <si>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</si>
  <si>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</si>
  <si>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</si>
  <si>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</si>
  <si>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</si>
  <si>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</si>
  <si>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</si>
  <si>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</si>
  <si>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</si>
  <si>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</si>
  <si>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</si>
  <si>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</si>
  <si>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</si>
  <si>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</si>
  <si>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</si>
  <si>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</si>
  <si>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</si>
  <si>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</si>
  <si>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</si>
  <si>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</si>
  <si>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</si>
  <si>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</si>
  <si>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</si>
  <si>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</si>
  <si>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</si>
  <si>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</si>
  <si>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</si>
  <si>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</si>
  <si>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</si>
  <si>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</si>
  <si>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</si>
  <si>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</si>
  <si>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</si>
  <si>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</si>
  <si>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</si>
  <si>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</si>
  <si>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</si>
  <si>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</si>
  <si>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</si>
  <si>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</si>
  <si>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</si>
  <si>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</si>
  <si>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</si>
  <si>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</si>
  <si>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</si>
  <si>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</si>
  <si>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</si>
  <si>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</si>
  <si>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</si>
  <si>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</si>
  <si>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</si>
  <si>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</si>
  <si>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</si>
  <si>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</si>
  <si>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</si>
  <si>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</si>
  <si>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</si>
  <si>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</si>
  <si>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</si>
  <si>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</si>
  <si>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</si>
  <si>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</si>
  <si>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</si>
  <si>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</si>
  <si>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</si>
  <si>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</si>
  <si>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</si>
  <si>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</si>
  <si>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</si>
  <si>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</si>
  <si>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</si>
  <si>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</si>
  <si>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</si>
  <si>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</si>
  <si>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</si>
  <si>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</si>
  <si>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</si>
  <si>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</si>
  <si>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</si>
  <si>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</si>
  <si>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</si>
  <si>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</si>
  <si>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</si>
  <si>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</si>
  <si>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</si>
  <si>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</si>
  <si>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</si>
  <si>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</si>
  <si>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</si>
  <si>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</si>
  <si>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</si>
  <si>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</si>
  <si>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</si>
  <si>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</si>
  <si>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</si>
  <si>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</si>
  <si>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</si>
  <si>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</si>
  <si>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</si>
  <si>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</si>
  <si>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</si>
  <si>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</si>
  <si>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</si>
  <si>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</si>
  <si>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</si>
  <si>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</si>
  <si>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</si>
  <si>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</si>
  <si>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</si>
  <si>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</si>
  <si>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</si>
  <si>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</si>
  <si>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</si>
  <si>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</si>
  <si>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</si>
  <si>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</si>
  <si>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</si>
  <si>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</si>
  <si>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</si>
  <si>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</si>
  <si>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</si>
  <si>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</si>
  <si>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</si>
  <si>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</si>
  <si>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</si>
  <si>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</si>
  <si>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</si>
  <si>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</si>
  <si>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</si>
  <si>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</si>
  <si>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</si>
  <si>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</si>
  <si>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</si>
  <si>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</si>
  <si>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</si>
  <si>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</si>
  <si>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</si>
  <si>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</si>
  <si>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</si>
  <si>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</si>
  <si>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</si>
  <si>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</si>
  <si>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</si>
  <si>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</si>
  <si>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</si>
  <si>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</si>
  <si>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</si>
  <si>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</si>
  <si>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</si>
  <si>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</si>
  <si>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</si>
  <si>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</si>
  <si>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</si>
  <si>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</si>
  <si>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</si>
  <si>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</si>
  <si>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</si>
  <si>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</si>
  <si>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</si>
  <si>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</si>
  <si>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</si>
  <si>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</si>
  <si>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</si>
  <si>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</si>
  <si>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</si>
  <si>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</si>
  <si>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</si>
  <si>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</si>
  <si>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</si>
  <si>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</si>
  <si>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</si>
  <si>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</si>
  <si>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</si>
  <si>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</si>
  <si>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</si>
  <si>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</si>
  <si>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</si>
  <si>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</si>
  <si>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</si>
  <si>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</si>
  <si>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</si>
  <si>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</si>
  <si>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</si>
  <si>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</si>
  <si>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</si>
  <si>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</si>
  <si>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</si>
  <si>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</si>
  <si>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</si>
  <si>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</si>
  <si>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</si>
  <si>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</si>
  <si>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</si>
  <si>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</si>
  <si>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</si>
  <si>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</si>
  <si>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</si>
  <si>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</si>
  <si>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</si>
  <si>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</si>
  <si>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</si>
  <si>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</si>
  <si>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</si>
  <si>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</si>
  <si>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</si>
  <si>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</si>
  <si>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</si>
  <si>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</si>
  <si>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</si>
  <si>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</si>
  <si>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</si>
  <si>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</si>
  <si>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</si>
  <si>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</si>
  <si>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</si>
  <si>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</si>
  <si>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</si>
  <si>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</si>
  <si>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</si>
  <si>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</si>
  <si>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</si>
  <si>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</si>
  <si>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</si>
  <si>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</si>
  <si>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</si>
  <si>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</si>
  <si>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</si>
  <si>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</si>
  <si>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</si>
  <si>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</si>
  <si>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</si>
  <si>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</si>
  <si>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</si>
  <si>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</si>
  <si>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</si>
  <si>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</si>
  <si>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</si>
  <si>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</si>
  <si>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</si>
  <si>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</si>
  <si>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</si>
  <si>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</si>
  <si>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</si>
  <si>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</si>
  <si>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</si>
  <si>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</si>
  <si>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</si>
  <si>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</si>
  <si>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</si>
  <si>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</si>
  <si>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</si>
  <si>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</si>
  <si>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</si>
  <si>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</si>
  <si>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</si>
  <si>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</si>
  <si>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</si>
  <si>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</si>
  <si>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</si>
  <si>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</si>
  <si>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</si>
  <si>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</si>
  <si>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</si>
  <si>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</si>
  <si>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</si>
  <si>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</si>
  <si>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</si>
  <si>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</si>
  <si>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</si>
  <si>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</si>
  <si>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</si>
  <si>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</si>
  <si>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</si>
  <si>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</si>
  <si>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</si>
  <si>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</si>
  <si>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</si>
  <si>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</si>
  <si>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</si>
  <si>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</si>
  <si>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</si>
  <si>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</si>
  <si>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</si>
  <si>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</si>
  <si>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</si>
  <si>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</si>
  <si>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</si>
  <si>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</si>
  <si>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</si>
  <si>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</si>
  <si>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</si>
  <si>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</si>
  <si>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</si>
  <si>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</si>
  <si>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</si>
  <si>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</si>
  <si>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</si>
  <si>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</si>
  <si>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</si>
  <si>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</si>
  <si>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</si>
  <si>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</si>
  <si>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</si>
  <si>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</si>
  <si>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</si>
  <si>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</si>
  <si>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</si>
  <si>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</si>
  <si>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</si>
  <si>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</si>
  <si>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</si>
  <si>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</si>
  <si>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</si>
  <si>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</si>
  <si>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</si>
  <si>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</si>
  <si>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</si>
  <si>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</si>
  <si>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</si>
  <si>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</si>
  <si>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</si>
  <si>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</si>
  <si>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</si>
  <si>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</si>
  <si>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</si>
  <si>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</si>
  <si>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</si>
  <si>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</si>
  <si>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</si>
  <si>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</si>
  <si>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</si>
  <si>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</si>
  <si>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</si>
  <si>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</si>
  <si>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</si>
  <si>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</si>
  <si>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</si>
  <si>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</si>
  <si>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</si>
  <si>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</si>
  <si>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</si>
  <si>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</si>
  <si>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</si>
  <si>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</si>
  <si>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</si>
  <si>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</si>
  <si>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</si>
  <si>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</si>
  <si>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</si>
  <si>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</si>
  <si>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</si>
  <si>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</si>
  <si>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</si>
  <si>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</si>
  <si>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</si>
  <si>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</si>
  <si>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</si>
  <si>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</si>
  <si>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</si>
  <si>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</si>
  <si>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</si>
  <si>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</si>
  <si>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</si>
  <si>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</si>
  <si>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</si>
  <si>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</si>
  <si>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</si>
  <si>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</si>
  <si>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</si>
  <si>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</si>
  <si>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</si>
  <si>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</si>
  <si>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</si>
  <si>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</si>
  <si>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</si>
  <si>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</si>
  <si>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</si>
  <si>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</si>
  <si>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</si>
  <si>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</si>
  <si>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</si>
  <si>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</si>
  <si>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</si>
  <si>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</si>
  <si>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</si>
  <si>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</si>
  <si>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</si>
  <si>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</si>
  <si>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</si>
  <si>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</si>
  <si>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</si>
  <si>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</si>
  <si>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</si>
  <si>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</si>
  <si>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</si>
  <si>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</si>
  <si>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</si>
  <si>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</si>
  <si>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</si>
  <si>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</si>
  <si>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</si>
  <si>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</si>
  <si>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</si>
  <si>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</si>
  <si>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</si>
  <si>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</si>
  <si>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</si>
  <si>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</si>
  <si>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</si>
  <si>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</si>
  <si>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</si>
  <si>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</si>
  <si>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</si>
  <si>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</si>
  <si>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</si>
  <si>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</si>
  <si>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</si>
  <si>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</si>
  <si>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</si>
  <si>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</si>
  <si>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</si>
  <si>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</si>
  <si>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</si>
  <si>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</si>
  <si>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</si>
  <si>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</si>
  <si>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</si>
  <si>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</si>
  <si>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</si>
  <si>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</si>
  <si>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</si>
  <si>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</si>
  <si>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</si>
  <si>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</si>
  <si>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</si>
  <si>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</si>
  <si>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</si>
  <si>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</si>
  <si>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</si>
  <si>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</si>
  <si>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</si>
  <si>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</si>
  <si>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</si>
  <si>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</si>
  <si>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</si>
  <si>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</si>
  <si>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</si>
  <si>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</si>
  <si>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</si>
  <si>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</si>
  <si>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</si>
  <si>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</si>
  <si>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</si>
  <si>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</si>
  <si>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</si>
  <si>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</si>
  <si>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</si>
  <si>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</si>
  <si>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</si>
  <si>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</si>
  <si>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</si>
  <si>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</si>
  <si>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</si>
  <si>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</si>
  <si>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</si>
  <si>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</si>
  <si>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</si>
  <si>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</si>
  <si>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</si>
  <si>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</si>
  <si>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</si>
  <si>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</si>
  <si>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</si>
  <si>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</si>
  <si>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</si>
  <si>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</si>
  <si>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</si>
  <si>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</si>
  <si>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</si>
  <si>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</si>
  <si>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</si>
  <si>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</si>
  <si>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</si>
  <si>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</si>
  <si>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</si>
  <si>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</si>
  <si>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</si>
  <si>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</si>
  <si>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</si>
  <si>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</si>
  <si>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</si>
  <si>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</si>
  <si>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</si>
  <si>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</si>
  <si>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</si>
  <si>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</si>
  <si>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</si>
  <si>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</si>
  <si>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</si>
  <si>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</si>
  <si>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</si>
  <si>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</si>
  <si>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</si>
  <si>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</si>
  <si>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</si>
  <si>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</si>
  <si>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</si>
  <si>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</si>
  <si>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</si>
  <si>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</si>
  <si>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</si>
  <si>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</si>
  <si>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</si>
  <si>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</si>
  <si>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</si>
  <si>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</si>
  <si>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</si>
  <si>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</si>
  <si>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</si>
  <si>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</si>
  <si>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</si>
  <si>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</si>
  <si>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</si>
  <si>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</si>
  <si>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</si>
  <si>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</si>
  <si>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</si>
  <si>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</si>
  <si>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</si>
  <si>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</si>
  <si>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</si>
  <si>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</si>
  <si>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</si>
  <si>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</si>
  <si>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</si>
  <si>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</si>
  <si>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</si>
  <si>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</si>
  <si>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</si>
  <si>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</si>
  <si>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</si>
  <si>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</si>
  <si>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</si>
  <si>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</si>
  <si>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</si>
  <si>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</si>
  <si>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</si>
  <si>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</si>
  <si>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</si>
  <si>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</si>
  <si>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</si>
  <si>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</si>
  <si>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</si>
  <si>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</si>
  <si>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</si>
  <si>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</si>
  <si>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</si>
  <si>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</si>
  <si>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</si>
  <si>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</si>
  <si>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</si>
  <si>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</si>
  <si>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</si>
  <si>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</si>
  <si>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</si>
  <si>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</si>
  <si>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</si>
  <si>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</si>
  <si>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</si>
  <si>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</si>
  <si>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</si>
  <si>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</si>
  <si>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</si>
  <si>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</si>
  <si>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</si>
  <si>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</si>
  <si>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</si>
  <si>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</si>
  <si>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</si>
  <si>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</si>
  <si>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</si>
  <si>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</si>
  <si>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</si>
  <si>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</si>
  <si>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</si>
  <si>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</si>
  <si>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</si>
  <si>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</si>
  <si>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</si>
  <si>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</si>
  <si>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</si>
  <si>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</si>
  <si>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</si>
  <si>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</si>
  <si>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</si>
  <si>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</si>
  <si>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</si>
  <si>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</si>
  <si>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</si>
  <si>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</si>
  <si>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</si>
  <si>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</si>
  <si>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</si>
  <si>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</si>
  <si>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</si>
  <si>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</si>
  <si>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</si>
  <si>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</si>
  <si>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</si>
  <si>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</si>
  <si>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</si>
  <si>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</si>
  <si>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</si>
  <si>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</si>
  <si>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</si>
  <si>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</si>
  <si>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</si>
  <si>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</si>
  <si>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</si>
  <si>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</si>
  <si>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</si>
  <si>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</si>
  <si>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</si>
  <si>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</si>
  <si>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</si>
  <si>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</si>
  <si>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</si>
  <si>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</si>
  <si>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</si>
  <si>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</si>
  <si>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</si>
  <si>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</si>
  <si>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</si>
  <si>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</si>
  <si>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</si>
  <si>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</si>
  <si>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</si>
  <si>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</si>
  <si>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</si>
  <si>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</si>
  <si>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</si>
  <si>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</si>
  <si>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</si>
  <si>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</si>
  <si>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</si>
  <si>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</si>
  <si>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</si>
  <si>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</si>
  <si>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</si>
  <si>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</si>
  <si>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</si>
  <si>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</si>
  <si>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</si>
  <si>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</si>
  <si>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</si>
  <si>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</si>
  <si>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</si>
  <si>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</si>
  <si>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</si>
  <si>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</si>
  <si>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</si>
  <si>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</si>
  <si>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</si>
  <si>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</si>
  <si>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</si>
  <si>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</si>
  <si>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</si>
  <si>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</si>
  <si>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</si>
  <si>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</si>
  <si>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</si>
  <si>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</si>
  <si>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</si>
  <si>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</si>
  <si>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</si>
  <si>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</si>
  <si>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</si>
  <si>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</si>
  <si>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</si>
  <si>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</si>
  <si>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</si>
  <si>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</si>
  <si>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</si>
  <si>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</si>
  <si>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</si>
  <si>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</si>
  <si>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</si>
  <si>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</si>
  <si>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</si>
  <si>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</si>
  <si>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</si>
  <si>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</si>
  <si>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</si>
  <si>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</si>
  <si>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</si>
  <si>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</si>
  <si>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</si>
  <si>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</si>
  <si>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</si>
  <si>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</si>
  <si>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</si>
  <si>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</si>
  <si>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</si>
  <si>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</si>
  <si>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</si>
  <si>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</si>
  <si>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</si>
  <si>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</si>
  <si>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</si>
  <si>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</si>
  <si>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</si>
  <si>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</si>
  <si>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</si>
  <si>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</si>
  <si>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</si>
  <si>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</si>
  <si>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</si>
  <si>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</si>
  <si>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</si>
  <si>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</si>
  <si>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</si>
  <si>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</si>
  <si>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</si>
  <si>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</si>
  <si>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</si>
  <si>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</si>
  <si>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</si>
  <si>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</si>
  <si>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</si>
  <si>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</si>
  <si>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</si>
  <si>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</si>
  <si>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</si>
  <si>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</si>
  <si>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</si>
  <si>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</si>
  <si>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</si>
  <si>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</si>
  <si>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</si>
  <si>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</si>
  <si>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</si>
  <si>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</si>
  <si>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</si>
  <si>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</si>
  <si>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</si>
  <si>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</si>
  <si>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</si>
  <si>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</si>
  <si>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</si>
  <si>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</si>
  <si>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</si>
  <si>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</si>
  <si>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</si>
  <si>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</si>
  <si>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</si>
  <si>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</si>
  <si>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</si>
  <si>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</si>
  <si>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</si>
  <si>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</si>
  <si>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</si>
  <si>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</si>
  <si>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</si>
  <si>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</si>
  <si>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</si>
  <si>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</si>
  <si>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</si>
  <si>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</si>
  <si>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</si>
  <si>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</si>
  <si>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</si>
  <si>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</si>
  <si>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</si>
  <si>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</si>
  <si>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</si>
  <si>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</si>
  <si>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</si>
  <si>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</si>
  <si>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</si>
  <si>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</si>
  <si>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</si>
  <si>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</si>
  <si>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</si>
  <si>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</si>
  <si>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</si>
  <si>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</si>
  <si>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</si>
  <si>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</si>
  <si>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</si>
  <si>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</si>
  <si>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</si>
  <si>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</si>
  <si>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</si>
  <si>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</si>
  <si>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</si>
  <si>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</si>
  <si>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</si>
  <si>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</si>
  <si>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</si>
  <si>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</si>
  <si>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</si>
  <si>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</si>
  <si>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</si>
  <si>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</si>
  <si>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</si>
  <si>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</si>
  <si>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</si>
  <si>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</si>
  <si>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</si>
  <si>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</si>
  <si>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</si>
  <si>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</si>
  <si>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</si>
  <si>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</si>
  <si>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</si>
  <si>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</si>
  <si>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</si>
  <si>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</si>
  <si>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</si>
  <si>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</si>
  <si>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</si>
  <si>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</si>
  <si>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</si>
  <si>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</si>
  <si>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</si>
  <si>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</si>
  <si>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</si>
  <si>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</si>
  <si>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</si>
  <si>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</si>
  <si>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</si>
  <si>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</si>
  <si>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</si>
  <si>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</si>
  <si>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</si>
  <si>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</si>
  <si>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</si>
  <si>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</si>
  <si>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</si>
  <si>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</si>
  <si>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</si>
  <si>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</si>
  <si>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</si>
  <si>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</si>
  <si>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</si>
  <si>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</si>
  <si>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</si>
  <si>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</si>
  <si>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</si>
  <si>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</si>
  <si>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</si>
  <si>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</si>
  <si>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</si>
  <si>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</si>
  <si>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</si>
  <si>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</si>
  <si>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</si>
  <si>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</si>
  <si>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</si>
  <si>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</si>
  <si>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</si>
  <si>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</si>
  <si>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</si>
  <si>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</si>
  <si>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</si>
  <si>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</si>
  <si>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</si>
  <si>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</si>
  <si>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</si>
  <si>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</si>
  <si>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</si>
  <si>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</si>
  <si>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</si>
  <si>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</si>
  <si>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</si>
  <si>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</si>
  <si>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</si>
  <si>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</si>
  <si>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</si>
  <si>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</si>
  <si>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</si>
  <si>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</si>
  <si>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</si>
  <si>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</si>
  <si>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</si>
  <si>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</si>
  <si>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</si>
  <si>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</si>
  <si>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</si>
  <si>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</si>
  <si>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</si>
  <si>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</si>
  <si>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</si>
  <si>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</si>
  <si>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</si>
  <si>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</si>
  <si>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</si>
  <si>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</si>
  <si>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</si>
  <si>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</si>
  <si>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</si>
  <si>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</si>
  <si>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</si>
  <si>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</si>
  <si>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</si>
  <si>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</si>
  <si>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</si>
  <si>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</si>
  <si>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</si>
  <si>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</si>
  <si>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</si>
  <si>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</si>
  <si>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</si>
  <si>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</si>
  <si>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</si>
  <si>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</si>
  <si>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</si>
  <si>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</si>
  <si>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</si>
  <si>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</si>
  <si>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</si>
  <si>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</si>
  <si>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</si>
  <si>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</si>
  <si>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</si>
  <si>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</si>
  <si>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</si>
  <si>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</si>
  <si>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</si>
  <si>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</si>
  <si>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</si>
  <si>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</si>
  <si>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</si>
  <si>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</si>
  <si>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</si>
  <si>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</si>
  <si>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</si>
  <si>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</si>
  <si>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</si>
  <si>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</si>
  <si>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</si>
  <si>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</si>
  <si>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</si>
  <si>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</si>
  <si>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</si>
  <si>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</si>
  <si>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</si>
  <si>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</si>
  <si>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</si>
  <si>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</si>
  <si>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</si>
  <si>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</si>
  <si>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</si>
  <si>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</si>
  <si>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</si>
  <si>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</si>
  <si>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</si>
  <si>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</si>
  <si>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</si>
  <si>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</si>
  <si>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</si>
  <si>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</si>
  <si>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</si>
  <si>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</si>
  <si>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</si>
  <si>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</si>
  <si>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</si>
  <si>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</si>
  <si>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</si>
  <si>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</si>
  <si>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</si>
  <si>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</si>
  <si>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</si>
  <si>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</si>
  <si>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</si>
  <si>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</si>
  <si>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</si>
  <si>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</si>
  <si>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</si>
  <si>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</si>
  <si>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</si>
  <si>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</si>
  <si>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</si>
  <si>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</si>
  <si>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</si>
  <si>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</si>
  <si>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</si>
  <si>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</si>
  <si>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</si>
  <si>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</si>
  <si>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</si>
  <si>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</si>
  <si>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</si>
  <si>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</si>
  <si>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</si>
  <si>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</si>
  <si>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</si>
  <si>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</si>
  <si>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</si>
  <si>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</si>
  <si>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</si>
  <si>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</si>
  <si>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</si>
  <si>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</si>
  <si>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</si>
  <si>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</si>
  <si>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</si>
  <si>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</si>
  <si>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</si>
  <si>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</si>
  <si>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</si>
  <si>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</si>
  <si>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</si>
  <si>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</si>
  <si>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</si>
  <si>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</si>
  <si>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</si>
  <si>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</si>
  <si>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</si>
  <si>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</si>
  <si>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</si>
  <si>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</si>
  <si>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</si>
  <si>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</si>
  <si>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</si>
  <si>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</si>
  <si>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</si>
  <si>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</si>
  <si>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</si>
  <si>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</si>
  <si>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</si>
  <si>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</si>
  <si>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</si>
  <si>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</si>
  <si>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</si>
  <si>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</si>
  <si>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</si>
  <si>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</si>
  <si>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</si>
  <si>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</si>
  <si>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</si>
  <si>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</si>
  <si>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</si>
  <si>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</si>
  <si>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</si>
  <si>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</si>
  <si>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</si>
  <si>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</si>
  <si>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</si>
  <si>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</si>
  <si>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</si>
  <si>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</si>
  <si>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</si>
  <si>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</si>
  <si>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</si>
  <si>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</si>
  <si>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</si>
  <si>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</si>
  <si>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</si>
  <si>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</si>
  <si>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</si>
  <si>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</si>
  <si>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</si>
  <si>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</si>
  <si>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</si>
  <si>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</si>
  <si>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</si>
  <si>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</si>
  <si>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</si>
  <si>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</si>
  <si>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</si>
  <si>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</si>
  <si>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</si>
  <si>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</si>
  <si>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</si>
  <si>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</si>
  <si>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</si>
  <si>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</si>
  <si>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</si>
  <si>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</si>
  <si>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</si>
  <si>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</si>
  <si>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</si>
  <si>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</si>
  <si>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</si>
  <si>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</si>
  <si>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</si>
  <si>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</si>
  <si>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</si>
  <si>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</si>
  <si>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</si>
  <si>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</si>
  <si>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</si>
  <si>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</si>
  <si>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</si>
  <si>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</si>
  <si>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</si>
  <si>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</si>
  <si>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</si>
  <si>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</si>
  <si>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</si>
  <si>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</si>
  <si>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</si>
  <si>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</si>
  <si>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</si>
  <si>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</si>
  <si>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</si>
  <si>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</si>
  <si>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</si>
  <si>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</si>
  <si>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</si>
  <si>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</si>
  <si>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</si>
  <si>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</si>
  <si>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</si>
  <si>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</si>
  <si>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</si>
  <si>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</si>
  <si>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</si>
  <si>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</si>
  <si>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</si>
  <si>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</si>
  <si>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</si>
  <si>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</si>
  <si>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</si>
  <si>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</si>
  <si>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</si>
  <si>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</si>
  <si>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</si>
  <si>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</si>
  <si>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</si>
  <si>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</si>
  <si>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</si>
  <si>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</si>
  <si>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</si>
  <si>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</si>
  <si>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</si>
  <si>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</si>
  <si>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</si>
  <si>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</si>
  <si>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</si>
  <si>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</si>
  <si>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</si>
  <si>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</si>
  <si>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</si>
  <si>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</si>
  <si>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</si>
  <si>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</si>
  <si>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</si>
  <si>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</si>
  <si>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</si>
  <si>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</si>
  <si>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</si>
  <si>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</si>
  <si>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</si>
  <si>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</si>
  <si>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</si>
  <si>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</si>
  <si>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</si>
  <si>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</si>
  <si>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</si>
  <si>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</si>
  <si>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</si>
  <si>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</si>
  <si>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</si>
  <si>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</si>
  <si>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</si>
  <si>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</si>
  <si>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</si>
  <si>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</si>
  <si>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</si>
  <si>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</si>
  <si>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</si>
  <si>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</si>
  <si>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</si>
  <si>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</si>
  <si>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</si>
  <si>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</si>
  <si>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</si>
  <si>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</si>
  <si>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</si>
  <si>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</si>
  <si>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</si>
  <si>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</si>
  <si>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</si>
  <si>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</si>
  <si>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</si>
  <si>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</si>
  <si>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</si>
  <si>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</si>
  <si>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</si>
  <si>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</si>
  <si>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</si>
  <si>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</si>
  <si>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</si>
  <si>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</si>
  <si>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</si>
  <si>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</si>
  <si>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</si>
  <si>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</si>
  <si>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</si>
  <si>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</si>
  <si>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</si>
  <si>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</si>
  <si>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</si>
  <si>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</si>
  <si>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</si>
  <si>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</si>
  <si>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</si>
  <si>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</si>
  <si>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</si>
  <si>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</si>
  <si>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</si>
  <si>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</si>
  <si>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</si>
  <si>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</si>
  <si>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</si>
  <si>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</si>
  <si>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</si>
  <si>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</si>
  <si>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</si>
  <si>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</si>
  <si>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</si>
  <si>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</si>
  <si>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</si>
  <si>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</si>
  <si>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</si>
  <si>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</si>
  <si>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</si>
  <si>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</si>
  <si>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</si>
  <si>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</si>
  <si>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</si>
  <si>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</si>
  <si>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</si>
  <si>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</si>
  <si>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</si>
  <si>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</si>
  <si>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</si>
  <si>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</si>
  <si>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</si>
  <si>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</si>
  <si>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</si>
  <si>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</si>
  <si>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</si>
  <si>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</si>
  <si>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</si>
  <si>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</si>
  <si>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</si>
  <si>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</si>
  <si>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</si>
  <si>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</si>
  <si>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</si>
  <si>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</si>
  <si>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</si>
  <si>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</si>
  <si>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</si>
  <si>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</si>
  <si>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</si>
  <si>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</si>
  <si>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</si>
  <si>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</si>
  <si>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</si>
  <si>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</si>
  <si>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</si>
  <si>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</si>
  <si>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</si>
  <si>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</si>
  <si>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</si>
  <si>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</si>
  <si>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</si>
  <si>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</si>
  <si>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</si>
  <si>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</si>
  <si>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</si>
  <si>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</si>
  <si>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</si>
  <si>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</si>
  <si>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</si>
  <si>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</si>
  <si>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</si>
  <si>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</si>
  <si>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</si>
  <si>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</si>
  <si>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</si>
  <si>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</si>
  <si>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</si>
  <si>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</si>
  <si>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</si>
  <si>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</si>
  <si>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</si>
  <si>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</si>
  <si>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</si>
  <si>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</si>
  <si>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</si>
  <si>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</si>
  <si>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</si>
  <si>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</si>
  <si>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</si>
  <si>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</si>
  <si>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</si>
  <si>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</si>
  <si>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</si>
  <si>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</si>
  <si>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</si>
  <si>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</si>
  <si>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</si>
  <si>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</si>
  <si>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</si>
  <si>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</si>
  <si>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</si>
  <si>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</si>
  <si>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</si>
  <si>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</si>
  <si>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</si>
  <si>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</si>
  <si>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</si>
  <si>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</si>
  <si>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</si>
  <si>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</si>
  <si>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</si>
  <si>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</si>
  <si>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</si>
  <si>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</si>
  <si>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</si>
  <si>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</si>
  <si>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</si>
  <si>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</si>
  <si>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</si>
  <si>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</si>
  <si>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</si>
  <si>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</si>
  <si>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</si>
  <si>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</si>
  <si>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</si>
  <si>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</si>
  <si>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</si>
  <si>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</si>
  <si>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</si>
  <si>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</si>
  <si>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</si>
  <si>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</si>
  <si>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</si>
  <si>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</si>
  <si>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</si>
  <si>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</si>
  <si>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</si>
  <si>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</si>
  <si>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</si>
  <si>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</si>
  <si>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</si>
  <si>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</si>
  <si>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</si>
  <si>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</si>
  <si>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</si>
  <si>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</si>
  <si>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</si>
  <si>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</si>
  <si>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</si>
  <si>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</si>
  <si>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</si>
  <si>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</si>
  <si>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</si>
  <si>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</si>
  <si>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</si>
  <si>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</si>
  <si>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</si>
  <si>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</si>
  <si>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</si>
  <si>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</si>
  <si>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</si>
  <si>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</si>
  <si>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</si>
  <si>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</si>
  <si>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</si>
  <si>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</si>
  <si>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</si>
  <si>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</si>
  <si>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</si>
  <si>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</si>
  <si>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</si>
  <si>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</si>
  <si>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</si>
  <si>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</si>
  <si>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</si>
  <si>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</si>
  <si>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</si>
  <si>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</si>
  <si>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</si>
  <si>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</si>
  <si>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</si>
  <si>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</si>
  <si>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</si>
  <si>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</si>
  <si>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</si>
  <si>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</si>
  <si>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</si>
  <si>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</si>
  <si>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</si>
  <si>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</si>
  <si>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</si>
  <si>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</si>
  <si>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</si>
  <si>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</si>
  <si>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</si>
  <si>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</si>
  <si>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</si>
  <si>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</si>
  <si>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</si>
  <si>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</si>
  <si>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</si>
  <si>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</si>
  <si>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</si>
  <si>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</si>
  <si>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</si>
  <si>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</si>
  <si>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</si>
  <si>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</si>
  <si>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</si>
  <si>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</si>
  <si>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</si>
  <si>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</si>
  <si>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</si>
  <si>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</si>
  <si>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</si>
  <si>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</si>
  <si>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</si>
  <si>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</si>
  <si>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</si>
  <si>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</si>
  <si>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</si>
  <si>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</si>
  <si>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</si>
  <si>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</si>
  <si>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</si>
  <si>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</si>
  <si>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</si>
  <si>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</si>
  <si>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</si>
  <si>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</si>
  <si>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</si>
  <si>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</si>
  <si>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</si>
  <si>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</si>
  <si>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</si>
  <si>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</si>
  <si>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</si>
  <si>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</si>
  <si>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</si>
  <si>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</si>
  <si>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</si>
  <si>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</si>
  <si>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</si>
  <si>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</si>
  <si>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</si>
  <si>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</si>
  <si>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</si>
  <si>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</si>
  <si>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</si>
  <si>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</si>
  <si>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</si>
  <si>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</si>
  <si>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</si>
  <si>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</si>
  <si>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</si>
  <si>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</si>
  <si>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</si>
  <si>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</si>
  <si>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</si>
  <si>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</si>
  <si>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</si>
  <si>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</si>
  <si>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</si>
  <si>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</si>
  <si>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</si>
  <si>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</si>
  <si>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</si>
  <si>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</si>
  <si>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</si>
  <si>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</si>
  <si>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</si>
  <si>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</si>
  <si>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</si>
  <si>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</si>
  <si>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</si>
  <si>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</si>
  <si>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</si>
  <si>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</si>
  <si>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</si>
  <si>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</si>
  <si>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</si>
  <si>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</si>
  <si>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</si>
  <si>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</si>
  <si>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</si>
  <si>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</si>
  <si>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</si>
  <si>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</si>
  <si>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</si>
  <si>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</si>
  <si>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</si>
  <si>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</si>
  <si>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</si>
  <si>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</si>
  <si>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</si>
  <si>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</si>
  <si>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</si>
  <si>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</si>
  <si>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</si>
  <si>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</si>
  <si>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</si>
  <si>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</si>
  <si>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</si>
  <si>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</si>
  <si>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</si>
  <si>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</si>
  <si>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</si>
  <si>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</si>
  <si>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</si>
  <si>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</si>
  <si>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</si>
  <si>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</si>
  <si>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</si>
  <si>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</si>
  <si>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</si>
  <si>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</si>
  <si>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</si>
  <si>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</si>
  <si>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</si>
  <si>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</si>
  <si>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</si>
  <si>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</si>
  <si>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</si>
  <si>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</si>
  <si>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</si>
  <si>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</si>
  <si>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</si>
  <si>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</si>
  <si>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</si>
  <si>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</si>
  <si>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</si>
  <si>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</si>
  <si>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</si>
  <si>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</si>
  <si>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</si>
  <si>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</si>
  <si>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</si>
  <si>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</si>
  <si>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</si>
  <si>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</si>
  <si>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</si>
  <si>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</si>
  <si>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</si>
  <si>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</si>
  <si>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</si>
  <si>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</si>
  <si>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</si>
  <si>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</si>
  <si>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</si>
  <si>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</si>
  <si>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</si>
  <si>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</si>
  <si>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</si>
  <si>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</si>
  <si>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</si>
  <si>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</si>
  <si>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</si>
  <si>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</si>
  <si>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</si>
  <si>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</si>
  <si>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</si>
  <si>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</si>
  <si>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</si>
  <si>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</si>
  <si>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</si>
  <si>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</si>
  <si>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</si>
  <si>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</si>
  <si>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</si>
  <si>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</si>
  <si>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</si>
  <si>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</si>
  <si>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</si>
  <si>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</si>
  <si>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</si>
  <si>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</si>
  <si>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</si>
  <si>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</si>
  <si>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</si>
  <si>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</si>
  <si>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</si>
  <si>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</si>
  <si>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</si>
  <si>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</si>
  <si>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</si>
  <si>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</si>
  <si>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</si>
  <si>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</si>
  <si>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</si>
  <si>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</si>
  <si>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</si>
  <si>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</si>
  <si>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</si>
  <si>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</si>
  <si>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</si>
  <si>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</si>
  <si>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</si>
  <si>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</si>
  <si>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</si>
  <si>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</si>
  <si>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</si>
  <si>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</si>
  <si>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</si>
  <si>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</si>
  <si>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</si>
  <si>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</si>
  <si>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</si>
  <si>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</si>
  <si>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</si>
  <si>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</si>
  <si>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</si>
  <si>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</si>
  <si>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</si>
  <si>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</si>
  <si>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</si>
  <si>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</si>
  <si>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</si>
  <si>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</si>
  <si>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</si>
  <si>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</si>
  <si>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</si>
  <si>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</si>
  <si>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</si>
  <si>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</si>
  <si>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</si>
  <si>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</si>
  <si>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</si>
  <si>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</si>
  <si>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</si>
  <si>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</si>
  <si>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</si>
  <si>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</si>
  <si>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</si>
  <si>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</si>
  <si>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</si>
  <si>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</si>
  <si>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</si>
  <si>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</si>
  <si>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</si>
  <si>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</si>
  <si>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</si>
  <si>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</si>
  <si>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</si>
  <si>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</si>
  <si>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</si>
  <si>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</si>
  <si>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</si>
  <si>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</si>
  <si>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</si>
  <si>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</si>
  <si>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</si>
  <si>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</si>
  <si>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</si>
  <si>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</si>
  <si>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</si>
  <si>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</si>
  <si>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</si>
  <si>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</si>
  <si>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</si>
  <si>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</si>
  <si>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</si>
  <si>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</si>
  <si>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</si>
  <si>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</si>
  <si>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</si>
  <si>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</si>
  <si>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</si>
  <si>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</si>
  <si>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</si>
  <si>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</si>
  <si>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</si>
  <si>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</si>
  <si>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</si>
  <si>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</si>
  <si>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</si>
  <si>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</si>
  <si>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</si>
  <si>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</si>
  <si>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</si>
  <si>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</si>
  <si>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</si>
  <si>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</si>
  <si>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</si>
  <si>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</si>
  <si>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</si>
  <si>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</si>
  <si>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</si>
  <si>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</si>
  <si>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</si>
  <si>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</si>
  <si>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</si>
  <si>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</si>
  <si>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</si>
  <si>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</si>
  <si>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</si>
  <si>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</si>
  <si>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</si>
  <si>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</si>
  <si>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</si>
  <si>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</si>
  <si>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</si>
  <si>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</si>
  <si>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</si>
  <si>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</si>
  <si>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</si>
  <si>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</si>
  <si>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</si>
  <si>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</si>
  <si>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</si>
  <si>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</si>
  <si>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</si>
  <si>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</si>
  <si>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</si>
  <si>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</si>
  <si>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</si>
  <si>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</si>
  <si>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</si>
  <si>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</si>
  <si>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</si>
  <si>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</si>
  <si>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</si>
  <si>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</si>
  <si>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</si>
  <si>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</si>
  <si>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</si>
  <si>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</si>
  <si>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</si>
  <si>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</si>
  <si>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</si>
  <si>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</si>
  <si>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</si>
  <si>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</si>
  <si>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</si>
  <si>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</si>
  <si>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</si>
  <si>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</si>
  <si>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</si>
  <si>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</si>
  <si>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</si>
  <si>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</si>
  <si>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</si>
  <si>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</si>
  <si>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</si>
  <si>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</si>
  <si>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</si>
  <si>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</si>
  <si>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</si>
  <si>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</si>
  <si>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</si>
  <si>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</si>
  <si>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</si>
  <si>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</si>
  <si>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</si>
  <si>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</si>
  <si>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</si>
  <si>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</si>
  <si>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</si>
  <si>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</si>
  <si>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</si>
  <si>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</si>
  <si>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</si>
  <si>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</si>
  <si>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</si>
  <si>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</si>
  <si>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</si>
  <si>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</si>
  <si>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</si>
  <si>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</si>
  <si>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</si>
  <si>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</si>
  <si>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</si>
  <si>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</si>
  <si>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</si>
  <si>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</si>
  <si>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</si>
  <si>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</si>
  <si>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</si>
  <si>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</si>
  <si>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</si>
  <si>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</si>
  <si>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</si>
  <si>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</si>
  <si>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</si>
  <si>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</si>
  <si>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</si>
  <si>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</si>
  <si>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</si>
  <si>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</si>
  <si>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</si>
  <si>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</si>
  <si>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</si>
  <si>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</si>
  <si>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</si>
  <si>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</si>
  <si>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</si>
  <si>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</si>
  <si>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</si>
  <si>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</si>
  <si>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</si>
  <si>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</si>
  <si>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</si>
  <si>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</si>
  <si>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</si>
  <si>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</si>
  <si>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</si>
  <si>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</si>
  <si>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</si>
  <si>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</si>
  <si>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</si>
  <si>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</si>
  <si>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</si>
  <si>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</si>
  <si>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</si>
  <si>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</si>
  <si>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</si>
  <si>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</si>
  <si>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</si>
  <si>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</si>
  <si>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</si>
  <si>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</si>
  <si>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</si>
  <si>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</si>
  <si>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</si>
  <si>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</si>
  <si>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</si>
  <si>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</si>
  <si>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</si>
  <si>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</si>
  <si>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</si>
  <si>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</si>
  <si>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</si>
  <si>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</si>
  <si>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</si>
  <si>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</si>
  <si>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</si>
  <si>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</si>
  <si>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</si>
  <si>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</si>
  <si>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</si>
  <si>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</si>
  <si>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</si>
  <si>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</si>
  <si>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</si>
  <si>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</si>
  <si>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</si>
  <si>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</si>
  <si>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</si>
  <si>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</si>
  <si>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</si>
  <si>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</si>
  <si>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</si>
  <si>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</si>
  <si>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</si>
  <si>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</si>
  <si>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</si>
  <si>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</si>
  <si>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</si>
  <si>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</si>
  <si>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</si>
  <si>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</si>
  <si>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</si>
  <si>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</si>
  <si>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</si>
  <si>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</si>
  <si>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</si>
  <si>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</si>
  <si>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</si>
  <si>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</si>
  <si>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</si>
  <si>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</si>
  <si>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</si>
  <si>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</si>
  <si>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</si>
  <si>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</si>
  <si>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</si>
  <si>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</si>
  <si>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</si>
  <si>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</si>
  <si>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</si>
  <si>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</si>
  <si>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</si>
  <si>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</si>
  <si>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</si>
  <si>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</si>
  <si>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</si>
  <si>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</si>
  <si>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</si>
  <si>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</si>
  <si>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</si>
  <si>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</si>
  <si>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</si>
  <si>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</si>
  <si>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</si>
  <si>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</si>
  <si>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</si>
  <si>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</si>
  <si>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</si>
  <si>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</si>
  <si>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</si>
  <si>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</si>
  <si>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</si>
  <si>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</si>
  <si>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</si>
  <si>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</si>
  <si>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</si>
  <si>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</si>
  <si>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</si>
  <si>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</si>
  <si>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</si>
  <si>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</si>
  <si>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</si>
  <si>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</si>
  <si>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</si>
  <si>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</si>
  <si>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</si>
  <si>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</si>
  <si>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</si>
  <si>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</si>
  <si>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</si>
  <si>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</si>
  <si>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</si>
  <si>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</si>
  <si>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</si>
  <si>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</si>
  <si>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</si>
  <si>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</si>
  <si>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</si>
  <si>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</si>
  <si>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</si>
  <si>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</si>
  <si>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</si>
  <si>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</si>
  <si>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</si>
  <si>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</si>
  <si>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</si>
  <si>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</si>
  <si>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</si>
  <si>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</si>
  <si>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</si>
  <si>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</si>
  <si>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</si>
  <si>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</si>
  <si>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</si>
  <si>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</si>
  <si>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</si>
  <si>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</si>
  <si>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</si>
  <si>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</si>
  <si>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</si>
  <si>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</si>
  <si>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</si>
  <si>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</si>
  <si>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</si>
  <si>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</si>
  <si>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</si>
  <si>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</si>
  <si>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</si>
  <si>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</si>
  <si>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</si>
  <si>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</si>
  <si>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</si>
  <si>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</si>
  <si>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</si>
  <si>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</si>
  <si>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</si>
  <si>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</si>
  <si>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</si>
  <si>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</si>
  <si>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</si>
  <si>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</si>
  <si>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</si>
  <si>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</si>
  <si>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</si>
  <si>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</si>
  <si>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</si>
  <si>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</si>
  <si>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</si>
  <si>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</si>
  <si>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</si>
  <si>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</si>
  <si>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</si>
  <si>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</si>
  <si>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</si>
  <si>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</si>
  <si>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</si>
  <si>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</si>
  <si>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</si>
  <si>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</si>
  <si>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</si>
  <si>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</si>
  <si>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</si>
  <si>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</si>
  <si>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</si>
  <si>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</si>
  <si>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</si>
  <si>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</si>
  <si>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</si>
  <si>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</si>
  <si>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</si>
  <si>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</si>
  <si>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</si>
  <si>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</si>
  <si>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</si>
  <si>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</si>
  <si>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</si>
  <si>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</si>
  <si>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</si>
  <si>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</si>
  <si>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</si>
  <si>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</si>
  <si>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</si>
  <si>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</si>
  <si>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</si>
  <si>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</si>
  <si>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</si>
  <si>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</si>
  <si>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</si>
  <si>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</si>
  <si>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</si>
  <si>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</si>
  <si>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</si>
  <si>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</si>
  <si>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</si>
  <si>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</si>
  <si>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</si>
  <si>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</si>
  <si>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</si>
  <si>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</si>
  <si>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</si>
  <si>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</si>
  <si>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</si>
  <si>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</si>
  <si>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</si>
  <si>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</si>
  <si>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</si>
  <si>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</si>
  <si>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</si>
  <si>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</si>
  <si>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</si>
  <si>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</si>
  <si>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</si>
  <si>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</si>
  <si>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</si>
  <si>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</si>
  <si>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</si>
  <si>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</si>
  <si>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</si>
  <si>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</si>
  <si>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</si>
  <si>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</si>
  <si>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</si>
  <si>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</si>
  <si>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</si>
  <si>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</si>
  <si>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</si>
  <si>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</si>
  <si>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</si>
  <si>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</si>
  <si>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</si>
  <si>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</si>
  <si>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</si>
  <si>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</si>
  <si>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</si>
  <si>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</si>
  <si>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</si>
  <si>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</si>
  <si>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</si>
  <si>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</si>
  <si>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</si>
  <si>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</si>
  <si>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</si>
  <si>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</si>
  <si>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</si>
  <si>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</si>
  <si>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</si>
  <si>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</si>
  <si>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</si>
  <si>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</si>
  <si>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</si>
  <si>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</si>
  <si>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</si>
  <si>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</si>
  <si>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</si>
  <si>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</si>
  <si>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</si>
  <si>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</si>
  <si>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</si>
  <si>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</si>
  <si>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</si>
  <si>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</si>
  <si>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</si>
  <si>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</si>
  <si>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</si>
  <si>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</si>
  <si>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</si>
  <si>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</si>
  <si>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</si>
  <si>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</si>
  <si>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</si>
  <si>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</si>
  <si>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</si>
  <si>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</si>
  <si>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</si>
  <si>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</si>
  <si>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</si>
  <si>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</si>
  <si>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</si>
  <si>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</si>
  <si>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</si>
  <si>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</si>
  <si>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</si>
  <si>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</si>
  <si>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</si>
  <si>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</si>
  <si>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</si>
  <si>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</si>
  <si>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</si>
  <si>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</si>
  <si>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</si>
  <si>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</si>
  <si>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</si>
  <si>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</si>
  <si>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</si>
  <si>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</si>
  <si>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</si>
  <si>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</si>
  <si>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</si>
  <si>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</si>
  <si>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</si>
  <si>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</si>
  <si>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</si>
  <si>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</si>
  <si>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</si>
  <si>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</si>
  <si>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</si>
  <si>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</si>
  <si>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</si>
  <si>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</si>
  <si>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</si>
  <si>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</si>
  <si>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</si>
  <si>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</si>
  <si>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</si>
  <si>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</si>
  <si>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</si>
  <si>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</si>
  <si>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</si>
  <si>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</si>
  <si>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</si>
  <si>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</si>
  <si>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</si>
  <si>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</si>
  <si>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</si>
  <si>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</si>
  <si>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</si>
  <si>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</si>
  <si>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</si>
  <si>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</si>
  <si>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</si>
  <si>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</si>
  <si>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</si>
  <si>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</si>
  <si>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</si>
  <si>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</si>
  <si>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</si>
  <si>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</si>
  <si>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</si>
  <si>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</si>
  <si>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</si>
  <si>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</si>
  <si>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</si>
  <si>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</si>
  <si>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</si>
  <si>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</si>
  <si>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</si>
  <si>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</si>
  <si>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</si>
  <si>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</si>
  <si>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</si>
  <si>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</si>
  <si>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</si>
  <si>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</si>
  <si>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</si>
  <si>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</si>
  <si>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</si>
  <si>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</si>
  <si>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</si>
  <si>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</si>
  <si>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</si>
  <si>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</si>
  <si>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</si>
  <si>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</si>
  <si>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</si>
  <si>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</si>
  <si>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</si>
  <si>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</si>
  <si>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</si>
  <si>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</si>
  <si>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</si>
  <si>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</si>
  <si>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</si>
  <si>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</si>
  <si>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</si>
  <si>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</si>
  <si>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</si>
  <si>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</si>
  <si>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</si>
  <si>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</si>
  <si>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</si>
  <si>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</si>
  <si>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</si>
  <si>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</si>
  <si>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</si>
  <si>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</si>
  <si>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</si>
  <si>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</si>
  <si>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</si>
  <si>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</si>
  <si>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</si>
  <si>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</si>
  <si>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</si>
  <si>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</si>
  <si>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</si>
  <si>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</si>
  <si>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</si>
  <si>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</si>
  <si>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</si>
  <si>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</si>
  <si>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</si>
  <si>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</si>
  <si>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</si>
  <si>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</si>
  <si>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</si>
  <si>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</si>
  <si>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</si>
  <si>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</si>
  <si>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</si>
  <si>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</si>
  <si>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</si>
  <si>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</si>
  <si>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</si>
  <si>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</si>
  <si>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</si>
  <si>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</si>
  <si>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</si>
  <si>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</si>
  <si>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</si>
  <si>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</si>
  <si>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</si>
  <si>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</si>
  <si>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</si>
  <si>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</si>
  <si>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</si>
  <si>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</si>
  <si>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</si>
  <si>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</si>
  <si>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</si>
  <si>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</si>
  <si>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</si>
  <si>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</si>
  <si>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</si>
  <si>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</si>
  <si>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</si>
  <si>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</si>
  <si>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</si>
  <si>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</si>
  <si>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</si>
  <si>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</si>
  <si>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</si>
  <si>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</si>
  <si>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</si>
  <si>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</si>
  <si>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</si>
  <si>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</si>
  <si>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</si>
  <si>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</si>
  <si>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</si>
  <si>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</si>
  <si>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</si>
  <si>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</si>
  <si>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</si>
  <si>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</si>
  <si>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</si>
  <si>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</si>
  <si>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</si>
  <si>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</si>
  <si>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</si>
  <si>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</si>
  <si>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</si>
  <si>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</si>
  <si>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</si>
  <si>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</si>
  <si>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</si>
  <si>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</si>
  <si>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</si>
  <si>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</si>
  <si>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</si>
  <si>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</si>
  <si>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</si>
  <si>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</si>
  <si>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</si>
  <si>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</si>
  <si>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</si>
  <si>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</si>
  <si>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</si>
  <si>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</si>
  <si>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</si>
  <si>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</si>
  <si>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</si>
  <si>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</si>
  <si>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</si>
  <si>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</si>
  <si>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</si>
  <si>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</si>
  <si>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</si>
  <si>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</si>
  <si>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</si>
  <si>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</si>
  <si>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</si>
  <si>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</si>
  <si>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</si>
  <si>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</si>
  <si>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</si>
  <si>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</si>
  <si>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</si>
  <si>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</si>
  <si>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</si>
  <si>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</si>
  <si>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</si>
  <si>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</si>
  <si>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</si>
  <si>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</si>
  <si>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</si>
  <si>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</si>
  <si>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</si>
  <si>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</si>
  <si>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</si>
  <si>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</si>
  <si>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</si>
  <si>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</si>
  <si>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</si>
  <si>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</si>
  <si>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</si>
  <si>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</si>
  <si>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</si>
  <si>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</si>
  <si>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</si>
  <si>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</si>
  <si>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</si>
  <si>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</si>
  <si>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</si>
  <si>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</si>
  <si>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</si>
  <si>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</si>
  <si>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</si>
  <si>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</si>
  <si>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</si>
  <si>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</si>
  <si>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</si>
  <si>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</si>
  <si>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</si>
  <si>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</si>
  <si>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</si>
  <si>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</si>
  <si>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</si>
  <si>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</si>
  <si>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</si>
  <si>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</si>
  <si>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</si>
  <si>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</si>
  <si>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</si>
  <si>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</si>
  <si>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</si>
  <si>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</si>
  <si>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</si>
  <si>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</si>
  <si>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</si>
  <si>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</si>
  <si>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</si>
  <si>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</si>
  <si>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</si>
  <si>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</si>
  <si>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</si>
  <si>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</si>
  <si>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</si>
  <si>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</si>
  <si>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</si>
  <si>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</si>
  <si>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</si>
  <si>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</si>
  <si>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</si>
  <si>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</si>
  <si>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</si>
  <si>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</si>
  <si>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</si>
  <si>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</si>
  <si>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</si>
  <si>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</si>
  <si>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</si>
  <si>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</si>
  <si>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</si>
  <si>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</si>
  <si>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</si>
  <si>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</si>
  <si>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</si>
  <si>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</si>
  <si>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</si>
  <si>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</si>
  <si>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</si>
  <si>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</si>
  <si>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</si>
  <si>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</si>
  <si>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</si>
  <si>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</si>
  <si>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</si>
  <si>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</si>
  <si>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</si>
  <si>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</si>
  <si>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</si>
  <si>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</si>
  <si>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</si>
  <si>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</si>
  <si>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</si>
  <si>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</si>
  <si>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</si>
  <si>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</si>
  <si>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</si>
  <si>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</si>
  <si>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</si>
  <si>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</si>
  <si>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</si>
  <si>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</si>
  <si>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</si>
  <si>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</si>
  <si>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</si>
  <si>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</si>
  <si>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</si>
  <si>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</si>
  <si>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</si>
  <si>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</si>
  <si>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</si>
  <si>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</si>
  <si>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</si>
  <si>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</si>
  <si>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</si>
  <si>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</si>
  <si>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</si>
  <si>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</si>
  <si>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</si>
  <si>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</si>
  <si>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</si>
  <si>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</si>
  <si>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</si>
  <si>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</si>
  <si>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</si>
  <si>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</si>
  <si>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</si>
  <si>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</si>
  <si>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</si>
  <si>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</si>
  <si>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</si>
  <si>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</si>
  <si>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</si>
  <si>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</si>
  <si>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</si>
  <si>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</si>
  <si>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</si>
  <si>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</si>
  <si>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</si>
  <si>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</si>
  <si>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</si>
  <si>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</si>
  <si>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</si>
  <si>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</si>
  <si>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</si>
  <si>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</si>
  <si>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</si>
  <si>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</si>
  <si>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</si>
  <si>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</si>
  <si>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</si>
  <si>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</si>
  <si>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</si>
  <si>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</si>
  <si>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</si>
  <si>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</si>
  <si>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</si>
  <si>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</si>
  <si>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</si>
  <si>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</si>
  <si>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</si>
  <si>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</si>
  <si>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</si>
  <si>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</si>
  <si>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</si>
  <si>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</si>
  <si>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</si>
  <si>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</si>
  <si>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</si>
  <si>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</si>
  <si>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</si>
  <si>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</si>
  <si>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</si>
  <si>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</si>
  <si>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</si>
  <si>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</si>
  <si>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</si>
  <si>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</si>
  <si>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</si>
  <si>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</si>
  <si>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</si>
  <si>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</si>
  <si>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</si>
  <si>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</si>
  <si>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</si>
  <si>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</si>
  <si>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</si>
  <si>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</si>
  <si>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</si>
  <si>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</si>
  <si>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</si>
  <si>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</si>
  <si>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</si>
  <si>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</si>
  <si>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</si>
  <si>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</si>
  <si>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</si>
  <si>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</si>
  <si>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</si>
  <si>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</si>
  <si>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</si>
  <si>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</si>
  <si>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</si>
  <si>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</si>
  <si>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</si>
  <si>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</si>
  <si>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</si>
  <si>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</si>
  <si>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</si>
  <si>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</si>
  <si>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</si>
  <si>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</si>
  <si>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</si>
  <si>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</si>
  <si>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</si>
  <si>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</si>
  <si>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</si>
  <si>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</si>
  <si>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</si>
  <si>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</si>
  <si>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</si>
  <si>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</si>
  <si>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</si>
  <si>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</si>
  <si>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</si>
  <si>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</si>
  <si>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</si>
  <si>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</si>
  <si>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</si>
  <si>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</si>
  <si>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</si>
  <si>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</si>
  <si>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</si>
  <si>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</si>
  <si>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</si>
  <si>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</si>
  <si>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</si>
  <si>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</si>
  <si>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</si>
  <si>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</si>
  <si>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</si>
  <si>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</si>
  <si>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</si>
  <si>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</si>
  <si>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</si>
  <si>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</si>
  <si>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</si>
  <si>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</si>
  <si>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</si>
  <si>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</si>
  <si>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</si>
  <si>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</si>
  <si>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</si>
  <si>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</si>
  <si>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</si>
  <si>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</si>
  <si>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</si>
  <si>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</si>
  <si>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</si>
  <si>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</si>
  <si>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</si>
  <si>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</si>
  <si>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</si>
  <si>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</si>
  <si>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</si>
  <si>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</si>
  <si>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</si>
  <si>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</si>
  <si>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</si>
  <si>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</si>
  <si>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</si>
  <si>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</si>
  <si>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</si>
  <si>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</si>
  <si>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</si>
  <si>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</si>
  <si>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</si>
  <si>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</si>
  <si>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</si>
  <si>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</si>
  <si>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</si>
  <si>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</si>
  <si>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</si>
  <si>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</si>
  <si>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</si>
  <si>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</si>
  <si>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</si>
  <si>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</si>
  <si>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</si>
  <si>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</si>
  <si>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</si>
  <si>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</si>
  <si>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</si>
  <si>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</si>
  <si>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</si>
  <si>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</si>
  <si>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</si>
  <si>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</si>
  <si>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</si>
  <si>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</si>
  <si>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</si>
  <si>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</si>
  <si>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</si>
  <si>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</si>
  <si>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</si>
  <si>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</si>
  <si>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</si>
  <si>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</si>
  <si>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</si>
  <si>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</si>
  <si>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</si>
  <si>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</si>
  <si>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</si>
  <si>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</si>
  <si>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</si>
  <si>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</si>
  <si>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</si>
  <si>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</si>
  <si>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</si>
  <si>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</si>
  <si>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</si>
  <si>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</si>
  <si>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</si>
  <si>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</si>
  <si>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</si>
  <si>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</si>
  <si>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</si>
  <si>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</si>
  <si>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</si>
  <si>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</si>
  <si>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</si>
  <si>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</si>
  <si>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</si>
  <si>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</si>
  <si>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</si>
  <si>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</si>
  <si>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</si>
  <si>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</si>
  <si>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</si>
  <si>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</si>
  <si>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</si>
  <si>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</si>
  <si>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</si>
  <si>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</si>
  <si>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</si>
  <si>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</si>
  <si>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</si>
  <si>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</si>
  <si>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</si>
  <si>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</si>
  <si>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</si>
  <si>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</si>
  <si>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</si>
  <si>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</si>
  <si>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</si>
  <si>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</si>
  <si>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</si>
  <si>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</si>
  <si>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</si>
  <si>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</si>
  <si>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</si>
  <si>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</si>
  <si>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</si>
  <si>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</si>
  <si>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</si>
  <si>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</si>
  <si>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</si>
  <si>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</si>
  <si>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</si>
  <si>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</si>
  <si>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</si>
  <si>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</si>
  <si>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</si>
  <si>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</si>
  <si>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</si>
  <si>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</si>
  <si>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</si>
  <si>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</si>
  <si>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</si>
  <si>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</si>
  <si>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</si>
  <si>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</si>
  <si>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</si>
  <si>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</si>
  <si>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</si>
  <si>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</si>
  <si>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</si>
  <si>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</si>
  <si>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</si>
  <si>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</si>
  <si>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</si>
  <si>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</si>
  <si>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</si>
  <si>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</si>
  <si>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</si>
  <si>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</si>
  <si>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</si>
  <si>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</si>
  <si>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</si>
  <si>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</si>
  <si>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</si>
  <si>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</si>
  <si>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</si>
  <si>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</si>
  <si>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</si>
  <si>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</si>
  <si>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</si>
  <si>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</si>
  <si>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</si>
  <si>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</si>
  <si>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</si>
  <si>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</si>
  <si>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</si>
  <si>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</si>
  <si>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</si>
  <si>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</si>
  <si>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</si>
  <si>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</si>
  <si>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</si>
  <si>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</si>
  <si>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</si>
  <si>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</si>
  <si>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</si>
  <si>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</si>
  <si>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</si>
  <si>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</si>
  <si>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</si>
  <si>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</si>
  <si>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</si>
  <si>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</si>
  <si>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</si>
  <si>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</si>
  <si>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</si>
  <si>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</si>
  <si>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</si>
  <si>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</si>
  <si>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</si>
  <si>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</si>
  <si>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</si>
  <si>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</si>
  <si>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</si>
  <si>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</si>
  <si>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</si>
  <si>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</si>
  <si>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</si>
  <si>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</si>
  <si>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</si>
  <si>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</si>
  <si>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</si>
  <si>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</si>
  <si>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</si>
  <si>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</si>
  <si>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</si>
  <si>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</si>
  <si>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</si>
  <si>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</si>
  <si>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</si>
  <si>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</si>
  <si>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</si>
  <si>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</si>
  <si>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</si>
  <si>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</si>
  <si>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</si>
  <si>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</si>
  <si>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</si>
  <si>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</si>
  <si>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</si>
  <si>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</si>
  <si>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</si>
  <si>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</si>
  <si>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</si>
  <si>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</si>
  <si>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</si>
  <si>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</si>
  <si>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</si>
  <si>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</si>
  <si>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</si>
  <si>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</si>
  <si>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</si>
  <si>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</si>
  <si>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</si>
  <si>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</si>
  <si>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</si>
  <si>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</si>
  <si>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</si>
  <si>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</si>
  <si>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</si>
  <si>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</si>
  <si>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</si>
  <si>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</si>
  <si>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</si>
  <si>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</si>
  <si>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</si>
  <si>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</si>
  <si>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</si>
  <si>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</si>
  <si>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</si>
  <si>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</si>
  <si>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</si>
  <si>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</si>
  <si>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</si>
  <si>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</si>
  <si>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</si>
  <si>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</si>
  <si>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</si>
  <si>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</si>
  <si>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</si>
  <si>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</si>
  <si>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</si>
  <si>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</si>
  <si>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</si>
  <si>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</si>
  <si>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</si>
  <si>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</si>
  <si>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</si>
  <si>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</si>
  <si>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</si>
  <si>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</si>
  <si>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</si>
  <si>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</si>
  <si>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</si>
  <si>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</si>
  <si>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</si>
  <si>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</si>
  <si>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</si>
  <si>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</si>
  <si>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</si>
  <si>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</si>
  <si>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</si>
  <si>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</si>
  <si>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</si>
  <si>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</si>
  <si>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</si>
  <si>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</si>
  <si>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</si>
  <si>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</si>
  <si>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</si>
  <si>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</si>
  <si>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</si>
  <si>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</si>
  <si>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</si>
  <si>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</si>
  <si>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</si>
  <si>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</si>
  <si>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</si>
  <si>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</si>
  <si>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</si>
  <si>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</si>
  <si>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</si>
  <si>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</si>
  <si>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</si>
  <si>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</si>
  <si>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</si>
  <si>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</si>
  <si>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</si>
  <si>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</si>
  <si>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</si>
  <si>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</si>
  <si>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</si>
  <si>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</si>
  <si>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</si>
  <si>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</si>
  <si>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</si>
  <si>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</si>
  <si>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</si>
  <si>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</si>
  <si>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</si>
  <si>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</si>
  <si>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</si>
  <si>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</si>
  <si>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</si>
  <si>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</si>
  <si>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</si>
  <si>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</si>
  <si>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</si>
  <si>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</si>
  <si>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</si>
  <si>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</si>
  <si>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</si>
  <si>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</si>
  <si>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</si>
  <si>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</si>
  <si>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</si>
  <si>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</si>
  <si>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</si>
  <si>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</si>
  <si>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</si>
  <si>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</si>
  <si>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</si>
  <si>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</si>
  <si>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</si>
  <si>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</si>
  <si>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</si>
  <si>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</si>
  <si>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</si>
  <si>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</si>
  <si>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</si>
  <si>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</si>
  <si>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</si>
  <si>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</si>
  <si>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</si>
  <si>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</si>
  <si>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</si>
  <si>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</si>
  <si>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</si>
  <si>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</si>
  <si>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</si>
  <si>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</si>
  <si>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</si>
  <si>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</si>
  <si>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</si>
  <si>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</si>
  <si>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</si>
  <si>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</si>
  <si>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</si>
  <si>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</si>
  <si>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</si>
  <si>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</si>
  <si>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</si>
  <si>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</si>
  <si>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</si>
  <si>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</si>
  <si>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</si>
  <si>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</si>
  <si>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</si>
  <si>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</si>
  <si>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</si>
  <si>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</si>
  <si>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</si>
  <si>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</si>
  <si>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</si>
  <si>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</si>
  <si>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</si>
  <si>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</si>
  <si>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</si>
  <si>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</si>
  <si>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</si>
  <si>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</si>
  <si>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</si>
  <si>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</si>
  <si>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</si>
  <si>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</si>
  <si>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</si>
  <si>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</si>
  <si>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</si>
  <si>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</si>
  <si>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</si>
  <si>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</si>
  <si>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</si>
  <si>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</si>
  <si>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</si>
  <si>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</si>
  <si>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</si>
  <si>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</si>
  <si>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</si>
  <si>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</si>
  <si>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</si>
  <si>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</si>
  <si>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</si>
  <si>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</si>
  <si>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</si>
  <si>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</si>
  <si>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</si>
  <si>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</si>
  <si>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</si>
  <si>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</si>
  <si>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</si>
  <si>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</si>
  <si>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</si>
  <si>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</si>
  <si>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</si>
  <si>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</si>
  <si>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</si>
  <si>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</si>
  <si>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</si>
  <si>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</si>
  <si>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</si>
  <si>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</si>
  <si>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</si>
  <si>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</si>
  <si>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</si>
  <si>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</si>
  <si>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</si>
  <si>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</si>
  <si>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</si>
  <si>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</si>
  <si>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</si>
  <si>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</si>
  <si>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</si>
  <si>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</si>
  <si>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</si>
  <si>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</si>
  <si>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</si>
  <si>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</si>
  <si>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</si>
  <si>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</si>
  <si>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</si>
  <si>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</si>
  <si>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</si>
  <si>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</si>
  <si>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</si>
  <si>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</si>
  <si>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</si>
  <si>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</si>
  <si>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</si>
  <si>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</si>
  <si>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</si>
  <si>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</si>
  <si>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</si>
  <si>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</si>
  <si>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</si>
  <si>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</si>
  <si>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</si>
  <si>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</si>
  <si>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</si>
  <si>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</si>
  <si>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</si>
  <si>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</si>
  <si>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</si>
  <si>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</si>
  <si>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</si>
  <si>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</si>
  <si>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</si>
  <si>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</si>
  <si>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</si>
  <si>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</si>
  <si>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</si>
  <si>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</si>
  <si>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</si>
  <si>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</si>
  <si>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</si>
  <si>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</si>
  <si>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</si>
  <si>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</si>
  <si>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</si>
  <si>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</si>
  <si>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</si>
  <si>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</si>
  <si>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</si>
  <si>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</si>
  <si>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</si>
  <si>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</si>
  <si>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</si>
  <si>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</si>
  <si>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</si>
  <si>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</si>
  <si>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</si>
  <si>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</si>
  <si>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</si>
  <si>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</si>
  <si>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</si>
  <si>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</si>
  <si>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</si>
  <si>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</si>
  <si>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</si>
  <si>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</si>
  <si>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</si>
  <si>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</si>
  <si>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</si>
  <si>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</si>
  <si>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</si>
  <si>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</si>
  <si>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</si>
  <si>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</si>
  <si>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</si>
  <si>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</si>
  <si>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</si>
  <si>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</si>
  <si>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</si>
  <si>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</si>
  <si>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</si>
  <si>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</si>
  <si>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</si>
  <si>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</si>
  <si>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</si>
  <si>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</si>
  <si>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</si>
  <si>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</si>
  <si>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</si>
  <si>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</si>
  <si>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</si>
  <si>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</si>
  <si>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</si>
  <si>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</si>
  <si>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</si>
  <si>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</si>
  <si>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</si>
  <si>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</si>
  <si>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</si>
  <si>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</si>
  <si>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</si>
  <si>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</si>
  <si>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</si>
  <si>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</si>
  <si>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</si>
  <si>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</si>
  <si>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</si>
  <si>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</si>
  <si>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</si>
  <si>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</si>
  <si>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</si>
  <si>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</si>
  <si>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</si>
  <si>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</si>
  <si>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</si>
  <si>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</si>
  <si>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</si>
  <si>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</si>
  <si>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</si>
  <si>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</si>
  <si>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</si>
  <si>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</si>
  <si>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</si>
  <si>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</si>
  <si>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</si>
  <si>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</si>
  <si>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</si>
  <si>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</si>
  <si>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</si>
  <si>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</si>
  <si>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</si>
  <si>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</si>
  <si>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</si>
  <si>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</si>
  <si>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</si>
  <si>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</si>
  <si>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</si>
  <si>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</si>
  <si>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</si>
  <si>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</si>
  <si>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</si>
  <si>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</si>
  <si>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</si>
  <si>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</si>
  <si>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</si>
  <si>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</si>
  <si>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</si>
  <si>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</si>
  <si>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</si>
  <si>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</si>
  <si>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</si>
  <si>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</si>
  <si>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</si>
  <si>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</si>
  <si>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</si>
  <si>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</si>
  <si>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</si>
  <si>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</si>
  <si>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</si>
  <si>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</si>
  <si>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</si>
  <si>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</si>
  <si>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</si>
  <si>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</si>
  <si>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</si>
  <si>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</si>
  <si>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</si>
  <si>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</si>
  <si>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</si>
  <si>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</si>
  <si>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</si>
  <si>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</si>
  <si>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</si>
  <si>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</si>
  <si>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</si>
  <si>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</si>
  <si>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</si>
  <si>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</si>
  <si>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</si>
  <si>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</si>
  <si>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</si>
  <si>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</si>
  <si>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</si>
  <si>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</si>
  <si>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</si>
  <si>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</si>
  <si>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</si>
  <si>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</si>
  <si>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</si>
  <si>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</si>
  <si>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</si>
  <si>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</si>
  <si>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</si>
  <si>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</si>
  <si>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</si>
  <si>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</si>
  <si>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</si>
  <si>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</si>
  <si>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</si>
  <si>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</si>
  <si>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</si>
  <si>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</si>
  <si>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</si>
  <si>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</si>
  <si>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</si>
  <si>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</si>
  <si>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</si>
  <si>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</si>
  <si>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</si>
  <si>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</si>
  <si>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</si>
  <si>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</si>
  <si>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</si>
  <si>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</si>
  <si>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</si>
  <si>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</si>
  <si>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</si>
  <si>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</si>
  <si>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</si>
  <si>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</si>
  <si>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</si>
  <si>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</si>
  <si>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</si>
  <si>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</si>
  <si>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</si>
  <si>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</si>
  <si>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</si>
  <si>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</si>
  <si>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</si>
  <si>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</si>
  <si>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</si>
  <si>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</si>
  <si>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</si>
  <si>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</si>
  <si>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</si>
  <si>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</si>
  <si>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</si>
  <si>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</si>
  <si>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</si>
  <si>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</si>
  <si>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</si>
  <si>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</si>
  <si>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</si>
  <si>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</si>
  <si>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</si>
  <si>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</si>
  <si>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</si>
  <si>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</si>
  <si>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</si>
  <si>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</si>
  <si>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</si>
  <si>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</si>
  <si>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</si>
  <si>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</si>
  <si>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</si>
  <si>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</si>
  <si>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</si>
  <si>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</si>
  <si>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</si>
  <si>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</si>
  <si>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</si>
  <si>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</si>
  <si>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</si>
  <si>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</si>
  <si>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</si>
  <si>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</si>
  <si>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</si>
  <si>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</si>
  <si>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</si>
  <si>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</si>
  <si>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</si>
  <si>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</si>
  <si>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</si>
  <si>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</si>
  <si>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</si>
  <si>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</si>
  <si>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</si>
  <si>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</si>
  <si>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</si>
  <si>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</si>
  <si>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</si>
  <si>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</si>
  <si>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</si>
  <si>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</si>
  <si>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</si>
  <si>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</si>
  <si>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</si>
  <si>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</si>
  <si>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</si>
  <si>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</si>
  <si>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</si>
  <si>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</si>
  <si>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</si>
  <si>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</si>
  <si>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</si>
  <si>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</si>
  <si>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</si>
  <si>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</si>
  <si>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</si>
  <si>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</si>
  <si>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</si>
  <si>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</si>
  <si>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</si>
  <si>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</si>
  <si>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</si>
  <si>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</si>
  <si>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</si>
  <si>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</si>
  <si>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</si>
  <si>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</si>
  <si>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</si>
  <si>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</si>
  <si>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</si>
  <si>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</si>
  <si>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</si>
  <si>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</si>
  <si>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</si>
  <si>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</si>
  <si>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</si>
  <si>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</si>
  <si>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</si>
  <si>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</si>
  <si>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</si>
  <si>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</si>
  <si>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</si>
  <si>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</si>
  <si>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</si>
  <si>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</si>
  <si>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</si>
  <si>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</si>
  <si>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</si>
  <si>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</si>
  <si>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</si>
  <si>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</si>
  <si>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</si>
  <si>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</si>
  <si>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</si>
  <si>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</si>
  <si>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</si>
  <si>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</si>
  <si>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</si>
  <si>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</si>
  <si>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</si>
  <si>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</si>
  <si>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</si>
  <si>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</si>
  <si>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</si>
  <si>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</si>
  <si>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</si>
  <si>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</si>
  <si>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</si>
  <si>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</si>
  <si>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</si>
  <si>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</si>
  <si>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</si>
  <si>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</si>
  <si>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</si>
  <si>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</si>
  <si>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</si>
  <si>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</si>
  <si>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</si>
  <si>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</si>
  <si>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</si>
  <si>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</si>
  <si>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</si>
  <si>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</si>
  <si>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</si>
  <si>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</si>
  <si>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</si>
  <si>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</si>
  <si>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</si>
  <si>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</si>
  <si>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</si>
  <si>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</si>
  <si>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</si>
  <si>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</si>
  <si>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</si>
  <si>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</si>
  <si>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</si>
  <si>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</si>
  <si>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</si>
  <si>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</si>
  <si>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</si>
  <si>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</si>
  <si>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</si>
  <si>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</si>
  <si>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</si>
  <si>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</si>
  <si>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</si>
  <si>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</si>
  <si>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</si>
  <si>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</si>
  <si>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</si>
  <si>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</si>
  <si>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</si>
  <si>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</si>
  <si>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</si>
  <si>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</si>
  <si>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</si>
  <si>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</si>
  <si>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</si>
  <si>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</si>
  <si>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</si>
  <si>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</si>
  <si>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</si>
  <si>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</si>
  <si>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</si>
  <si>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</si>
  <si>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</si>
  <si>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</si>
  <si>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</si>
  <si>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</si>
  <si>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</si>
  <si>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</si>
  <si>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</si>
  <si>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</si>
  <si>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</si>
  <si>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</si>
  <si>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</si>
  <si>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</si>
  <si>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</si>
  <si>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</si>
  <si>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</si>
  <si>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</si>
  <si>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</si>
  <si>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</si>
  <si>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</si>
  <si>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</si>
  <si>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</si>
  <si>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</si>
  <si>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</si>
  <si>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</si>
  <si>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</si>
  <si>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</si>
  <si>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</si>
  <si>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</si>
  <si>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</si>
  <si>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</si>
  <si>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</si>
  <si>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</si>
  <si>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</si>
  <si>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</si>
  <si>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</si>
  <si>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</si>
  <si>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</si>
  <si>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</si>
  <si>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</si>
  <si>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</si>
  <si>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</si>
  <si>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</si>
  <si>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</si>
  <si>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</si>
  <si>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</si>
  <si>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</si>
  <si>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</si>
  <si>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</si>
  <si>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</si>
  <si>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</si>
  <si>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</si>
  <si>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</si>
  <si>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</si>
  <si>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</si>
  <si>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</si>
  <si>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</si>
  <si>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</si>
  <si>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</si>
  <si>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</si>
  <si>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</si>
  <si>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</si>
  <si>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</si>
  <si>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</si>
  <si>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</si>
  <si>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</si>
  <si>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</si>
  <si>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</si>
  <si>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</si>
  <si>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</si>
  <si>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</si>
  <si>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</si>
  <si>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</si>
  <si>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</si>
  <si>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</si>
  <si>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</si>
  <si>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</si>
  <si>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</si>
  <si>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</si>
  <si>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</si>
  <si>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</si>
  <si>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</si>
  <si>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</si>
  <si>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</si>
  <si>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</si>
  <si>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</si>
  <si>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</si>
  <si>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</si>
  <si>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</si>
  <si>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</si>
  <si>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</si>
  <si>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</si>
  <si>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</si>
  <si>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</si>
  <si>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</si>
  <si>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</si>
  <si>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</si>
  <si>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</si>
  <si>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</si>
  <si>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</si>
  <si>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</si>
  <si>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</si>
  <si>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</si>
  <si>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</si>
  <si>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</si>
  <si>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</si>
  <si>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</si>
  <si>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</si>
  <si>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</si>
  <si>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</si>
  <si>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</si>
  <si>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</si>
  <si>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</si>
  <si>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</si>
  <si>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</si>
  <si>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</si>
  <si>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</si>
  <si>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</si>
  <si>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</si>
  <si>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</si>
  <si>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</si>
  <si>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</si>
  <si>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</si>
  <si>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</si>
  <si>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</si>
  <si>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</si>
  <si>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</si>
  <si>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</si>
  <si>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</si>
  <si>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</si>
  <si>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</si>
  <si>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</si>
  <si>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</si>
  <si>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</si>
  <si>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</si>
  <si>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</si>
  <si>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</si>
  <si>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</si>
  <si>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</si>
  <si>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</si>
  <si>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</si>
  <si>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</si>
  <si>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</si>
  <si>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</si>
  <si>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</si>
  <si>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</si>
  <si>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</si>
  <si>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</si>
  <si>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</si>
  <si>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</si>
  <si>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</si>
  <si>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</si>
  <si>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</si>
  <si>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</si>
  <si>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</si>
  <si>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</si>
  <si>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</si>
  <si>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</si>
  <si>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</si>
  <si>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</si>
  <si>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</si>
  <si>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</si>
  <si>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</si>
  <si>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</si>
  <si>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</si>
  <si>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</si>
  <si>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</si>
  <si>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</si>
  <si>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</si>
  <si>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</si>
  <si>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</si>
  <si>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</si>
  <si>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</si>
  <si>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</si>
  <si>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</si>
  <si>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</si>
  <si>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</si>
  <si>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</si>
  <si>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</si>
  <si>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</si>
  <si>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</si>
  <si>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</si>
  <si>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</si>
  <si>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</si>
  <si>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</si>
  <si>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</si>
  <si>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</si>
  <si>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</si>
  <si>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</si>
  <si>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</si>
  <si>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</si>
  <si>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</si>
  <si>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</si>
  <si>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</si>
  <si>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</si>
  <si>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</si>
  <si>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</si>
  <si>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</si>
  <si>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</si>
  <si>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</si>
  <si>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</si>
  <si>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</si>
  <si>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</si>
  <si>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</si>
  <si>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</si>
  <si>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</si>
  <si>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</si>
  <si>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</si>
  <si>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</si>
  <si>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</si>
  <si>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</si>
  <si>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</si>
  <si>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</si>
  <si>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</si>
  <si>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</si>
  <si>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</si>
  <si>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</si>
  <si>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</si>
  <si>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</si>
  <si>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</si>
  <si>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</si>
  <si>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</si>
  <si>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</si>
  <si>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</si>
  <si>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</si>
  <si>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</si>
  <si>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</si>
  <si>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</si>
  <si>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</si>
  <si>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</si>
  <si>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</si>
  <si>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</si>
  <si>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</si>
  <si>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</si>
  <si>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</si>
  <si>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</si>
  <si>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</si>
  <si>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</si>
  <si>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</si>
  <si>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</si>
  <si>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</si>
  <si>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</si>
  <si>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</si>
  <si>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</si>
  <si>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</si>
  <si>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</si>
  <si>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</si>
  <si>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</si>
  <si>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</si>
  <si>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</si>
  <si>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</si>
  <si>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</si>
  <si>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</si>
  <si>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</si>
  <si>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</si>
  <si>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</si>
  <si>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</si>
  <si>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</si>
  <si>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</si>
  <si>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</si>
  <si>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</si>
  <si>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</si>
  <si>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</si>
  <si>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</si>
  <si>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</si>
  <si>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</si>
  <si>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</si>
  <si>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</si>
  <si>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</si>
  <si>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</si>
  <si>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</si>
  <si>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</si>
  <si>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</si>
  <si>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</si>
  <si>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</si>
  <si>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</si>
  <si>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</si>
  <si>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</si>
  <si>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</si>
  <si>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</si>
  <si>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</si>
  <si>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</si>
  <si>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</si>
  <si>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</si>
  <si>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</si>
  <si>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</si>
  <si>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</si>
  <si>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</si>
  <si>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</si>
  <si>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</si>
  <si>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</si>
  <si>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</si>
  <si>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</si>
  <si>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</si>
  <si>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</si>
  <si>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</si>
  <si>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</si>
  <si>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</si>
  <si>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</si>
  <si>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</si>
  <si>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</si>
  <si>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</si>
  <si>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</si>
  <si>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</si>
  <si>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</si>
  <si>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</si>
  <si>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</si>
  <si>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</si>
  <si>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</si>
  <si>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</si>
  <si>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</si>
  <si>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</si>
  <si>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</si>
  <si>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</si>
  <si>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</si>
  <si>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</si>
  <si>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</si>
  <si>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</si>
  <si>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</si>
  <si>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</si>
  <si>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</si>
  <si>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</si>
  <si>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</si>
  <si>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</si>
  <si>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</si>
  <si>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</si>
  <si>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</si>
  <si>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</si>
  <si>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</si>
  <si>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</si>
  <si>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</si>
  <si>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</si>
  <si>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</si>
  <si>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</si>
  <si>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</si>
  <si>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</si>
  <si>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</si>
  <si>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</si>
  <si>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</si>
  <si>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</si>
  <si>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</si>
  <si>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</si>
  <si>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</si>
  <si>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</si>
  <si>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</si>
  <si>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</si>
  <si>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</si>
  <si>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</si>
  <si>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</si>
  <si>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</si>
  <si>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</si>
  <si>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</si>
  <si>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</si>
  <si>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</si>
  <si>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</si>
  <si>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</si>
  <si>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</si>
  <si>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</si>
  <si>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</si>
  <si>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</si>
  <si>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</si>
  <si>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</si>
  <si>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</si>
  <si>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</si>
  <si>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</si>
  <si>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</si>
  <si>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</si>
  <si>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</si>
  <si>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</si>
  <si>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</si>
  <si>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</si>
  <si>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</si>
  <si>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</si>
  <si>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</si>
  <si>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</si>
  <si>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</si>
  <si>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</si>
  <si>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</si>
  <si>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</si>
  <si>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</si>
  <si>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</si>
  <si>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</si>
  <si>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</si>
  <si>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</si>
  <si>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</si>
  <si>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</si>
  <si>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</si>
  <si>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</si>
  <si>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</si>
  <si>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</si>
  <si>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</si>
  <si>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</si>
  <si>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</si>
  <si>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</si>
  <si>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</si>
  <si>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</si>
  <si>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</si>
  <si>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</si>
  <si>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</si>
  <si>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</si>
  <si>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</si>
  <si>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</si>
  <si>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</si>
  <si>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</si>
  <si>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</si>
  <si>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</si>
  <si>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</si>
  <si>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</si>
  <si>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</si>
  <si>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</si>
  <si>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</si>
  <si>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</si>
  <si>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</si>
  <si>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</si>
  <si>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</si>
  <si>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</si>
  <si>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</si>
  <si>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</si>
  <si>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</si>
  <si>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</si>
  <si>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</si>
  <si>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</si>
  <si>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</si>
  <si>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</si>
  <si>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</si>
  <si>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</si>
  <si>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</si>
  <si>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</si>
  <si>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</si>
  <si>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</si>
  <si>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</si>
  <si>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</si>
  <si>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</si>
  <si>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</si>
  <si>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</si>
  <si>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</si>
  <si>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</si>
  <si>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</si>
  <si>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</si>
  <si>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</si>
  <si>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</si>
  <si>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</si>
  <si>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</si>
  <si>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</si>
  <si>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</si>
  <si>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</si>
  <si>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</si>
  <si>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</si>
  <si>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</si>
  <si>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</si>
  <si>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</si>
  <si>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</si>
  <si>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</si>
  <si>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</si>
  <si>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</si>
  <si>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</si>
  <si>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</si>
  <si>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</si>
  <si>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</si>
  <si>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</si>
  <si>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</si>
  <si>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</si>
  <si>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</si>
  <si>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</si>
  <si>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</si>
  <si>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</si>
  <si>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</si>
  <si>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</si>
  <si>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</si>
  <si>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</si>
  <si>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</si>
  <si>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</si>
  <si>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</si>
  <si>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</si>
  <si>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</si>
  <si>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</si>
  <si>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</si>
  <si>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</si>
  <si>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</si>
  <si>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</si>
  <si>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</si>
  <si>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</si>
  <si>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</si>
  <si>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</si>
  <si>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</si>
  <si>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</si>
  <si>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</si>
  <si>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</si>
  <si>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</si>
  <si>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</si>
  <si>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</si>
  <si>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</si>
  <si>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</si>
  <si>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</si>
  <si>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</si>
  <si>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</si>
  <si>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</si>
  <si>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</si>
  <si>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</si>
  <si>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</si>
  <si>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</si>
  <si>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</si>
  <si>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</si>
  <si>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</si>
  <si>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</si>
  <si>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</si>
  <si>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</si>
  <si>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</si>
  <si>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</si>
  <si>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</si>
  <si>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</si>
  <si>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</si>
  <si>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</si>
  <si>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</si>
  <si>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</si>
  <si>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</si>
  <si>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</si>
  <si>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</si>
  <si>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</si>
  <si>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</si>
  <si>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</si>
  <si>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</si>
  <si>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</si>
  <si>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</si>
  <si>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</si>
  <si>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</si>
  <si>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</si>
  <si>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</si>
  <si>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</si>
  <si>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</si>
  <si>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</si>
  <si>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</si>
  <si>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</si>
  <si>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</si>
  <si>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</si>
  <si>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</si>
  <si>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</si>
  <si>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</si>
  <si>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</si>
  <si>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</si>
  <si>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</si>
  <si>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</si>
  <si>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</si>
  <si>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</si>
  <si>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</si>
  <si>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</si>
  <si>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</si>
  <si>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</si>
  <si>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</si>
  <si>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</si>
  <si>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</si>
  <si>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</si>
  <si>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</si>
  <si>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</si>
  <si>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</si>
  <si>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</si>
  <si>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</si>
  <si>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</si>
  <si>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</si>
  <si>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</si>
  <si>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</si>
  <si>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</si>
  <si>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</si>
  <si>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</si>
  <si>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</si>
  <si>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</si>
  <si>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</si>
  <si>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</si>
  <si>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</si>
  <si>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</si>
  <si>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</si>
  <si>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</si>
  <si>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</si>
  <si>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</si>
  <si>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</si>
  <si>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</si>
  <si>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</si>
  <si>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</si>
  <si>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</si>
  <si>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</si>
  <si>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</si>
  <si>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</si>
  <si>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</si>
  <si>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</si>
  <si>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</si>
  <si>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</si>
  <si>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</si>
  <si>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</si>
  <si>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</si>
  <si>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</si>
  <si>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</si>
  <si>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</si>
  <si>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</si>
  <si>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</si>
  <si>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</si>
  <si>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</si>
  <si>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</si>
  <si>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</si>
  <si>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</si>
  <si>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</si>
  <si>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</si>
  <si>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</si>
  <si>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</si>
  <si>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</si>
  <si>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</si>
  <si>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</si>
  <si>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</si>
  <si>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</si>
  <si>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</si>
  <si>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</si>
  <si>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</si>
  <si>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</si>
  <si>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</si>
  <si>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</si>
  <si>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</si>
  <si>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</si>
  <si>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</si>
  <si>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</si>
  <si>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</si>
  <si>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</si>
  <si>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</si>
  <si>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</si>
  <si>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</si>
  <si>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</si>
  <si>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</si>
  <si>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</si>
  <si>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</si>
  <si>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</si>
  <si>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</si>
  <si>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</si>
  <si>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</si>
  <si>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</si>
  <si>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</si>
  <si>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</si>
  <si>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</si>
  <si>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</si>
  <si>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</si>
  <si>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</si>
  <si>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</si>
  <si>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</si>
  <si>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</si>
  <si>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</si>
  <si>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</si>
  <si>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</si>
  <si>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</si>
  <si>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</si>
  <si>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</si>
  <si>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</si>
  <si>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</si>
  <si>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</si>
  <si>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</si>
  <si>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</si>
  <si>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</si>
  <si>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</si>
  <si>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</si>
  <si>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</si>
  <si>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</si>
  <si>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</si>
  <si>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</si>
  <si>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</si>
  <si>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</si>
  <si>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</si>
  <si>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</si>
  <si>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</si>
  <si>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</si>
  <si>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</si>
  <si>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</si>
  <si>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</si>
  <si>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</si>
  <si>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</si>
  <si>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</si>
  <si>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</si>
  <si>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</si>
  <si>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</si>
  <si>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</si>
  <si>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</si>
  <si>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</si>
  <si>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</si>
  <si>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</si>
  <si>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</si>
  <si>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</si>
  <si>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</si>
  <si>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</si>
  <si>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</si>
  <si>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</si>
  <si>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</si>
  <si>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</si>
  <si>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</si>
  <si>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</si>
  <si>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</si>
  <si>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</si>
  <si>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</si>
  <si>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</si>
  <si>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</si>
  <si>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</si>
  <si>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</si>
  <si>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</si>
  <si>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</si>
  <si>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</si>
  <si>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</si>
  <si>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</si>
  <si>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</si>
  <si>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</si>
  <si>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</si>
  <si>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</si>
  <si>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</si>
  <si>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</si>
  <si>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</si>
  <si>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</si>
  <si>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</si>
  <si>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</si>
  <si>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</si>
  <si>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</si>
  <si>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</si>
  <si>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</si>
  <si>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</si>
  <si>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</si>
  <si>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</si>
  <si>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</si>
  <si>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</si>
  <si>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</si>
  <si>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</si>
  <si>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</si>
  <si>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</si>
  <si>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</si>
  <si>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</si>
  <si>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</si>
  <si>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</si>
  <si>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</si>
  <si>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</si>
  <si>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</si>
  <si>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</si>
  <si>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</si>
  <si>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</si>
  <si>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</si>
  <si>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</si>
  <si>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</si>
  <si>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</si>
  <si>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</si>
  <si>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</si>
  <si>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</si>
  <si>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</si>
  <si>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</si>
  <si>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</si>
  <si>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</si>
  <si>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</si>
  <si>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</si>
  <si>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</si>
  <si>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</si>
  <si>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</si>
  <si>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</si>
  <si>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</si>
  <si>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</si>
  <si>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</si>
  <si>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</si>
  <si>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</si>
  <si>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</si>
  <si>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</si>
  <si>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</si>
  <si>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</si>
  <si>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</si>
  <si>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</si>
  <si>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</si>
  <si>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</si>
  <si>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</si>
  <si>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</si>
  <si>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</si>
  <si>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</si>
  <si>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</si>
  <si>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</si>
  <si>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</si>
  <si>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</si>
  <si>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</si>
  <si>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</si>
  <si>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</si>
  <si>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</si>
  <si>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</si>
  <si>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</si>
  <si>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</si>
  <si>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</si>
  <si>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</si>
  <si>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</si>
  <si>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</si>
  <si>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</si>
  <si>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</si>
  <si>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</si>
  <si>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</si>
  <si>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</si>
  <si>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</si>
  <si>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</si>
  <si>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</si>
  <si>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</si>
  <si>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</si>
  <si>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</si>
  <si>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</si>
  <si>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</si>
  <si>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</si>
  <si>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</si>
  <si>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</si>
  <si>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</si>
  <si>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</si>
  <si>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</si>
  <si>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</si>
  <si>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</si>
  <si>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</si>
  <si>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</si>
  <si>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</si>
  <si>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</si>
  <si>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</si>
  <si>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</si>
  <si>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</si>
  <si>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</si>
  <si>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</si>
  <si>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</si>
  <si>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</si>
  <si>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</si>
  <si>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</si>
  <si>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</si>
  <si>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</si>
  <si>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</si>
  <si>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</si>
  <si>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</si>
  <si>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</si>
  <si>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</si>
  <si>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</si>
  <si>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</si>
  <si>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</si>
  <si>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</si>
  <si>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</si>
  <si>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</si>
  <si>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</si>
  <si>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</si>
  <si>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</si>
  <si>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</si>
  <si>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</si>
  <si>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</si>
  <si>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</si>
  <si>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</si>
  <si>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</si>
  <si>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</si>
  <si>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</si>
  <si>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</si>
  <si>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</si>
  <si>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</si>
  <si>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</si>
  <si>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</si>
  <si>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</si>
  <si>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</si>
  <si>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</si>
  <si>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</si>
  <si>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</si>
  <si>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</si>
  <si>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</si>
  <si>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</si>
  <si>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</si>
  <si>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</si>
  <si>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</si>
  <si>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</si>
  <si>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</si>
  <si>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</si>
  <si>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</si>
  <si>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</si>
  <si>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</si>
  <si>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</si>
  <si>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</si>
  <si>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</si>
  <si>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</si>
  <si>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</si>
  <si>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</si>
  <si>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</si>
  <si>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</si>
  <si>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</si>
  <si>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</si>
  <si>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</si>
  <si>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</si>
  <si>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</si>
  <si>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</si>
  <si>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</si>
  <si>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</si>
  <si>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</si>
  <si>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</si>
  <si>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</si>
  <si>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</si>
  <si>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</si>
  <si>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</si>
  <si>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</si>
  <si>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</si>
  <si>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</si>
  <si>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</si>
  <si>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</si>
  <si>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</si>
  <si>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</si>
  <si>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</si>
  <si>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</si>
  <si>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</si>
  <si>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</si>
  <si>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</si>
  <si>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</si>
  <si>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</si>
  <si>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</si>
  <si>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</si>
  <si>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</si>
  <si>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</si>
  <si>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</si>
  <si>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</si>
  <si>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</si>
  <si>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</si>
  <si>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</si>
  <si>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</si>
  <si>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</si>
  <si>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</si>
  <si>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</si>
  <si>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</si>
  <si>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</si>
  <si>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</si>
  <si>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</si>
  <si>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</si>
  <si>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</si>
  <si>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</si>
  <si>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</si>
  <si>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</si>
  <si>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</si>
  <si>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</si>
  <si>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</si>
  <si>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</si>
  <si>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</si>
  <si>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</si>
  <si>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</si>
  <si>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</si>
  <si>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</si>
  <si>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</si>
  <si>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</si>
  <si>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</si>
  <si>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</si>
  <si>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</si>
  <si>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</si>
  <si>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</si>
  <si>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</si>
  <si>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</si>
  <si>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</si>
  <si>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</si>
  <si>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</si>
  <si>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</si>
  <si>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</si>
  <si>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</si>
  <si>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</si>
  <si>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</si>
  <si>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</si>
  <si>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</si>
  <si>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</si>
  <si>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</si>
  <si>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</si>
  <si>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</si>
  <si>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</si>
  <si>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</si>
  <si>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</si>
  <si>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</si>
  <si>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</si>
  <si>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</si>
  <si>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</si>
  <si>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</si>
  <si>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</si>
  <si>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</si>
  <si>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</si>
  <si>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</si>
  <si>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</si>
  <si>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</si>
  <si>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</si>
  <si>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</si>
  <si>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</si>
  <si>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</si>
  <si>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</si>
  <si>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</si>
  <si>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</si>
  <si>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</si>
  <si>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</si>
  <si>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</si>
  <si>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</si>
  <si>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</si>
  <si>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</si>
  <si>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</si>
  <si>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</si>
  <si>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</si>
  <si>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</si>
  <si>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</si>
  <si>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</si>
  <si>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</si>
  <si>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</si>
  <si>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</si>
  <si>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</si>
  <si>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</si>
  <si>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</si>
  <si>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</si>
  <si>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</si>
  <si>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</si>
  <si>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</si>
  <si>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</si>
  <si>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</si>
  <si>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</si>
  <si>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</si>
  <si>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</si>
  <si>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</si>
  <si>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</si>
  <si>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</si>
  <si>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</si>
  <si>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</si>
  <si>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</si>
  <si>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</si>
  <si>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</si>
  <si>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</si>
  <si>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</si>
  <si>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</si>
  <si>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</si>
  <si>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</si>
  <si>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</si>
  <si>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</si>
  <si>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</si>
  <si>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</si>
  <si>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</si>
  <si>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</si>
  <si>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</si>
  <si>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</si>
  <si>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</si>
  <si>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</si>
  <si>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</si>
  <si>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</si>
  <si>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</si>
  <si>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</si>
  <si>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</si>
  <si>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</si>
  <si>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</si>
  <si>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</si>
  <si>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</si>
  <si>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</si>
  <si>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</si>
  <si>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</si>
  <si>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</si>
  <si>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</si>
  <si>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</si>
  <si>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</si>
  <si>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</si>
  <si>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</si>
  <si>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</si>
  <si>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</si>
  <si>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</si>
  <si>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</si>
  <si>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</si>
  <si>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</si>
  <si>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</si>
  <si>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</si>
  <si>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</si>
  <si>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</si>
  <si>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</si>
  <si>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</si>
  <si>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</si>
  <si>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</si>
  <si>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</si>
  <si>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</si>
  <si>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</si>
  <si>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</si>
  <si>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</si>
  <si>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</si>
  <si>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</si>
  <si>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</si>
  <si>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</si>
  <si>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</si>
  <si>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</si>
  <si>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</si>
  <si>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</si>
  <si>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</si>
  <si>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</si>
  <si>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</si>
  <si>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</si>
  <si>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</si>
  <si>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</si>
  <si>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</si>
  <si>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</si>
  <si>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</si>
  <si>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</si>
  <si>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</si>
  <si>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</si>
  <si>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</si>
  <si>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</si>
  <si>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</si>
  <si>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</si>
  <si>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</si>
  <si>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</si>
  <si>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</si>
  <si>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</si>
  <si>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</si>
  <si>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</si>
  <si>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</si>
  <si>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</si>
  <si>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</si>
  <si>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</si>
  <si>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</si>
  <si>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</si>
  <si>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</si>
  <si>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</si>
  <si>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</si>
  <si>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</si>
  <si>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</si>
  <si>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</si>
  <si>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</si>
  <si>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</si>
  <si>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</si>
  <si>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</si>
  <si>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</si>
  <si>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</si>
  <si>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</si>
  <si>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</si>
  <si>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</si>
  <si>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</si>
  <si>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</si>
  <si>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</si>
  <si>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</si>
  <si>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</si>
  <si>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</si>
  <si>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</si>
  <si>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</si>
  <si>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</si>
  <si>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</si>
  <si>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</si>
  <si>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</si>
  <si>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</si>
  <si>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</si>
  <si>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</si>
  <si>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</si>
  <si>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</si>
  <si>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</si>
  <si>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</si>
  <si>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</si>
  <si>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</si>
  <si>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</si>
  <si>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</si>
  <si>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</si>
  <si>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</si>
  <si>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</si>
  <si>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</si>
  <si>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</si>
  <si>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</si>
  <si>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</si>
  <si>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</si>
  <si>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</si>
  <si>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</si>
  <si>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</si>
  <si>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</si>
  <si>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</si>
  <si>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</si>
  <si>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</si>
  <si>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</si>
  <si>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</si>
  <si>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</si>
  <si>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</si>
  <si>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</si>
  <si>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</si>
  <si>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</si>
  <si>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</si>
  <si>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</si>
  <si>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</si>
  <si>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</si>
  <si>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</si>
  <si>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</si>
  <si>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</si>
  <si>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</si>
  <si>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</si>
  <si>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</si>
  <si>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</si>
  <si>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</si>
  <si>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</si>
  <si>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</si>
  <si>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</si>
  <si>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</si>
  <si>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</si>
  <si>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</si>
  <si>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</si>
  <si>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</si>
  <si>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</si>
  <si>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</si>
  <si>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</si>
  <si>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</si>
  <si>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</si>
  <si>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</si>
  <si>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</si>
  <si>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</si>
  <si>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</si>
  <si>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</si>
  <si>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</si>
  <si>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</si>
  <si>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</si>
  <si>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</si>
  <si>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</si>
  <si>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</si>
  <si>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</si>
  <si>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</si>
  <si>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</si>
  <si>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</si>
  <si>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</si>
  <si>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</si>
  <si>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</si>
  <si>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</si>
  <si>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</si>
  <si>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</si>
  <si>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</si>
  <si>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</si>
  <si>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</si>
  <si>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</si>
  <si>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</si>
  <si>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</si>
  <si>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</si>
  <si>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</si>
  <si>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</si>
  <si>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</si>
  <si>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</si>
  <si>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</si>
  <si>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</si>
  <si>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</si>
  <si>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</si>
  <si>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</si>
  <si>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</si>
  <si>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</si>
  <si>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</si>
  <si>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</si>
  <si>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</si>
  <si>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</si>
  <si>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</si>
  <si>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</si>
  <si>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</si>
  <si>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</si>
  <si>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</si>
  <si>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</si>
  <si>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</si>
  <si>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</si>
  <si>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</si>
  <si>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</si>
  <si>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</si>
  <si>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</si>
  <si>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</si>
  <si>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</si>
  <si>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</si>
  <si>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</si>
  <si>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</si>
  <si>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</si>
  <si>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</si>
  <si>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</si>
  <si>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</si>
  <si>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</si>
  <si>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</si>
  <si>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</si>
  <si>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</si>
  <si>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</si>
  <si>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</si>
  <si>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</si>
  <si>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</si>
  <si>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</si>
  <si>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</si>
  <si>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</si>
  <si>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</si>
  <si>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</si>
  <si>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</si>
  <si>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</si>
  <si>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</si>
  <si>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</si>
  <si>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</si>
  <si>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</si>
  <si>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</si>
  <si>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</si>
  <si>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</si>
  <si>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</si>
  <si>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</si>
  <si>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</si>
  <si>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</si>
  <si>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</si>
  <si>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</si>
  <si>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</si>
  <si>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</si>
  <si>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</si>
  <si>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</si>
  <si>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</si>
  <si>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</si>
  <si>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</si>
  <si>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</si>
  <si>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</si>
  <si>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</si>
  <si>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</si>
  <si>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</si>
  <si>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</si>
  <si>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</si>
  <si>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</si>
  <si>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</si>
  <si>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</si>
  <si>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</si>
  <si>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</si>
  <si>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</si>
  <si>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</si>
  <si>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</si>
  <si>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</si>
  <si>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</si>
  <si>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</si>
  <si>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</si>
  <si>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</si>
  <si>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</si>
  <si>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</si>
  <si>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</si>
  <si>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</si>
  <si>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</si>
  <si>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</si>
  <si>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</si>
  <si>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</si>
  <si>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</si>
  <si>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</si>
  <si>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</si>
  <si>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</si>
  <si>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</si>
  <si>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</si>
  <si>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</si>
  <si>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</si>
  <si>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</si>
  <si>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</si>
  <si>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</si>
  <si>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</si>
  <si>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</si>
  <si>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</si>
  <si>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</si>
  <si>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</si>
  <si>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</si>
  <si>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</si>
  <si>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</si>
  <si>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</si>
  <si>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</si>
  <si>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</si>
  <si>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</si>
  <si>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</si>
  <si>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</si>
  <si>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</si>
  <si>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</si>
  <si>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</si>
  <si>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</si>
  <si>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</si>
  <si>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</si>
  <si>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</si>
  <si>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</si>
  <si>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</si>
  <si>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</si>
  <si>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</si>
  <si>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</si>
  <si>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</si>
  <si>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</si>
  <si>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</si>
  <si>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</si>
  <si>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</si>
  <si>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</si>
  <si>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</si>
  <si>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</si>
  <si>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</si>
  <si>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</si>
  <si>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</si>
  <si>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</si>
  <si>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</si>
  <si>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</si>
  <si>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</si>
  <si>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</si>
  <si>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</si>
  <si>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</si>
  <si>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</si>
  <si>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</si>
  <si>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</si>
  <si>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</si>
  <si>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</si>
  <si>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</si>
  <si>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</si>
  <si>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</si>
  <si>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</si>
  <si>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</si>
  <si>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</si>
  <si>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</si>
  <si>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</si>
  <si>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</si>
  <si>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</si>
  <si>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</si>
  <si>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</si>
  <si>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</si>
  <si>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</si>
  <si>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</si>
  <si>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</si>
  <si>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</si>
  <si>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</si>
  <si>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</si>
  <si>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</si>
  <si>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</si>
  <si>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</si>
  <si>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</si>
  <si>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</si>
  <si>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</si>
  <si>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</si>
  <si>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</si>
  <si>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</si>
  <si>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</si>
  <si>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</si>
  <si>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</si>
  <si>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</si>
  <si>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</si>
  <si>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</si>
  <si>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</si>
  <si>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</si>
  <si>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</si>
  <si>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</si>
  <si>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</si>
  <si>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</si>
  <si>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</si>
  <si>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</si>
  <si>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</si>
  <si>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</si>
  <si>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</si>
  <si>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</si>
  <si>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</si>
  <si>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</si>
  <si>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</si>
  <si>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</si>
  <si>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</si>
  <si>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</si>
  <si>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</si>
  <si>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</si>
  <si>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</si>
  <si>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</si>
  <si>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</si>
  <si>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</si>
  <si>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</si>
  <si>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</si>
  <si>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</si>
  <si>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</si>
  <si>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</si>
  <si>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</si>
  <si>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</si>
  <si>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</si>
  <si>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</si>
  <si>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</si>
  <si>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</si>
  <si>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</si>
  <si>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</si>
  <si>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</si>
  <si>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</si>
  <si>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</si>
  <si>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</si>
  <si>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</si>
  <si>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</si>
  <si>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</si>
  <si>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</si>
  <si>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</si>
  <si>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</si>
  <si>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</si>
  <si>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</si>
  <si>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</si>
  <si>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</si>
  <si>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</si>
  <si>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</si>
  <si>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</si>
  <si>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</si>
  <si>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</si>
  <si>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</si>
  <si>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</si>
  <si>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</si>
  <si>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</si>
  <si>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</si>
  <si>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</si>
  <si>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</si>
  <si>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</si>
  <si>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</si>
  <si>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</si>
  <si>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</si>
  <si>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</si>
  <si>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</si>
  <si>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</si>
  <si>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</si>
  <si>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</si>
  <si>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</si>
  <si>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</si>
  <si>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</si>
  <si>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</si>
  <si>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</si>
  <si>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</si>
  <si>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</si>
  <si>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</si>
  <si>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</si>
  <si>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</si>
  <si>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</si>
  <si>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</si>
  <si>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</si>
  <si>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</si>
  <si>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</si>
  <si>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</si>
  <si>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</si>
  <si>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</si>
  <si>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</si>
  <si>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</si>
  <si>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</si>
  <si>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</si>
  <si>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</si>
  <si>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</si>
  <si>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</si>
  <si>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</si>
  <si>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</si>
  <si>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</si>
  <si>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</si>
  <si>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</si>
  <si>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</si>
  <si>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</si>
  <si>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</si>
  <si>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</si>
  <si>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</si>
  <si>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</si>
  <si>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</si>
  <si>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</si>
  <si>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</si>
  <si>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</si>
  <si>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</si>
  <si>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</si>
  <si>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</si>
  <si>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</si>
  <si>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</si>
  <si>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</si>
  <si>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</si>
  <si>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</si>
  <si>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</si>
  <si>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</si>
  <si>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</si>
  <si>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</si>
  <si>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</si>
  <si>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</si>
  <si>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</si>
  <si>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</si>
  <si>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</si>
  <si>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</si>
  <si>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</si>
  <si>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</si>
  <si>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</si>
  <si>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</si>
  <si>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</si>
  <si>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</si>
  <si>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</si>
  <si>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</si>
  <si>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</si>
  <si>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</si>
  <si>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</si>
  <si>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</si>
  <si>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</si>
  <si>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</si>
  <si>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</si>
  <si>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</si>
  <si>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</si>
  <si>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</si>
  <si>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</si>
  <si>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</si>
  <si>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</si>
  <si>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</si>
  <si>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</si>
  <si>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</si>
  <si>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</si>
  <si>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</si>
  <si>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</si>
  <si>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</si>
  <si>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</si>
  <si>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</si>
  <si>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</si>
  <si>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</si>
  <si>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</si>
  <si>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</si>
  <si>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</si>
  <si>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</si>
  <si>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</si>
  <si>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</si>
  <si>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</si>
  <si>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</si>
  <si>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</si>
  <si>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</si>
  <si>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</si>
  <si>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</si>
  <si>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</si>
  <si>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</si>
  <si>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</si>
  <si>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</si>
  <si>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</si>
  <si>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</si>
  <si>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</si>
  <si>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</si>
  <si>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</si>
  <si>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</si>
  <si>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</si>
  <si>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</si>
  <si>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</si>
  <si>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</si>
  <si>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</si>
  <si>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</si>
  <si>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</si>
  <si>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</si>
  <si>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</si>
  <si>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</si>
  <si>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</si>
  <si>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</si>
  <si>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</si>
  <si>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</si>
  <si>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</si>
  <si>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</si>
  <si>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</si>
  <si>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</si>
  <si>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</si>
  <si>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</si>
  <si>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</si>
  <si>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</si>
  <si>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</si>
  <si>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</si>
  <si>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</si>
  <si>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</si>
  <si>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</si>
  <si>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</si>
  <si>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</si>
  <si>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</si>
  <si>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</si>
  <si>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</si>
  <si>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</si>
  <si>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</si>
  <si>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</si>
  <si>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</si>
  <si>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</si>
  <si>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</si>
  <si>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</si>
  <si>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</si>
  <si>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</si>
  <si>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</si>
  <si>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</si>
  <si>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</si>
  <si>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</si>
  <si>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</si>
  <si>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</si>
  <si>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</si>
  <si>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</si>
  <si>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</si>
  <si>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</si>
  <si>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</si>
  <si>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</si>
  <si>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</si>
  <si>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</si>
  <si>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</si>
  <si>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</si>
  <si>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</si>
  <si>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</si>
  <si>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</si>
  <si>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</si>
  <si>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</si>
  <si>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</si>
  <si>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</si>
  <si>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</si>
  <si>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</si>
  <si>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</si>
  <si>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</si>
  <si>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</si>
  <si>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</si>
  <si>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</si>
  <si>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</si>
  <si>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</si>
  <si>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</si>
  <si>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</si>
  <si>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</si>
  <si>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</si>
  <si>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</si>
  <si>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</si>
  <si>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</si>
  <si>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</si>
  <si>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</si>
  <si>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</si>
  <si>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</si>
  <si>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</si>
  <si>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</si>
  <si>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</si>
  <si>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</si>
  <si>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</si>
  <si>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</si>
  <si>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</si>
  <si>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</si>
  <si>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</si>
  <si>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</si>
  <si>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</si>
  <si>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</si>
  <si>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</si>
  <si>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</si>
  <si>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</si>
  <si>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</si>
  <si>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</si>
  <si>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</si>
  <si>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</si>
  <si>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</si>
  <si>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</si>
  <si>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</si>
  <si>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</si>
  <si>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</si>
  <si>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</si>
  <si>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</si>
  <si>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</si>
  <si>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</si>
  <si>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</si>
  <si>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</si>
  <si>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</si>
  <si>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</si>
  <si>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</si>
  <si>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</si>
  <si>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</si>
  <si>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</si>
  <si>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</si>
  <si>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</si>
  <si>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</si>
  <si>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</si>
  <si>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</si>
  <si>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</si>
  <si>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</si>
  <si>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</si>
  <si>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</si>
  <si>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</si>
  <si>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</si>
  <si>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</si>
  <si>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</si>
  <si>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</si>
  <si>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</si>
  <si>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</si>
  <si>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</si>
  <si>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</si>
  <si>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</si>
  <si>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</si>
  <si>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</si>
  <si>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</si>
  <si>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</si>
  <si>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</si>
  <si>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</si>
  <si>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</si>
  <si>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</si>
  <si>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</si>
  <si>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</si>
  <si>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</si>
  <si>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</si>
  <si>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</si>
  <si>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</si>
  <si>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</si>
  <si>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</si>
  <si>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</si>
  <si>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</si>
  <si>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</si>
  <si>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</si>
  <si>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</si>
  <si>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</si>
  <si>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</si>
  <si>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</si>
  <si>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</si>
  <si>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</si>
  <si>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</si>
  <si>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</si>
  <si>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</si>
  <si>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</si>
  <si>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</si>
  <si>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</si>
  <si>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</si>
  <si>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</si>
  <si>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</si>
  <si>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</si>
  <si>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</si>
  <si>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</si>
  <si>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</si>
  <si>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</si>
  <si>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</si>
  <si>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</si>
  <si>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</si>
  <si>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</si>
  <si>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</si>
  <si>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</si>
  <si>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</si>
  <si>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</si>
  <si>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</si>
  <si>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</si>
  <si>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</si>
  <si>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</si>
  <si>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</si>
  <si>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</si>
  <si>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</si>
  <si>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</si>
  <si>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</si>
  <si>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</si>
  <si>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</si>
  <si>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</si>
  <si>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</si>
  <si>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</si>
  <si>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</si>
  <si>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</si>
  <si>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</si>
  <si>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</si>
  <si>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</si>
  <si>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</si>
  <si>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</si>
  <si>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</si>
  <si>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</si>
  <si>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</si>
  <si>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</si>
  <si>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</si>
  <si>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</si>
  <si>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</si>
  <si>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</si>
  <si>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</si>
  <si>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</si>
  <si>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</si>
  <si>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</si>
  <si>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</si>
  <si>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</si>
  <si>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</si>
  <si>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</si>
  <si>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</si>
  <si>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</si>
  <si>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</si>
  <si>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</si>
  <si>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</si>
  <si>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</si>
  <si>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</si>
  <si>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</si>
  <si>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</si>
  <si>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</si>
  <si>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</si>
  <si>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</si>
  <si>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</si>
  <si>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</si>
  <si>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</si>
  <si>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</si>
  <si>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</si>
  <si>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</si>
  <si>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</si>
  <si>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</si>
  <si>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</si>
  <si>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</si>
  <si>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</si>
  <si>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</si>
  <si>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</si>
  <si>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</si>
  <si>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</si>
  <si>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</si>
  <si>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</si>
  <si>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</si>
  <si>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</si>
  <si>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</si>
  <si>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</si>
  <si>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</si>
  <si>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</si>
  <si>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</si>
  <si>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</si>
  <si>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</si>
  <si>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</si>
  <si>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</si>
  <si>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</si>
  <si>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</si>
  <si>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</si>
  <si>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</si>
  <si>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</si>
  <si>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</si>
  <si>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</si>
  <si>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</si>
  <si>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</si>
  <si>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</si>
  <si>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</si>
  <si>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</si>
  <si>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</si>
  <si>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</si>
  <si>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</si>
  <si>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</si>
  <si>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</si>
  <si>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</si>
  <si>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</si>
  <si>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</si>
  <si>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</si>
  <si>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</si>
  <si>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</si>
  <si>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</si>
  <si>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</si>
  <si>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</si>
  <si>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</si>
  <si>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</si>
  <si>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</si>
  <si>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</si>
  <si>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</si>
  <si>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</si>
  <si>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</si>
  <si>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</si>
  <si>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</si>
  <si>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</si>
  <si>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</si>
  <si>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</si>
  <si>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</si>
  <si>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</si>
  <si>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</si>
  <si>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</si>
  <si>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</si>
  <si>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</si>
  <si>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</si>
  <si>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</si>
  <si>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</si>
  <si>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</si>
  <si>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</si>
  <si>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</si>
  <si>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</si>
  <si>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</si>
  <si>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</si>
  <si>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</si>
  <si>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</si>
  <si>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</si>
  <si>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</si>
  <si>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</si>
  <si>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</si>
  <si>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</si>
  <si>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</si>
  <si>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</si>
  <si>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</si>
  <si>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</si>
  <si>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</si>
  <si>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</si>
  <si>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</si>
  <si>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</si>
  <si>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</si>
  <si>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</si>
  <si>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</si>
  <si>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</si>
  <si>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</si>
  <si>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</si>
  <si>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</si>
  <si>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</si>
  <si>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</si>
  <si>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</si>
  <si>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</si>
  <si>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</si>
  <si>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</si>
  <si>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</si>
  <si>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</si>
  <si>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</si>
  <si>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</si>
  <si>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</si>
  <si>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</si>
  <si>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</si>
  <si>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</si>
  <si>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</si>
  <si>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</si>
  <si>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</si>
  <si>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</si>
  <si>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</si>
  <si>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</si>
  <si>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</si>
  <si>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</si>
  <si>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</si>
  <si>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</si>
  <si>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</si>
  <si>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</si>
  <si>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</si>
  <si>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</si>
  <si>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</si>
  <si>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</si>
  <si>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</si>
  <si>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</si>
  <si>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</si>
  <si>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</si>
  <si>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</si>
  <si>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</si>
  <si>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</si>
  <si>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</si>
  <si>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</si>
  <si>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</si>
  <si>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</si>
  <si>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</si>
  <si>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</si>
  <si>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</si>
  <si>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</si>
  <si>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</si>
  <si>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</si>
  <si>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</si>
  <si>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</si>
  <si>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</si>
  <si>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</si>
  <si>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</si>
  <si>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</si>
  <si>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</si>
  <si>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</si>
  <si>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</si>
  <si>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</si>
  <si>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</si>
  <si>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</si>
  <si>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</si>
  <si>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</si>
  <si>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</si>
  <si>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</si>
  <si>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</si>
  <si>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</si>
  <si>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</si>
  <si>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</si>
  <si>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</si>
  <si>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</si>
  <si>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</si>
  <si>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</si>
  <si>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</si>
  <si>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</si>
  <si>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</si>
  <si>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</si>
  <si>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</si>
  <si>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</si>
  <si>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</si>
  <si>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</si>
  <si>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</si>
  <si>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</si>
  <si>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</si>
  <si>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</si>
  <si>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</si>
  <si>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</si>
  <si>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</si>
  <si>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</si>
  <si>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</si>
  <si>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</si>
  <si>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</si>
  <si>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</si>
  <si>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</si>
  <si>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</si>
  <si>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</si>
  <si>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</si>
  <si>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</si>
  <si>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</si>
  <si>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</si>
  <si>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</si>
  <si>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</si>
  <si>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</si>
  <si>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</si>
  <si>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</si>
  <si>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</si>
  <si>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</si>
  <si>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</si>
  <si>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</si>
  <si>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</si>
  <si>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</si>
  <si>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</si>
  <si>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</si>
  <si>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</si>
  <si>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</si>
  <si>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</si>
  <si>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</si>
  <si>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</si>
  <si>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</si>
  <si>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</si>
  <si>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</si>
  <si>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</si>
  <si>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</si>
  <si>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</si>
  <si>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</si>
  <si>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</si>
  <si>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</si>
  <si>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</si>
  <si>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</si>
  <si>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</si>
  <si>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</si>
  <si>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</si>
  <si>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</si>
  <si>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</si>
  <si>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</si>
  <si>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</si>
  <si>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</si>
  <si>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</si>
  <si>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</si>
  <si>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</si>
  <si>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</si>
  <si>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</si>
  <si>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</si>
  <si>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</si>
  <si>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</si>
  <si>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</si>
  <si>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</si>
  <si>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</si>
  <si>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</si>
  <si>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</si>
  <si>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</si>
  <si>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</si>
  <si>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</si>
  <si>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</si>
  <si>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</si>
  <si>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</si>
  <si>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</si>
  <si>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</si>
  <si>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</si>
  <si>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</si>
  <si>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</si>
  <si>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</si>
  <si>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</si>
  <si>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</si>
  <si>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</si>
  <si>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</si>
  <si>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</si>
  <si>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</si>
  <si>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</si>
  <si>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</si>
  <si>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</si>
  <si>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</si>
  <si>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</si>
  <si>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</si>
  <si>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</si>
  <si>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</si>
  <si>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</si>
  <si>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</si>
  <si>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</si>
  <si>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</si>
  <si>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</si>
  <si>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</si>
  <si>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</si>
  <si>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</si>
  <si>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</si>
  <si>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</si>
  <si>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</si>
  <si>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</si>
  <si>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</si>
  <si>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</si>
  <si>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</si>
  <si>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</si>
  <si>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</si>
  <si>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</si>
  <si>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</si>
  <si>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</si>
  <si>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</si>
  <si>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</si>
  <si>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</si>
  <si>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</si>
  <si>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</si>
  <si>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</si>
  <si>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</si>
  <si>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</si>
  <si>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</si>
  <si>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</si>
  <si>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</si>
  <si>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</si>
  <si>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</si>
  <si>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</si>
  <si>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</si>
  <si>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</si>
  <si>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</si>
  <si>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</si>
  <si>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</si>
  <si>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</si>
  <si>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</si>
  <si>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</si>
  <si>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</si>
  <si>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</si>
  <si>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</si>
  <si>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</si>
  <si>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</si>
  <si>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</si>
  <si>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</si>
  <si>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</si>
  <si>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</si>
  <si>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</si>
  <si>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</si>
  <si>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</si>
  <si>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</si>
  <si>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</si>
  <si>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</si>
  <si>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</si>
  <si>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</si>
  <si>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</si>
  <si>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</si>
  <si>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</si>
  <si>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</si>
  <si>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</si>
  <si>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</si>
  <si>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</si>
  <si>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</si>
  <si>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</si>
  <si>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</si>
  <si>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</si>
  <si>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</si>
  <si>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</si>
  <si>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</si>
  <si>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</si>
  <si>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</si>
  <si>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</si>
  <si>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</si>
  <si>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</si>
  <si>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</si>
  <si>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</si>
  <si>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</si>
  <si>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</si>
  <si>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</si>
  <si>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</si>
  <si>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</si>
  <si>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</si>
  <si>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</si>
  <si>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</si>
  <si>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</si>
  <si>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</si>
  <si>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</si>
  <si>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</si>
  <si>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</si>
  <si>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</si>
  <si>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</si>
  <si>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</si>
  <si>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</si>
  <si>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</si>
  <si>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</si>
  <si>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</si>
  <si>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</si>
  <si>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</si>
  <si>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</si>
  <si>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</si>
  <si>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</si>
  <si>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</si>
  <si>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</si>
  <si>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</si>
  <si>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</si>
  <si>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</si>
  <si>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</si>
  <si>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</si>
  <si>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</si>
  <si>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</si>
  <si>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</si>
  <si>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</si>
  <si>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</si>
  <si>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</si>
  <si>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</si>
  <si>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</si>
  <si>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</si>
  <si>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</si>
  <si>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</si>
  <si>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</si>
  <si>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</si>
  <si>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</si>
  <si>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</si>
  <si>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</si>
  <si>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</si>
  <si>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</si>
  <si>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</si>
  <si>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</si>
  <si>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</si>
  <si>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</si>
  <si>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</si>
  <si>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</si>
  <si>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</si>
  <si>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</si>
  <si>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</si>
  <si>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</si>
  <si>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</si>
  <si>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</si>
  <si>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</si>
  <si>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</si>
  <si>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</si>
  <si>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</si>
  <si>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</si>
  <si>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</si>
  <si>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</si>
  <si>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</si>
  <si>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</si>
  <si>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</si>
  <si>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</si>
  <si>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</si>
  <si>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</si>
  <si>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</si>
  <si>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</si>
  <si>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</si>
  <si>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</si>
  <si>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</si>
  <si>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</si>
  <si>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</si>
  <si>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</si>
  <si>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</si>
  <si>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</si>
  <si>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</si>
  <si>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</si>
  <si>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</si>
  <si>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</si>
  <si>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</si>
  <si>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</si>
  <si>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</si>
  <si>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</si>
  <si>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</si>
  <si>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</si>
  <si>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</si>
  <si>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</si>
  <si>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</si>
  <si>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</si>
  <si>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</si>
  <si>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</si>
  <si>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</si>
  <si>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</si>
  <si>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</si>
  <si>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</si>
  <si>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</si>
  <si>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</si>
  <si>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</si>
  <si>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</si>
  <si>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</si>
  <si>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</si>
  <si>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</si>
  <si>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</si>
  <si>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</si>
  <si>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</si>
  <si>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</si>
  <si>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</si>
  <si>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</si>
  <si>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</si>
  <si>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</si>
  <si>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</si>
  <si>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</si>
  <si>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</si>
  <si>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</si>
  <si>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</si>
  <si>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</si>
  <si>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</si>
  <si>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</si>
  <si>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</si>
  <si>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</si>
  <si>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</si>
  <si>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</si>
  <si>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</si>
  <si>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</si>
  <si>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</si>
  <si>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</si>
  <si>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</si>
  <si>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</si>
  <si>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</si>
  <si>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</si>
  <si>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</si>
  <si>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</si>
  <si>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</si>
  <si>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</si>
  <si>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</si>
  <si>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</si>
  <si>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</si>
  <si>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</si>
  <si>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</si>
  <si>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</si>
  <si>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</si>
  <si>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</si>
  <si>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</si>
  <si>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</si>
  <si>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</si>
  <si>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</si>
  <si>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</si>
  <si>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</si>
  <si>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</si>
  <si>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</si>
  <si>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</si>
  <si>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</si>
  <si>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</si>
  <si>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</si>
  <si>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</si>
  <si>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</si>
  <si>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</si>
  <si>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</si>
  <si>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</si>
  <si>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</si>
  <si>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</si>
  <si>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</si>
  <si>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</si>
  <si>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</si>
  <si>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</si>
  <si>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</si>
  <si>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</si>
  <si>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</si>
  <si>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</si>
  <si>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</si>
  <si>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</si>
  <si>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</si>
  <si>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</si>
  <si>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</si>
  <si>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</si>
  <si>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</si>
  <si>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</si>
  <si>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</si>
  <si>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</si>
  <si>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</si>
  <si>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</si>
  <si>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</si>
  <si>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</si>
  <si>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</si>
  <si>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</si>
  <si>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</si>
  <si>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</si>
  <si>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</si>
  <si>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</si>
  <si>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</si>
  <si>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</si>
  <si>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</si>
  <si>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</si>
  <si>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</si>
  <si>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</si>
  <si>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</si>
  <si>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</si>
  <si>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</si>
  <si>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</si>
  <si>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</si>
  <si>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</si>
  <si>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</si>
  <si>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</si>
  <si>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</si>
  <si>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</si>
  <si>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</si>
  <si>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</si>
  <si>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</si>
  <si>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</si>
  <si>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</si>
  <si>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</si>
  <si>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</si>
  <si>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</si>
  <si>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</si>
  <si>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</si>
  <si>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</si>
  <si>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</si>
  <si>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</si>
  <si>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</si>
  <si>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</si>
  <si>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</si>
  <si>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</si>
  <si>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</si>
  <si>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</si>
  <si>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</si>
  <si>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</si>
  <si>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</si>
  <si>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</si>
  <si>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</si>
  <si>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</si>
  <si>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</si>
  <si>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</si>
  <si>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</si>
  <si>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</si>
  <si>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</si>
  <si>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</si>
  <si>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</si>
  <si>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</si>
  <si>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</si>
  <si>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</si>
  <si>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</si>
  <si>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</si>
  <si>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</si>
  <si>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</si>
  <si>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</si>
  <si>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</si>
  <si>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</si>
  <si>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</si>
  <si>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</si>
  <si>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</si>
  <si>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</si>
  <si>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</si>
  <si>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</si>
  <si>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</si>
  <si>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</si>
  <si>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</si>
  <si>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</si>
  <si>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</si>
  <si>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</si>
  <si>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</si>
  <si>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</si>
  <si>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</si>
  <si>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</si>
  <si>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</si>
  <si>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</si>
  <si>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</si>
  <si>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</si>
  <si>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</si>
  <si>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</si>
  <si>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</si>
  <si>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</si>
  <si>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</si>
  <si>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</si>
  <si>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</si>
  <si>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</si>
  <si>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</si>
  <si>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</si>
  <si>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</si>
  <si>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</si>
  <si>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</si>
  <si>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</si>
  <si>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</si>
  <si>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</si>
  <si>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</si>
  <si>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</si>
  <si>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</si>
  <si>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</si>
  <si>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</si>
  <si>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</si>
  <si>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</si>
  <si>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</si>
  <si>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</si>
  <si>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</si>
  <si>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</si>
  <si>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</si>
  <si>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</si>
  <si>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</si>
  <si>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</si>
  <si>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</si>
  <si>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</si>
  <si>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</si>
  <si>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</si>
  <si>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</si>
  <si>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</si>
  <si>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</si>
  <si>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</si>
  <si>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</si>
  <si>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</si>
  <si>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</si>
  <si>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</si>
  <si>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</si>
  <si>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</si>
  <si>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</si>
  <si>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</si>
  <si>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</si>
  <si>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</si>
  <si>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</si>
  <si>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</si>
  <si>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</si>
  <si>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</si>
  <si>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</si>
  <si>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</si>
  <si>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</si>
  <si>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</si>
  <si>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</si>
  <si>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</si>
  <si>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</si>
  <si>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</si>
  <si>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</si>
  <si>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</si>
  <si>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</si>
  <si>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</si>
  <si>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</si>
  <si>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</si>
  <si>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</si>
  <si>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</si>
  <si>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</si>
  <si>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</si>
  <si>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</si>
  <si>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</si>
  <si>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</si>
  <si>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</si>
  <si>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</si>
  <si>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</si>
  <si>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</si>
  <si>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</si>
  <si>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</si>
  <si>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</si>
  <si>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</si>
  <si>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</si>
  <si>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</si>
  <si>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</si>
  <si>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</si>
  <si>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</si>
  <si>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</si>
  <si>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</si>
  <si>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</si>
  <si>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</si>
  <si>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</si>
  <si>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</si>
  <si>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</si>
  <si>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</si>
  <si>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</si>
  <si>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</si>
  <si>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</si>
  <si>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</si>
  <si>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</si>
  <si>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</si>
  <si>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</si>
  <si>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</si>
  <si>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</si>
  <si>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</si>
  <si>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</si>
  <si>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</si>
  <si>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</si>
  <si>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</si>
  <si>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</si>
  <si>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</si>
  <si>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</si>
  <si>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</si>
  <si>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</si>
  <si>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</si>
  <si>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</si>
  <si>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</si>
  <si>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</si>
  <si>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</si>
  <si>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</si>
  <si>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</si>
  <si>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</si>
  <si>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</si>
  <si>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</si>
  <si>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</si>
  <si>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</si>
  <si>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</si>
  <si>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</si>
  <si>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</si>
  <si>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</si>
  <si>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</si>
  <si>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</si>
  <si>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</si>
  <si>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</si>
  <si>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</si>
  <si>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</si>
  <si>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</si>
  <si>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</si>
  <si>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</si>
  <si>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</si>
  <si>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</si>
  <si>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</si>
  <si>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</si>
  <si>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</si>
  <si>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</si>
  <si>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</si>
  <si>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</si>
  <si>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</si>
  <si>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</si>
  <si>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</si>
  <si>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</si>
  <si>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</si>
  <si>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</si>
  <si>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</si>
  <si>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</si>
  <si>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</si>
  <si>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</si>
  <si>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</si>
  <si>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</si>
  <si>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</si>
  <si>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</si>
  <si>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</si>
  <si>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</si>
  <si>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</si>
  <si>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</si>
  <si>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</si>
  <si>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</si>
  <si>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</si>
  <si>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</si>
  <si>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</si>
  <si>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</si>
  <si>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</si>
  <si>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</si>
  <si>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</si>
  <si>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</si>
  <si>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</si>
  <si>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</si>
  <si>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</si>
  <si>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</si>
  <si>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</si>
  <si>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</si>
  <si>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</si>
  <si>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</si>
  <si>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</si>
  <si>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</si>
  <si>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</si>
  <si>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</si>
  <si>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</si>
  <si>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</si>
  <si>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</si>
  <si>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</si>
  <si>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</si>
  <si>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</si>
  <si>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</si>
  <si>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</si>
  <si>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</si>
  <si>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</si>
  <si>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</si>
  <si>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</si>
  <si>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</si>
  <si>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</si>
  <si>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</si>
  <si>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</si>
  <si>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</si>
  <si>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</si>
  <si>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</si>
  <si>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</si>
  <si>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</si>
  <si>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</si>
  <si>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</si>
  <si>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</si>
  <si>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</si>
  <si>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</si>
  <si>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</si>
  <si>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</si>
  <si>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</si>
  <si>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</si>
  <si>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</si>
  <si>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</si>
  <si>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</si>
  <si>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</si>
  <si>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</si>
  <si>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</si>
  <si>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</si>
  <si>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</si>
  <si>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</si>
  <si>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</si>
  <si>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</si>
  <si>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</si>
  <si>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</si>
  <si>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</si>
  <si>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</si>
  <si>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</si>
  <si>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</si>
  <si>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</si>
  <si>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</si>
  <si>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</si>
  <si>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</si>
  <si>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</si>
  <si>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</si>
  <si>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</si>
  <si>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</si>
  <si>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</si>
  <si>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</si>
  <si>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</si>
  <si>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</si>
  <si>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</si>
  <si>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</si>
  <si>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</si>
  <si>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</si>
  <si>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</si>
  <si>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</si>
  <si>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</si>
  <si>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</si>
  <si>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</si>
  <si>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</si>
  <si>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</si>
  <si>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</si>
  <si>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</si>
  <si>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</si>
  <si>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</si>
  <si>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</si>
  <si>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</si>
  <si>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</si>
  <si>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</si>
  <si>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</si>
  <si>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</si>
  <si>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</si>
  <si>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</si>
  <si>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</si>
  <si>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</si>
  <si>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</si>
  <si>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</si>
  <si>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</si>
  <si>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</si>
  <si>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</si>
  <si>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</si>
  <si>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</si>
  <si>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</si>
  <si>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</si>
  <si>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</si>
  <si>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</si>
  <si>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</si>
  <si>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</si>
  <si>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</si>
  <si>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</si>
  <si>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</si>
  <si>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</si>
  <si>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</si>
  <si>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</si>
  <si>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</si>
  <si>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</si>
  <si>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</si>
  <si>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</si>
  <si>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</si>
  <si>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</si>
  <si>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</si>
  <si>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</si>
  <si>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</si>
  <si>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</si>
  <si>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</si>
  <si>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</si>
  <si>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</si>
  <si>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</si>
  <si>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</si>
  <si>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</si>
  <si>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</si>
  <si>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</si>
  <si>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</si>
  <si>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</si>
  <si>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</si>
  <si>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</si>
  <si>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</si>
  <si>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</si>
  <si>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</si>
  <si>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</si>
  <si>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</si>
  <si>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</si>
  <si>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</si>
  <si>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</si>
  <si>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</si>
  <si>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</si>
  <si>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</si>
  <si>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</si>
  <si>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</si>
  <si>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</si>
  <si>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</si>
  <si>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</si>
  <si>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</si>
  <si>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</si>
  <si>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</si>
  <si>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</si>
  <si>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</si>
  <si>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</si>
  <si>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</si>
  <si>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</si>
  <si>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</si>
  <si>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</si>
  <si>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</si>
  <si>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</si>
  <si>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</si>
  <si>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</si>
  <si>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</si>
  <si>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</si>
  <si>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</si>
  <si>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</si>
  <si>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</si>
  <si>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</si>
  <si>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</si>
  <si>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</si>
  <si>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</si>
  <si>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</si>
  <si>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</si>
  <si>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</si>
  <si>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</si>
  <si>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</si>
  <si>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</si>
  <si>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</si>
  <si>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</si>
  <si>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</si>
  <si>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</si>
  <si>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</si>
  <si>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</si>
  <si>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</si>
  <si>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</si>
  <si>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</si>
  <si>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</si>
  <si>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</si>
  <si>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</si>
  <si>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</si>
  <si>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</si>
  <si>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</si>
  <si>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</si>
  <si>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</si>
  <si>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</si>
  <si>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</si>
  <si>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</si>
  <si>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</si>
  <si>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</si>
  <si>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</si>
  <si>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</si>
  <si>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</si>
  <si>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</si>
  <si>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</si>
  <si>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</si>
  <si>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</si>
  <si>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</si>
  <si>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</si>
  <si>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</si>
  <si>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</si>
  <si>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</si>
  <si>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</si>
  <si>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</si>
  <si>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</si>
  <si>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</si>
  <si>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</si>
  <si>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</si>
  <si>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</si>
  <si>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</si>
  <si>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</si>
  <si>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</si>
  <si>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</si>
  <si>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</si>
  <si>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</si>
  <si>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</si>
  <si>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</si>
  <si>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</si>
  <si>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</si>
  <si>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</si>
  <si>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</si>
  <si>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</si>
  <si>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</si>
  <si>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</si>
  <si>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</si>
  <si>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</si>
  <si>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</si>
  <si>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</si>
  <si>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</si>
  <si>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</si>
  <si>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</si>
  <si>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</si>
  <si>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</si>
  <si>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</si>
  <si>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</si>
  <si>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</si>
  <si>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</si>
  <si>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</si>
  <si>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</si>
  <si>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</si>
  <si>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</si>
  <si>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</si>
  <si>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</si>
  <si>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</si>
  <si>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</si>
  <si>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</si>
  <si>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</si>
  <si>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</si>
  <si>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</si>
  <si>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</si>
  <si>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</si>
  <si>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</si>
  <si>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</si>
  <si>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</si>
  <si>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</si>
  <si>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</si>
  <si>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</si>
  <si>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</si>
  <si>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</si>
  <si>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</si>
  <si>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</si>
  <si>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</si>
  <si>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</si>
  <si>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</si>
  <si>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</si>
  <si>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</si>
  <si>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</si>
  <si>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</si>
  <si>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</si>
  <si>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</si>
  <si>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</si>
  <si>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</si>
  <si>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</si>
  <si>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</si>
  <si>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</si>
  <si>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</si>
  <si>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</si>
  <si>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</si>
  <si>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</si>
  <si>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</si>
  <si>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</si>
  <si>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</si>
  <si>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</si>
  <si>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</si>
  <si>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</si>
  <si>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</si>
  <si>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</si>
  <si>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</si>
  <si>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</si>
  <si>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</si>
  <si>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</si>
  <si>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</si>
  <si>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</si>
  <si>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</si>
  <si>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</si>
  <si>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</si>
  <si>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</si>
  <si>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</si>
  <si>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</si>
  <si>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</si>
  <si>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</si>
  <si>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</si>
  <si>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</si>
  <si>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</si>
  <si>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</si>
  <si>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</si>
  <si>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</si>
  <si>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</si>
  <si>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</si>
  <si>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</si>
  <si>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</si>
  <si>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</si>
  <si>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</si>
  <si>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</si>
  <si>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</si>
  <si>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</si>
  <si>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</si>
  <si>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</si>
  <si>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</si>
  <si>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</si>
  <si>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</si>
  <si>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</si>
  <si>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</si>
  <si>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</si>
  <si>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</si>
  <si>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</si>
  <si>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</si>
  <si>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</si>
  <si>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</si>
  <si>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</si>
  <si>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</si>
  <si>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</si>
  <si>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</si>
  <si>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</si>
  <si>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</si>
  <si>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</si>
  <si>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</si>
  <si>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</si>
  <si>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</si>
  <si>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</si>
  <si>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</si>
  <si>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</si>
  <si>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</si>
  <si>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</si>
  <si>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</si>
  <si>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</si>
  <si>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</si>
  <si>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</si>
  <si>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</si>
  <si>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</si>
  <si>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</si>
  <si>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</si>
  <si>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</si>
  <si>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</si>
  <si>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</si>
  <si>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</si>
  <si>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</si>
  <si>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</si>
  <si>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</si>
  <si>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</si>
  <si>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</si>
  <si>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</si>
  <si>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</si>
  <si>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</si>
  <si>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</si>
  <si>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</si>
  <si>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</si>
  <si>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</si>
  <si>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</si>
  <si>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</si>
  <si>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</si>
  <si>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</si>
  <si>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</si>
  <si>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</si>
  <si>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</si>
  <si>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</si>
  <si>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</si>
  <si>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</si>
  <si>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</si>
  <si>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</si>
  <si>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</si>
  <si>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</si>
  <si>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</si>
  <si>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</si>
  <si>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</si>
  <si>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</si>
  <si>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</si>
  <si>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</si>
  <si>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</si>
  <si>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</si>
  <si>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</si>
  <si>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</si>
  <si>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</si>
  <si>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</si>
  <si>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</si>
  <si>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</si>
  <si>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</si>
  <si>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</si>
  <si>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</si>
  <si>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</si>
  <si>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</si>
  <si>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</si>
  <si>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</si>
  <si>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</si>
  <si>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</si>
  <si>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</si>
  <si>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</si>
  <si>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</si>
  <si>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</si>
  <si>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</si>
  <si>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</si>
  <si>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</si>
  <si>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</si>
  <si>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</si>
  <si>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</si>
  <si>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</si>
  <si>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</si>
  <si>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</si>
  <si>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</si>
  <si>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</si>
  <si>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</si>
  <si>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</si>
  <si>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</si>
  <si>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</si>
  <si>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</si>
  <si>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</si>
  <si>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</si>
  <si>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</si>
  <si>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</si>
  <si>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</si>
  <si>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</si>
  <si>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</si>
  <si>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</si>
  <si>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</si>
  <si>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</si>
  <si>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</si>
  <si>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</si>
  <si>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</si>
  <si>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</si>
  <si>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</si>
  <si>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</si>
  <si>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</si>
  <si>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</si>
  <si>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</si>
  <si>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</si>
  <si>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</si>
  <si>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</si>
  <si>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</si>
  <si>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</si>
  <si>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</si>
  <si>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</si>
  <si>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</si>
  <si>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</si>
  <si>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</si>
  <si>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</si>
  <si>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</si>
  <si>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</si>
  <si>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</si>
  <si>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</si>
  <si>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</si>
  <si>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</si>
  <si>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</si>
  <si>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</si>
  <si>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</si>
  <si>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</si>
  <si>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</si>
  <si>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</si>
  <si>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</si>
  <si>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</si>
  <si>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</si>
  <si>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</si>
  <si>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</si>
  <si>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</si>
  <si>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</si>
  <si>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</si>
  <si>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</si>
  <si>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</si>
  <si>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</si>
  <si>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</si>
  <si>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</si>
  <si>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</si>
  <si>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</si>
  <si>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</si>
  <si>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</si>
  <si>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</si>
  <si>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</si>
  <si>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</si>
  <si>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</si>
  <si>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</si>
  <si>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</si>
  <si>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</si>
  <si>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</si>
  <si>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</si>
  <si>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</si>
  <si>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</si>
  <si>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</si>
  <si>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</si>
  <si>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</si>
  <si>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</si>
  <si>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</si>
  <si>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</si>
  <si>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</si>
  <si>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</si>
  <si>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</si>
  <si>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</si>
  <si>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</si>
  <si>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</si>
  <si>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</si>
  <si>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</si>
  <si>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</si>
  <si>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</si>
  <si>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</si>
  <si>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</si>
  <si>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</si>
  <si>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</si>
  <si>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</si>
  <si>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</si>
  <si>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</si>
  <si>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</si>
  <si>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</si>
  <si>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</si>
  <si>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</si>
  <si>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</si>
  <si>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</si>
  <si>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</si>
  <si>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</si>
  <si>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</si>
  <si>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</si>
  <si>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</si>
  <si>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</si>
  <si>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</si>
  <si>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</si>
  <si>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</si>
  <si>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</si>
  <si>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</si>
  <si>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</si>
  <si>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</si>
  <si>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</si>
  <si>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</si>
  <si>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</si>
  <si>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</si>
  <si>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</si>
  <si>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</si>
  <si>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</si>
  <si>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</si>
  <si>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</si>
  <si>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</si>
  <si>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</si>
  <si>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</si>
  <si>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</si>
  <si>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</si>
  <si>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</si>
  <si>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</si>
  <si>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</si>
  <si>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</si>
  <si>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</si>
  <si>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</si>
  <si>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</si>
  <si>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</si>
  <si>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</si>
  <si>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</si>
  <si>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</si>
  <si>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</si>
  <si>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</si>
  <si>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</si>
  <si>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</si>
  <si>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</si>
  <si>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</si>
  <si>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</si>
  <si>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</si>
  <si>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</si>
  <si>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</si>
  <si>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</si>
  <si>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</si>
  <si>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</si>
  <si>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</si>
  <si>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</si>
  <si>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</si>
  <si>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</si>
  <si>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</si>
  <si>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</si>
  <si>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</si>
  <si>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</si>
  <si>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</si>
  <si>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</si>
  <si>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</si>
  <si>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</si>
  <si>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</si>
  <si>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</si>
  <si>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</si>
  <si>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</si>
  <si>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</si>
  <si>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</si>
  <si>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</si>
  <si>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</si>
  <si>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</si>
  <si>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</si>
  <si>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</si>
  <si>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</si>
  <si>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</si>
  <si>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</si>
  <si>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</si>
  <si>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</si>
  <si>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</si>
  <si>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</si>
  <si>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</si>
  <si>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</si>
  <si>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</si>
  <si>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</si>
  <si>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</si>
  <si>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</si>
  <si>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</si>
  <si>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</si>
  <si>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</si>
  <si>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</si>
  <si>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</si>
  <si>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</si>
  <si>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</si>
  <si>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</si>
  <si>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</si>
  <si>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</si>
  <si>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</si>
  <si>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</si>
  <si>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</si>
  <si>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</si>
  <si>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</si>
  <si>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</si>
  <si>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</si>
  <si>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</si>
  <si>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</si>
  <si>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</si>
  <si>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</si>
  <si>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</si>
  <si>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</si>
  <si>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</si>
  <si>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</si>
  <si>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</si>
  <si>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</si>
  <si>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</si>
  <si>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</si>
  <si>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</si>
  <si>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</si>
  <si>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</si>
  <si>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</si>
  <si>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</si>
  <si>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</si>
  <si>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</si>
  <si>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</si>
  <si>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</si>
  <si>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</si>
  <si>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</si>
  <si>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</si>
  <si>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</si>
  <si>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</si>
  <si>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</si>
  <si>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</si>
  <si>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</si>
  <si>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</si>
  <si>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</si>
  <si>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</si>
  <si>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</si>
  <si>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</si>
  <si>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</si>
  <si>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</si>
  <si>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</si>
  <si>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</si>
  <si>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</si>
  <si>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</si>
  <si>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</si>
  <si>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</si>
  <si>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</si>
  <si>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</si>
  <si>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</si>
  <si>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</si>
  <si>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</si>
  <si>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</si>
  <si>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</si>
  <si>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</si>
  <si>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</si>
  <si>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</si>
  <si>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</si>
  <si>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</si>
  <si>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</si>
  <si>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</si>
  <si>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</si>
  <si>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</si>
  <si>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</si>
  <si>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</si>
  <si>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</si>
  <si>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</si>
  <si>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</si>
  <si>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</si>
  <si>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</si>
  <si>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</si>
  <si>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</si>
  <si>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</si>
  <si>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</si>
  <si>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</si>
  <si>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</si>
  <si>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</si>
  <si>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</si>
  <si>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</si>
  <si>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</si>
  <si>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</si>
  <si>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</si>
  <si>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</si>
  <si>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</si>
  <si>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</si>
  <si>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</si>
  <si>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</si>
  <si>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</si>
  <si>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</si>
  <si>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</si>
  <si>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</si>
  <si>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</si>
  <si>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</si>
  <si>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</si>
  <si>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</si>
  <si>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</si>
  <si>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</si>
  <si>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</si>
  <si>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</si>
  <si>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</si>
  <si>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</si>
  <si>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</si>
  <si>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</si>
  <si>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</si>
  <si>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</si>
  <si>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</si>
  <si>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</si>
  <si>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</si>
  <si>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</si>
  <si>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</si>
  <si>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</si>
  <si>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</si>
  <si>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</si>
  <si>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</si>
  <si>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</si>
  <si>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</si>
  <si>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</si>
  <si>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</si>
  <si>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</si>
  <si>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</si>
  <si>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</si>
  <si>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</si>
  <si>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</si>
  <si>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</si>
  <si>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</si>
  <si>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</si>
  <si>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</si>
  <si>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</si>
  <si>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</si>
  <si>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</si>
  <si>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</si>
  <si>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</si>
  <si>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</si>
  <si>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</si>
  <si>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</si>
  <si>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</si>
  <si>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</si>
  <si>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</si>
  <si>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</si>
  <si>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</si>
  <si>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</si>
  <si>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</si>
  <si>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</si>
  <si>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</si>
  <si>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</si>
  <si>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</si>
  <si>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</si>
  <si>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</si>
  <si>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</si>
  <si>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</si>
  <si>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</si>
  <si>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</si>
  <si>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</si>
  <si>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</si>
  <si>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</si>
  <si>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</si>
  <si>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</si>
  <si>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</si>
  <si>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</si>
  <si>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</si>
  <si>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</si>
  <si>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</si>
  <si>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</si>
  <si>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</si>
  <si>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</si>
  <si>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</si>
  <si>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</si>
  <si>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</si>
  <si>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</si>
  <si>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</si>
  <si>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</si>
  <si>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</si>
  <si>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</si>
  <si>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</si>
  <si>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</si>
  <si>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</si>
  <si>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</si>
  <si>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</si>
  <si>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</si>
  <si>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</si>
  <si>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</si>
  <si>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</si>
  <si>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</si>
  <si>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</si>
  <si>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</si>
  <si>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</si>
  <si>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</si>
  <si>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</si>
  <si>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</si>
  <si>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</si>
  <si>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</si>
  <si>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</si>
  <si>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</si>
  <si>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</si>
  <si>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</si>
  <si>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</si>
  <si>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</si>
  <si>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</si>
  <si>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</si>
  <si>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</si>
  <si>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</si>
  <si>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</si>
  <si>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</si>
  <si>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</si>
  <si>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</si>
  <si>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</si>
  <si>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</si>
  <si>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</si>
  <si>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</si>
  <si>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</si>
  <si>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</si>
  <si>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</si>
  <si>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</si>
  <si>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</si>
  <si>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</si>
  <si>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</si>
  <si>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</si>
  <si>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</si>
  <si>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</si>
  <si>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</si>
  <si>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</si>
  <si>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</si>
  <si>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</si>
  <si>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</si>
  <si>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</si>
  <si>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</si>
  <si>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</si>
  <si>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</si>
  <si>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</si>
  <si>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</si>
  <si>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</si>
  <si>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</si>
  <si>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</si>
  <si>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</si>
  <si>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</si>
  <si>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</si>
  <si>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</si>
  <si>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</si>
  <si>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</si>
  <si>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</si>
  <si>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</si>
  <si>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</si>
  <si>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</si>
  <si>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</si>
  <si>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</si>
  <si>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</si>
  <si>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</si>
  <si>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</si>
  <si>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</si>
  <si>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</si>
  <si>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</si>
  <si>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</si>
  <si>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</si>
  <si>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</si>
  <si>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</si>
  <si>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</si>
  <si>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</si>
  <si>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</si>
  <si>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</si>
  <si>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</si>
  <si>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</si>
  <si>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</si>
  <si>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</si>
  <si>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</si>
  <si>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</si>
  <si>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</si>
  <si>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</si>
  <si>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</si>
  <si>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</si>
  <si>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</si>
  <si>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</si>
  <si>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</si>
  <si>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</si>
  <si>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</si>
  <si>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</si>
  <si>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</si>
  <si>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</si>
  <si>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</si>
  <si>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</si>
  <si>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</si>
  <si>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</si>
  <si>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</si>
  <si>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</si>
  <si>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</si>
  <si>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</si>
  <si>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</si>
  <si>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</si>
  <si>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</si>
  <si>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</si>
  <si>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</si>
  <si>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</si>
  <si>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</si>
  <si>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</si>
  <si>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</si>
  <si>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</si>
  <si>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</si>
  <si>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</si>
  <si>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</si>
  <si>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</si>
  <si>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</si>
  <si>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</si>
  <si>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</si>
  <si>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</si>
  <si>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</si>
  <si>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</si>
  <si>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</si>
  <si>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</si>
  <si>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</si>
  <si>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</si>
  <si>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</si>
  <si>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</si>
  <si>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</si>
  <si>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</si>
  <si>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</si>
  <si>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</si>
  <si>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</si>
  <si>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</si>
  <si>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</si>
  <si>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</si>
  <si>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</si>
  <si>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</si>
  <si>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</si>
  <si>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</si>
  <si>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</si>
  <si>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</si>
  <si>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</si>
  <si>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</si>
  <si>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</si>
  <si>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</si>
  <si>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</si>
  <si>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</si>
  <si>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</si>
  <si>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</si>
  <si>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</si>
  <si>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</si>
  <si>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</si>
  <si>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</si>
  <si>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</si>
  <si>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</si>
  <si>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</si>
  <si>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</si>
  <si>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</si>
  <si>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</si>
  <si>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</si>
  <si>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</si>
  <si>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</si>
  <si>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</si>
  <si>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</si>
  <si>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</si>
  <si>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</si>
  <si>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</si>
  <si>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</si>
  <si>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</si>
  <si>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</si>
  <si>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</si>
  <si>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</si>
  <si>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</si>
  <si>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</si>
  <si>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</si>
  <si>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</si>
  <si>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</si>
  <si>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</si>
  <si>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</si>
  <si>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</si>
  <si>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</si>
  <si>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</si>
  <si>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</si>
  <si>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</si>
  <si>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</si>
  <si>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</si>
  <si>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</si>
  <si>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</si>
  <si>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</si>
  <si>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</si>
  <si>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</si>
  <si>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</si>
  <si>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</si>
  <si>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</si>
  <si>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</si>
  <si>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</si>
  <si>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</si>
  <si>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</si>
  <si>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</si>
  <si>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</si>
  <si>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</si>
  <si>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</si>
  <si>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</si>
  <si>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</si>
  <si>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</si>
  <si>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</si>
  <si>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</si>
  <si>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</si>
  <si>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</si>
  <si>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</si>
  <si>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</si>
  <si>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</si>
  <si>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</si>
  <si>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</si>
  <si>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</si>
  <si>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</si>
  <si>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</si>
  <si>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</si>
  <si>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</si>
  <si>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</si>
  <si>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</si>
  <si>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</si>
  <si>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</si>
  <si>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</si>
  <si>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</si>
  <si>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</si>
  <si>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</si>
  <si>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</si>
  <si>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</si>
  <si>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</si>
  <si>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</si>
  <si>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</si>
  <si>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</si>
  <si>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</si>
  <si>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</si>
  <si>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</si>
  <si>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</si>
  <si>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</si>
  <si>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</si>
  <si>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</si>
  <si>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</si>
  <si>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</si>
  <si>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</si>
  <si>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</si>
  <si>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</si>
  <si>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</si>
  <si>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</si>
  <si>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</si>
  <si>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</si>
  <si>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</si>
  <si>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</si>
  <si>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</si>
  <si>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</si>
  <si>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</si>
  <si>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</si>
  <si>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</si>
  <si>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</si>
  <si>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</si>
  <si>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</si>
  <si>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</si>
  <si>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</si>
  <si>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</si>
  <si>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</si>
  <si>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</si>
  <si>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</si>
  <si>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</si>
  <si>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</si>
  <si>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</si>
  <si>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</si>
  <si>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</si>
  <si>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</si>
  <si>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</si>
  <si>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</si>
  <si>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</si>
  <si>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</si>
  <si>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</si>
  <si>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</si>
  <si>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</si>
  <si>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</si>
  <si>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</si>
  <si>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</si>
  <si>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</si>
  <si>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</si>
  <si>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</si>
  <si>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</si>
  <si>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</si>
  <si>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</si>
  <si>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</si>
  <si>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</si>
  <si>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</si>
  <si>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</si>
  <si>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</si>
  <si>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</si>
  <si>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</si>
  <si>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</si>
  <si>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</si>
  <si>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</si>
  <si>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</si>
  <si>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</si>
  <si>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</si>
  <si>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</si>
  <si>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</si>
  <si>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</si>
  <si>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</si>
  <si>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</si>
  <si>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</si>
  <si>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</si>
  <si>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</si>
  <si>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</si>
  <si>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</si>
  <si>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</si>
  <si>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</si>
  <si>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</si>
  <si>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</si>
  <si>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</si>
  <si>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</si>
  <si>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</si>
  <si>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</si>
  <si>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</si>
  <si>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</si>
  <si>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</si>
  <si>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</si>
  <si>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</si>
  <si>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</si>
  <si>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</si>
  <si>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</si>
  <si>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</si>
  <si>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</si>
  <si>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</si>
  <si>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</si>
  <si>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</si>
  <si>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</si>
  <si>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</si>
  <si>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</si>
  <si>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</si>
  <si>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</si>
  <si>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</si>
  <si>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</si>
  <si>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</si>
  <si>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</si>
  <si>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</si>
  <si>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</si>
  <si>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</si>
  <si>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</si>
  <si>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</si>
  <si>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</si>
  <si>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</si>
  <si>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</si>
  <si>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</si>
  <si>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</si>
  <si>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</si>
  <si>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</si>
  <si>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</si>
  <si>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</si>
  <si>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</si>
  <si>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</si>
  <si>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</si>
  <si>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</si>
  <si>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</si>
  <si>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</si>
  <si>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</si>
  <si>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</si>
  <si>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</si>
  <si>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</si>
  <si>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</si>
  <si>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</si>
  <si>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</si>
  <si>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</si>
  <si>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</si>
  <si>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</si>
  <si>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</si>
  <si>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</si>
  <si>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</si>
  <si>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</si>
  <si>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</si>
  <si>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</si>
  <si>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</si>
  <si>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</si>
  <si>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</si>
  <si>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</si>
  <si>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</si>
  <si>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</si>
  <si>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</si>
  <si>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</si>
  <si>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</si>
  <si>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</si>
  <si>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</si>
  <si>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</si>
  <si>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</si>
  <si>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</si>
  <si>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</si>
  <si>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</si>
  <si>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</si>
  <si>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</si>
  <si>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</si>
  <si>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</si>
  <si>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</si>
  <si>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</si>
  <si>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</si>
  <si>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</si>
  <si>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</si>
  <si>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</si>
  <si>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</si>
  <si>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</si>
  <si>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</si>
  <si>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</si>
  <si>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</si>
  <si>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</si>
  <si>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</si>
  <si>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</si>
  <si>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</si>
  <si>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</si>
  <si>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</si>
  <si>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</si>
  <si>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</si>
  <si>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</si>
  <si>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</si>
  <si>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</si>
  <si>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</si>
  <si>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</si>
  <si>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</si>
  <si>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</si>
  <si>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</si>
  <si>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</si>
  <si>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</si>
  <si>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</si>
  <si>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</si>
  <si>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</si>
  <si>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</si>
  <si>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</si>
  <si>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</si>
  <si>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</si>
  <si>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</si>
  <si>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</si>
  <si>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</si>
  <si>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</si>
  <si>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</si>
  <si>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</si>
  <si>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</si>
  <si>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</si>
  <si>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</si>
  <si>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</si>
  <si>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</si>
  <si>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</si>
  <si>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</si>
  <si>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</si>
  <si>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</si>
  <si>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</si>
  <si>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</si>
  <si>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</si>
  <si>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</si>
  <si>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</si>
  <si>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</si>
  <si>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</si>
  <si>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</si>
  <si>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</si>
  <si>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</si>
  <si>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</si>
  <si>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</si>
  <si>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</si>
  <si>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</si>
  <si>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</si>
  <si>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</si>
  <si>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</si>
  <si>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</si>
  <si>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</si>
  <si>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</si>
  <si>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</si>
  <si>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</si>
  <si>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</si>
  <si>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</si>
  <si>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</si>
  <si>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</si>
  <si>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</si>
  <si>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</si>
  <si>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</si>
  <si>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</si>
  <si>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</si>
  <si>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</si>
  <si>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</si>
  <si>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</si>
  <si>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</si>
  <si>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</si>
  <si>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</si>
  <si>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</si>
  <si>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</si>
  <si>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</si>
  <si>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</si>
  <si>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</si>
  <si>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</si>
  <si>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</si>
  <si>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</si>
  <si>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</si>
  <si>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</si>
  <si>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</si>
  <si>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</si>
  <si>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</si>
  <si>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</si>
  <si>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</si>
  <si>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</si>
  <si>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</si>
  <si>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</si>
  <si>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</si>
  <si>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</si>
  <si>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</si>
  <si>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</si>
  <si>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</si>
  <si>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</si>
  <si>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</si>
  <si>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</si>
  <si>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</si>
  <si>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</si>
  <si>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</si>
  <si>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</si>
  <si>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</si>
  <si>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</si>
  <si>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</si>
  <si>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</si>
  <si>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</si>
  <si>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</si>
  <si>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</si>
  <si>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</si>
  <si>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</si>
  <si>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</si>
  <si>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</si>
  <si>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</si>
  <si>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</si>
  <si>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</si>
  <si>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</si>
  <si>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</si>
  <si>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</si>
  <si>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</si>
  <si>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</si>
  <si>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</si>
  <si>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</si>
  <si>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</si>
  <si>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</si>
  <si>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</si>
  <si>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</si>
  <si>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</si>
  <si>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</si>
  <si>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</si>
  <si>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</si>
  <si>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</si>
  <si>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</si>
  <si>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</si>
  <si>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</si>
  <si>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</si>
  <si>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</si>
  <si>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</si>
  <si>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</si>
  <si>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</si>
  <si>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</si>
  <si>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</si>
  <si>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</si>
  <si>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</si>
  <si>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</si>
  <si>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</si>
  <si>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</si>
  <si>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</si>
  <si>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</si>
  <si>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</si>
  <si>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</si>
  <si>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</si>
  <si>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</si>
  <si>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</si>
  <si>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</si>
  <si>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</si>
  <si>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</si>
  <si>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</si>
  <si>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</si>
  <si>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</si>
  <si>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</si>
  <si>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</si>
  <si>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</si>
  <si>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</si>
  <si>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</si>
  <si>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</si>
  <si>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</si>
  <si>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</si>
  <si>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</si>
  <si>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</si>
  <si>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</si>
  <si>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</si>
  <si>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</si>
  <si>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</si>
  <si>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</si>
  <si>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</si>
  <si>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</si>
  <si>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</si>
  <si>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</si>
  <si>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</si>
  <si>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</si>
  <si>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</si>
  <si>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</si>
  <si>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</si>
  <si>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</si>
  <si>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</si>
  <si>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</si>
  <si>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</si>
  <si>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</si>
  <si>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</si>
  <si>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</si>
  <si>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</si>
  <si>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</si>
  <si>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</si>
  <si>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</si>
  <si>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</si>
  <si>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</si>
  <si>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</si>
  <si>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</si>
  <si>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</si>
  <si>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</si>
  <si>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</si>
  <si>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</si>
  <si>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</si>
  <si>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</si>
  <si>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</si>
  <si>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</si>
  <si>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</si>
  <si>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</si>
  <si>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</si>
  <si>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</si>
  <si>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</si>
  <si>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</si>
  <si>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</si>
  <si>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</si>
  <si>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</si>
  <si>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</si>
  <si>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</si>
  <si>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</si>
  <si>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</si>
  <si>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</si>
  <si>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</si>
  <si>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</si>
  <si>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</si>
  <si>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</si>
  <si>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</si>
  <si>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</si>
  <si>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</si>
  <si>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</si>
  <si>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</si>
  <si>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</si>
  <si>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</si>
  <si>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</si>
  <si>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</si>
  <si>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</si>
  <si>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</si>
  <si>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</si>
  <si>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</si>
  <si>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</si>
  <si>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</si>
  <si>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</si>
  <si>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</si>
  <si>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</si>
  <si>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</si>
  <si>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</si>
  <si>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</si>
  <si>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</si>
  <si>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</si>
  <si>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</si>
  <si>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</si>
  <si>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</si>
  <si>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</si>
  <si>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</si>
  <si>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</si>
  <si>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</si>
  <si>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</si>
  <si>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</si>
  <si>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</si>
  <si>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</si>
  <si>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</si>
  <si>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</si>
  <si>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</si>
  <si>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</si>
  <si>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</si>
  <si>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</si>
  <si>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</si>
  <si>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</si>
  <si>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</si>
  <si>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</si>
  <si>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</si>
  <si>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</si>
  <si>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</si>
  <si>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</si>
  <si>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</si>
  <si>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</si>
  <si>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</si>
  <si>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</si>
  <si>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</si>
  <si>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</si>
  <si>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</si>
  <si>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</si>
  <si>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</si>
  <si>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</si>
  <si>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</si>
  <si>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</si>
  <si>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</si>
  <si>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</si>
  <si>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</si>
  <si>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</si>
  <si>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</si>
  <si>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</si>
  <si>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</si>
  <si>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</si>
  <si>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</si>
  <si>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</si>
  <si>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</si>
  <si>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</si>
  <si>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</si>
  <si>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</si>
  <si>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</si>
  <si>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</si>
  <si>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</si>
  <si>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</si>
  <si>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</si>
  <si>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</si>
  <si>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</si>
  <si>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</si>
  <si>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</si>
  <si>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</si>
  <si>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</si>
  <si>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</si>
  <si>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</si>
  <si>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</si>
  <si>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</si>
  <si>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</si>
  <si>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</si>
  <si>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</si>
  <si>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</si>
  <si>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</si>
  <si>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</si>
  <si>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</si>
  <si>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</si>
  <si>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</si>
  <si>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</si>
  <si>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</si>
  <si>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</si>
  <si>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</si>
  <si>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</si>
  <si>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</si>
  <si>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</si>
  <si>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</si>
  <si>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</si>
  <si>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</si>
  <si>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</si>
  <si>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</si>
  <si>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</si>
  <si>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</si>
  <si>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</si>
  <si>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</si>
  <si>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</si>
  <si>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</si>
  <si>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</si>
  <si>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</si>
  <si>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</si>
  <si>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</si>
  <si>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</si>
  <si>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</si>
  <si>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</si>
  <si>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</si>
  <si>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</si>
  <si>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</si>
  <si>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</si>
  <si>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</si>
  <si>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</si>
  <si>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</si>
  <si>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</si>
  <si>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</si>
  <si>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</si>
  <si>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</si>
  <si>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</si>
  <si>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</si>
  <si>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</si>
  <si>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</si>
  <si>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</si>
  <si>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</si>
  <si>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</si>
  <si>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</si>
  <si>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</si>
  <si>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</si>
  <si>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</si>
  <si>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</si>
  <si>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</si>
  <si>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</si>
  <si>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</si>
  <si>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</si>
  <si>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</si>
  <si>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</si>
  <si>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</si>
  <si>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</si>
  <si>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</si>
  <si>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</si>
  <si>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</si>
  <si>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</si>
  <si>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</si>
  <si>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</si>
  <si>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</si>
  <si>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</si>
  <si>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</si>
  <si>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</si>
  <si>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</si>
  <si>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</si>
  <si>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</si>
  <si>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</si>
  <si>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</si>
  <si>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</si>
  <si>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</si>
  <si>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</si>
  <si>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</si>
  <si>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</si>
  <si>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</si>
  <si>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</si>
  <si>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</si>
  <si>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</si>
  <si>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</si>
  <si>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</si>
  <si>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</si>
  <si>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</si>
  <si>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</si>
  <si>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</si>
  <si>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</si>
  <si>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</si>
  <si>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</si>
  <si>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</si>
  <si>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</si>
  <si>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</si>
  <si>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</si>
  <si>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</si>
  <si>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</si>
  <si>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</si>
  <si>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</si>
  <si>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</si>
  <si>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</si>
  <si>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</si>
  <si>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</si>
  <si>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</si>
  <si>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</si>
  <si>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</si>
  <si>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</si>
  <si>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</si>
  <si>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</si>
  <si>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</si>
  <si>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</si>
  <si>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</si>
  <si>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</si>
  <si>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</si>
  <si>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</si>
  <si>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</si>
  <si>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</si>
  <si>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</si>
  <si>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</si>
  <si>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</si>
  <si>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</si>
  <si>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</si>
  <si>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</si>
  <si>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</si>
  <si>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</si>
  <si>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</si>
  <si>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</si>
  <si>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</si>
  <si>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</si>
  <si>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</si>
  <si>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</si>
  <si>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</si>
  <si>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</si>
  <si>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</si>
  <si>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</si>
  <si>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</si>
  <si>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</si>
  <si>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</si>
  <si>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</si>
  <si>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</si>
  <si>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</si>
  <si>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</si>
  <si>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</si>
  <si>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</si>
  <si>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</si>
  <si>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</si>
  <si>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</si>
  <si>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</si>
  <si>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</si>
  <si>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</si>
  <si>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</si>
  <si>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</si>
  <si>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</si>
  <si>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</si>
  <si>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</si>
  <si>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</si>
  <si>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</si>
  <si>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</si>
  <si>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</si>
  <si>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</si>
  <si>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</si>
  <si>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</si>
  <si>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</si>
  <si>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</si>
  <si>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</si>
  <si>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</si>
  <si>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</si>
  <si>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</si>
  <si>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</si>
  <si>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</si>
  <si>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</si>
  <si>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</si>
  <si>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</si>
  <si>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</si>
  <si>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</si>
  <si>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</si>
  <si>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</si>
  <si>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</si>
  <si>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</si>
  <si>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</si>
  <si>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</si>
  <si>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</si>
  <si>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</si>
  <si>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</si>
  <si>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</si>
  <si>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</si>
  <si>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</si>
  <si>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</si>
  <si>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</si>
  <si>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</si>
  <si>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</si>
  <si>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</si>
  <si>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</si>
  <si>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</si>
  <si>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</si>
  <si>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</si>
  <si>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</si>
  <si>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</si>
  <si>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</si>
  <si>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</si>
  <si>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</si>
  <si>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</si>
  <si>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</si>
  <si>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</si>
  <si>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</si>
  <si>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</si>
  <si>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</si>
  <si>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</si>
  <si>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</si>
  <si>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</si>
  <si>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</si>
  <si>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</si>
  <si>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</si>
  <si>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</si>
  <si>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</si>
  <si>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</si>
  <si>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</si>
  <si>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</si>
  <si>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</si>
  <si>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</si>
  <si>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</si>
  <si>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</si>
  <si>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</si>
  <si>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</si>
  <si>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</si>
  <si>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</si>
  <si>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</si>
  <si>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</si>
  <si>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</si>
  <si>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</si>
  <si>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</si>
  <si>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</si>
  <si>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</si>
  <si>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</si>
  <si>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</si>
  <si>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</si>
  <si>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</si>
  <si>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</si>
  <si>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</si>
  <si>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</si>
  <si>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</si>
  <si>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</si>
  <si>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</si>
  <si>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</si>
  <si>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</si>
  <si>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</si>
  <si>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</si>
  <si>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</si>
  <si>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</si>
  <si>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</si>
  <si>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</si>
  <si>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</si>
  <si>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</si>
  <si>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</si>
  <si>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</si>
  <si>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</si>
  <si>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</si>
  <si>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</si>
  <si>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</si>
  <si>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</si>
  <si>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</si>
  <si>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</si>
  <si>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</si>
  <si>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</si>
  <si>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</si>
  <si>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</si>
  <si>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</si>
  <si>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</si>
  <si>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</si>
  <si>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</si>
  <si>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</si>
  <si>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</si>
  <si>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</si>
  <si>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</si>
  <si>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</si>
  <si>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</si>
  <si>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</si>
  <si>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</si>
  <si>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</si>
  <si>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</si>
  <si>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</si>
  <si>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</si>
  <si>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</si>
  <si>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</si>
  <si>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</si>
  <si>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</si>
  <si>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</si>
  <si>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</si>
  <si>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</si>
  <si>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</si>
  <si>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</si>
  <si>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</si>
  <si>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</si>
  <si>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</si>
  <si>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</si>
  <si>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</si>
  <si>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</si>
  <si>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</si>
  <si>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</si>
  <si>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</si>
  <si>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</si>
  <si>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</si>
  <si>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</si>
  <si>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</si>
  <si>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</si>
  <si>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</si>
  <si>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</si>
  <si>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</si>
  <si>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</si>
  <si>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</si>
  <si>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</si>
  <si>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</si>
  <si>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</si>
  <si>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</si>
  <si>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</si>
  <si>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</si>
  <si>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</si>
  <si>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</si>
  <si>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</si>
  <si>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</si>
  <si>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</si>
  <si>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</si>
  <si>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</si>
  <si>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</si>
  <si>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</si>
  <si>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</si>
  <si>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</si>
  <si>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</si>
  <si>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</si>
  <si>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</si>
  <si>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</si>
  <si>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</si>
  <si>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</si>
  <si>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</si>
  <si>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</si>
  <si>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</si>
  <si>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</si>
  <si>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</si>
  <si>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</si>
  <si>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</si>
  <si>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</si>
  <si>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</si>
  <si>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</si>
  <si>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</si>
  <si>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</si>
  <si>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</si>
  <si>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</si>
  <si>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</si>
  <si>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</si>
  <si>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</si>
  <si>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</si>
  <si>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</si>
  <si>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</si>
  <si>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</si>
  <si>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</si>
  <si>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</si>
  <si>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</si>
  <si>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</si>
  <si>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</si>
  <si>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</si>
  <si>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</si>
  <si>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</si>
  <si>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</si>
  <si>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</si>
  <si>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</si>
  <si>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</si>
  <si>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</si>
  <si>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</si>
  <si>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</si>
  <si>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</si>
  <si>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</si>
  <si>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</si>
  <si>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</si>
  <si>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</si>
  <si>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</si>
  <si>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</si>
  <si>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</si>
  <si>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</si>
  <si>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</si>
  <si>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</si>
  <si>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</si>
  <si>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</si>
  <si>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</si>
  <si>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</si>
  <si>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</si>
  <si>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</si>
  <si>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</si>
  <si>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</si>
  <si>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</si>
  <si>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</si>
  <si>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</si>
  <si>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</si>
  <si>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</si>
  <si>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</si>
  <si>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</si>
  <si>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</si>
  <si>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</si>
  <si>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</si>
  <si>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</si>
  <si>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</si>
  <si>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</si>
  <si>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</si>
  <si>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</si>
  <si>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</si>
  <si>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</si>
  <si>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</si>
  <si>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</si>
  <si>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</si>
  <si>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</si>
  <si>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</si>
  <si>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</si>
  <si>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</si>
  <si>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</si>
  <si>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</si>
  <si>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</si>
  <si>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</si>
  <si>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</si>
  <si>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</si>
  <si>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</si>
  <si>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</si>
  <si>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</si>
  <si>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</si>
  <si>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</si>
  <si>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</si>
  <si>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</si>
  <si>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</si>
  <si>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</si>
  <si>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</si>
  <si>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</si>
  <si>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</si>
  <si>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</si>
  <si>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</si>
  <si>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</si>
  <si>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</si>
  <si>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</si>
  <si>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</si>
  <si>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</si>
  <si>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</si>
  <si>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</si>
  <si>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</si>
  <si>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</si>
  <si>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</si>
  <si>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</si>
  <si>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</si>
  <si>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</si>
  <si>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</si>
  <si>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</si>
  <si>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</si>
  <si>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</si>
  <si>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</si>
  <si>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</si>
  <si>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</si>
  <si>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</si>
  <si>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</si>
  <si>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</si>
  <si>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</si>
  <si>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</si>
  <si>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</si>
  <si>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</si>
  <si>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</si>
  <si>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</si>
  <si>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</si>
  <si>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</si>
  <si>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</si>
  <si>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</si>
  <si>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</si>
  <si>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</si>
  <si>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</si>
  <si>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</si>
  <si>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</si>
  <si>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</si>
  <si>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</si>
  <si>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</si>
  <si>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</si>
  <si>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</si>
  <si>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</si>
  <si>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</si>
  <si>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</si>
  <si>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</si>
  <si>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</si>
  <si>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</si>
  <si>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</si>
  <si>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</si>
  <si>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</si>
  <si>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</si>
  <si>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</si>
  <si>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</si>
  <si>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</si>
  <si>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</si>
  <si>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</si>
  <si>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</si>
  <si>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</si>
  <si>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</si>
  <si>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</si>
  <si>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</si>
  <si>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</si>
  <si>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</si>
  <si>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</si>
  <si>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</si>
  <si>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</si>
  <si>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</si>
  <si>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</si>
  <si>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</si>
  <si>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</si>
  <si>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</si>
  <si>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</si>
  <si>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</si>
  <si>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</si>
  <si>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</si>
  <si>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</si>
  <si>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</si>
  <si>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</si>
  <si>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</si>
  <si>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</si>
  <si>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</si>
  <si>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</si>
  <si>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</si>
  <si>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</si>
  <si>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</si>
  <si>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</si>
  <si>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</si>
  <si>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</si>
  <si>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</si>
  <si>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</si>
  <si>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</si>
  <si>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</si>
  <si>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</si>
  <si>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</si>
  <si>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</si>
  <si>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</si>
  <si>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</si>
  <si>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</si>
  <si>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</si>
  <si>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</si>
  <si>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</si>
  <si>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</si>
  <si>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</si>
  <si>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</si>
  <si>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</si>
  <si>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</si>
  <si>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</si>
  <si>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</si>
  <si>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</si>
  <si>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</si>
  <si>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</si>
  <si>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</si>
  <si>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</si>
  <si>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</si>
  <si>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</si>
  <si>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</si>
  <si>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</si>
  <si>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</si>
  <si>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</si>
  <si>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</si>
  <si>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</si>
  <si>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</si>
  <si>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</si>
  <si>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</si>
  <si>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</si>
  <si>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</si>
  <si>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</si>
  <si>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</si>
  <si>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</si>
  <si>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</si>
  <si>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</si>
  <si>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</si>
  <si>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</si>
  <si>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</si>
  <si>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</si>
  <si>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</si>
  <si>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</si>
  <si>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</si>
  <si>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</si>
  <si>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</si>
  <si>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</si>
  <si>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</si>
  <si>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</si>
  <si>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</si>
  <si>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</si>
  <si>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</si>
  <si>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</si>
  <si>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</si>
  <si>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</si>
  <si>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</si>
  <si>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</si>
  <si>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</si>
  <si>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</si>
  <si>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CASH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</si>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</sst>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76" totalsRowShown="0" headerRowDxfId="86" dataDxfId="85">
  <autoFilter ref="A1:R876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1" dataDxfId="30">
  <autoFilter ref="A2:I15" xr:uid="{74ED0DA7-B29F-4043-B63E-2DC322D6021E}"/>
  <tableColumns count="9">
    <tableColumn id="1" xr3:uid="{245016D5-DEB3-4F3E-B449-3096C2EF947B}" name="S.No." dataDxfId="29">
      <calculatedColumnFormula>ROW()-2</calculatedColumnFormula>
    </tableColumn>
    <tableColumn id="2" xr3:uid="{77ED4F47-8FDC-4F18-AB35-3830D899313B}" name="Dated" dataDxfId="28"/>
    <tableColumn id="3" xr3:uid="{67393A8B-58A2-4A4E-AA68-362B9B4F4E28}" name="Vehicle Num." dataDxfId="27"/>
    <tableColumn id="4" xr3:uid="{2C031EFD-E44B-468B-BEF0-3C97412F5E2E}" name="Name" dataDxfId="26"/>
    <tableColumn id="5" xr3:uid="{73873638-799E-44F5-B857-93DAE5E0F2FF}" name="Payment Mode" dataDxfId="25"/>
    <tableColumn id="6" xr3:uid="{BFB6E8F7-43C7-4B39-8FF0-E41A5EA5B2D3}" name="Trans Id." dataDxfId="24"/>
    <tableColumn id="8" xr3:uid="{3B1BF0B9-13BC-4A4E-B215-A3056576D199}" name="Trans. Date" dataDxfId="23"/>
    <tableColumn id="9" xr3:uid="{F64CF3FC-8352-46AE-80D1-01DDCE0247AC}" name="Amount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3" totalsRowShown="0" headerRowDxfId="41" dataDxfId="40">
  <autoFilter ref="A2:H57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9"/>
    <tableColumn id="11" xr3:uid="{7AA66E15-5D81-45A6-A480-BC2F7EFDEB4C}" name="Name" dataDxfId="38"/>
    <tableColumn id="10" xr3:uid="{DA1D923C-25B3-4F76-823C-435E6464FF55}" name="Contact" dataDxfId="37"/>
    <tableColumn id="2" xr3:uid="{5FEBD558-5EB7-4421-BA25-DCAC1134B168}" name="Barcode No." dataDxfId="36"/>
    <tableColumn id="12" xr3:uid="{77758C8B-F2C8-47C0-B104-570729F9693B}" name="Reg Num" dataDxfId="35"/>
    <tableColumn id="5" xr3:uid="{9AC97A3F-3009-4A59-ACCF-A178780E6F61}" name="Date" dataDxfId="34"/>
    <tableColumn id="7" xr3:uid="{82C8F4C5-8489-4228-83CC-0B9666328CDD}" name="CHANNEL" dataDxfId="33"/>
    <tableColumn id="8" xr3:uid="{DDF1FC61-A0D6-46E9-9515-6DDC5AB1E932}" name="Status" dataDxfId="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44"/>
  <sheetViews>
    <sheetView tabSelected="1" topLeftCell="A847" zoomScale="96" zoomScaleNormal="96" workbookViewId="0">
      <selection activeCell="F873" sqref="F87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11330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11330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11330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11331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/>
      <c r="P833" s="24"/>
      <c r="Q833" s="21"/>
      <c r="R833" s="21"/>
    </row>
    <row r="834" spans="1:18" x14ac:dyDescent="0.25">
      <c r="A834" s="21">
        <f t="shared" ref="A834:A876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/>
      <c r="N835" s="22"/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11332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11333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/>
      <c r="N863" s="22"/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11330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11335</v>
      </c>
      <c r="J867" s="22">
        <v>46191</v>
      </c>
      <c r="K867" s="21">
        <v>9797435217</v>
      </c>
      <c r="L867" s="21" t="s">
        <v>73</v>
      </c>
      <c r="M867" s="23"/>
      <c r="N867" s="22"/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11336</v>
      </c>
      <c r="C868" s="21" t="s">
        <v>11337</v>
      </c>
      <c r="D868" s="21" t="s">
        <v>11338</v>
      </c>
      <c r="E868" s="21" t="s">
        <v>11339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11340</v>
      </c>
      <c r="J868" s="22">
        <v>46191</v>
      </c>
      <c r="K868" s="21">
        <v>9718916222</v>
      </c>
      <c r="L868" s="21" t="s">
        <v>11309</v>
      </c>
      <c r="M868" s="23"/>
      <c r="N868" s="22"/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11342</v>
      </c>
      <c r="C869" s="21" t="s">
        <v>11343</v>
      </c>
      <c r="D869" s="21" t="s">
        <v>11344</v>
      </c>
      <c r="E869" s="21" t="s">
        <v>11345</v>
      </c>
      <c r="F869" s="21" t="s">
        <v>11346</v>
      </c>
      <c r="G869" s="21" t="s">
        <v>197</v>
      </c>
      <c r="H869" s="21" t="str">
        <f t="shared" si="27"/>
        <v>SRINAGAR</v>
      </c>
      <c r="I869" s="21" t="s">
        <v>11347</v>
      </c>
      <c r="J869" s="22">
        <v>46191</v>
      </c>
      <c r="K869" s="21">
        <v>9541611152</v>
      </c>
      <c r="L869" s="21" t="s">
        <v>26</v>
      </c>
      <c r="M869" s="23"/>
      <c r="N869" s="22"/>
      <c r="O869" s="21"/>
      <c r="P869" s="24"/>
      <c r="Q869" s="21"/>
      <c r="R869" s="21"/>
    </row>
    <row r="870" spans="1:18" x14ac:dyDescent="0.25">
      <c r="A870" s="21">
        <f t="shared" si="26"/>
        <v>869</v>
      </c>
      <c r="B870" s="21"/>
      <c r="C870" s="21"/>
      <c r="D870" s="21"/>
      <c r="E870" s="21"/>
      <c r="F870" s="21"/>
      <c r="G870" s="21"/>
      <c r="H870" s="54" t="str">
        <f t="shared" ref="H870:H876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NEW</v>
      </c>
      <c r="I870" s="21"/>
      <c r="J870" s="55"/>
      <c r="K870" s="56"/>
      <c r="L870" s="53"/>
      <c r="M870" s="57"/>
      <c r="N870" s="55"/>
      <c r="O870" s="53"/>
      <c r="P870" s="58"/>
      <c r="Q870" s="53"/>
      <c r="R870" s="53"/>
    </row>
    <row r="871" spans="1:18" x14ac:dyDescent="0.25">
      <c r="A871" s="21">
        <f t="shared" si="26"/>
        <v>870</v>
      </c>
      <c r="B871" s="21"/>
      <c r="C871" s="21"/>
      <c r="D871" s="21"/>
      <c r="E871" s="21"/>
      <c r="F871" s="21"/>
      <c r="G871" s="21"/>
      <c r="H871" s="54" t="str">
        <f t="shared" si="28"/>
        <v>NEW</v>
      </c>
      <c r="I871" s="53"/>
      <c r="J871" s="55"/>
      <c r="K871" s="56"/>
      <c r="L871" s="53"/>
      <c r="M871" s="57"/>
      <c r="N871" s="55"/>
      <c r="O871" s="53"/>
      <c r="P871" s="58"/>
      <c r="Q871" s="53"/>
      <c r="R871" s="53"/>
    </row>
    <row r="872" spans="1:18" x14ac:dyDescent="0.25">
      <c r="A872" s="21">
        <f t="shared" si="26"/>
        <v>871</v>
      </c>
      <c r="B872" s="21"/>
      <c r="C872" s="21"/>
      <c r="D872" s="21"/>
      <c r="E872" s="21"/>
      <c r="F872" s="21"/>
      <c r="G872" s="21"/>
      <c r="H872" s="54" t="str">
        <f t="shared" si="28"/>
        <v>NEW</v>
      </c>
      <c r="I872" s="53"/>
      <c r="J872" s="55"/>
      <c r="K872" s="56"/>
      <c r="L872" s="53"/>
      <c r="M872" s="57"/>
      <c r="N872" s="55"/>
      <c r="O872" s="53"/>
      <c r="P872" s="58"/>
      <c r="Q872" s="53"/>
      <c r="R872" s="53"/>
    </row>
    <row r="873" spans="1:18" x14ac:dyDescent="0.25">
      <c r="A873" s="21">
        <f t="shared" si="26"/>
        <v>872</v>
      </c>
      <c r="B873" s="21"/>
      <c r="C873" s="21"/>
      <c r="D873" s="21"/>
      <c r="E873" s="21"/>
      <c r="F873" s="21"/>
      <c r="G873" s="21"/>
      <c r="H873" s="54" t="str">
        <f t="shared" si="28"/>
        <v>NEW</v>
      </c>
      <c r="I873" s="53"/>
      <c r="J873" s="55"/>
      <c r="K873" s="56"/>
      <c r="L873" s="53"/>
      <c r="M873" s="57"/>
      <c r="N873" s="55"/>
      <c r="O873" s="53"/>
      <c r="P873" s="58"/>
      <c r="Q873" s="53"/>
      <c r="R873" s="53"/>
    </row>
    <row r="874" spans="1:18" x14ac:dyDescent="0.25">
      <c r="A874" s="21">
        <f t="shared" si="26"/>
        <v>873</v>
      </c>
      <c r="B874" s="21"/>
      <c r="C874" s="21"/>
      <c r="D874" s="21"/>
      <c r="E874" s="21"/>
      <c r="F874" s="21"/>
      <c r="G874" s="21"/>
      <c r="H874" s="54" t="str">
        <f t="shared" si="28"/>
        <v>NEW</v>
      </c>
      <c r="I874" s="53"/>
      <c r="J874" s="55"/>
      <c r="K874" s="56"/>
      <c r="L874" s="53"/>
      <c r="M874" s="57"/>
      <c r="N874" s="55"/>
      <c r="O874" s="53"/>
      <c r="P874" s="58"/>
      <c r="Q874" s="53"/>
      <c r="R874" s="53"/>
    </row>
    <row r="875" spans="1:18" x14ac:dyDescent="0.25">
      <c r="A875" s="21">
        <f t="shared" si="26"/>
        <v>874</v>
      </c>
      <c r="B875" s="21"/>
      <c r="C875" s="21"/>
      <c r="D875" s="21"/>
      <c r="E875" s="21"/>
      <c r="F875" s="21"/>
      <c r="G875" s="21"/>
      <c r="H875" s="54" t="str">
        <f t="shared" si="28"/>
        <v>NEW</v>
      </c>
      <c r="I875" s="53"/>
      <c r="J875" s="55"/>
      <c r="K875" s="56"/>
      <c r="L875" s="53"/>
      <c r="M875" s="57"/>
      <c r="N875" s="55"/>
      <c r="O875" s="53"/>
      <c r="P875" s="58"/>
      <c r="Q875" s="53"/>
      <c r="R875" s="53"/>
    </row>
    <row r="876" spans="1:18" x14ac:dyDescent="0.25">
      <c r="A876" s="21">
        <f t="shared" si="26"/>
        <v>875</v>
      </c>
      <c r="B876" s="21"/>
      <c r="C876" s="21"/>
      <c r="D876" s="21"/>
      <c r="E876" s="21"/>
      <c r="F876" s="21"/>
      <c r="G876" s="21"/>
      <c r="H876" s="54" t="str">
        <f t="shared" si="28"/>
        <v>NEW</v>
      </c>
      <c r="I876" s="53"/>
      <c r="J876" s="55"/>
      <c r="K876" s="56"/>
      <c r="L876" s="53"/>
      <c r="M876" s="57"/>
      <c r="N876" s="55"/>
      <c r="O876" s="53"/>
      <c r="P876" s="58"/>
      <c r="Q876" s="53"/>
      <c r="R876" s="53"/>
    </row>
    <row r="877" spans="1:18" ht="15.75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12"/>
      <c r="K877" s="21"/>
      <c r="L877" s="21"/>
      <c r="M877" t="s">
        <v>43</v>
      </c>
    </row>
    <row r="878" spans="1:18" ht="15.75" x14ac:dyDescent="0.25">
      <c r="A878" s="21"/>
      <c r="B878" s="21"/>
      <c r="C878" s="21"/>
      <c r="D878" s="21"/>
      <c r="E878" s="21"/>
      <c r="F878" s="21"/>
      <c r="G878" s="21"/>
      <c r="H878" s="1"/>
      <c r="I878" s="13"/>
      <c r="K878" s="21"/>
      <c r="L878" s="21"/>
    </row>
    <row r="879" spans="1:18" x14ac:dyDescent="0.25">
      <c r="K879" s="21"/>
    </row>
    <row r="880" spans="1:18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x14ac:dyDescent="0.25">
      <c r="K1006" s="20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I858:I863 J859:J863 A864:J864 B865:J865 I866:J868 L877:L878 B866:H866 L853:R876 A865:A876 H867:H869 B872:J876 J869 K852:K869 I868:I870 H870:J871 B867:G871">
    <cfRule type="expression" dxfId="20" priority="23">
      <formula>CELL("row")=ROW()</formula>
    </cfRule>
  </conditionalFormatting>
  <conditionalFormatting sqref="B257:G290 B291:B300 C291:G301">
    <cfRule type="expression" dxfId="19" priority="21">
      <formula>CELL("row")=ROW()</formula>
    </cfRule>
  </conditionalFormatting>
  <conditionalFormatting sqref="B772:G772">
    <cfRule type="expression" dxfId="18" priority="4">
      <formula>CELL("row")=ROW()</formula>
    </cfRule>
  </conditionalFormatting>
  <conditionalFormatting sqref="F398">
    <cfRule type="expression" dxfId="17" priority="16">
      <formula>CELL("row")=ROW()</formula>
    </cfRule>
  </conditionalFormatting>
  <conditionalFormatting sqref="F420">
    <cfRule type="expression" dxfId="16" priority="15">
      <formula>CELL("row")=ROW()</formula>
    </cfRule>
  </conditionalFormatting>
  <conditionalFormatting sqref="F326:G326">
    <cfRule type="expression" dxfId="15" priority="18">
      <formula>CELL("row")=ROW()</formula>
    </cfRule>
  </conditionalFormatting>
  <conditionalFormatting sqref="G266">
    <cfRule type="expression" dxfId="14" priority="20">
      <formula>CELL("row")=ROW()</formula>
    </cfRule>
  </conditionalFormatting>
  <conditionalFormatting sqref="I558">
    <cfRule type="expression" dxfId="13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77:I877 K877:K956 A878:G878">
    <cfRule type="expression" dxfId="12" priority="9">
      <formula>CELL("row")=ROW()</formula>
    </cfRule>
  </conditionalFormatting>
  <conditionalFormatting sqref="K672:K697 K698:L700 L701">
    <cfRule type="expression" dxfId="11" priority="8">
      <formula>CELL("row")=ROW()</formula>
    </cfRule>
  </conditionalFormatting>
  <conditionalFormatting sqref="L532:L535">
    <cfRule type="expression" dxfId="10" priority="13">
      <formula>CELL("row")=ROW()</formula>
    </cfRule>
  </conditionalFormatting>
  <conditionalFormatting sqref="M718 M730 M733 M738:M739">
    <cfRule type="expression" dxfId="9" priority="3">
      <formula>CELL("row")=ROW()</formula>
    </cfRule>
  </conditionalFormatting>
  <conditionalFormatting sqref="M763:M764 M774">
    <cfRule type="expression" dxfId="8" priority="2">
      <formula>CELL("row")=ROW()</formula>
    </cfRule>
  </conditionalFormatting>
  <conditionalFormatting sqref="M877:O878">
    <cfRule type="expression" dxfId="7" priority="32">
      <formula>ROW(O93)=HighlightRow</formula>
    </cfRule>
  </conditionalFormatting>
  <conditionalFormatting sqref="N698">
    <cfRule type="expression" dxfId="6" priority="6">
      <formula>CELL("row")=ROW()</formula>
    </cfRule>
  </conditionalFormatting>
  <conditionalFormatting sqref="P877:Q878">
    <cfRule type="expression" dxfId="5" priority="36">
      <formula>ROW(S93)=HighlightRow</formula>
    </cfRule>
  </conditionalFormatting>
  <conditionalFormatting sqref="S105:XFD105">
    <cfRule type="expression" dxfId="4" priority="37">
      <formula>ROW(T94)=HighlightRow</formula>
    </cfRule>
  </conditionalFormatting>
  <conditionalFormatting sqref="S106:XFD114">
    <cfRule type="expression" dxfId="3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E23" sqref="E23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11329</v>
      </c>
      <c r="F8" s="21"/>
      <c r="G8" s="21"/>
      <c r="H8" s="21">
        <v>280</v>
      </c>
      <c r="I8" s="21" t="s">
        <v>6094</v>
      </c>
    </row>
    <row r="9" spans="1:9" x14ac:dyDescent="0.25">
      <c r="A9" s="21">
        <f t="shared" si="0"/>
        <v>7</v>
      </c>
      <c r="B9" s="21"/>
      <c r="C9" s="21" t="s">
        <v>11320</v>
      </c>
      <c r="D9" s="21" t="s">
        <v>360</v>
      </c>
      <c r="E9" s="21" t="s">
        <v>11329</v>
      </c>
      <c r="F9" s="21"/>
      <c r="G9" s="21"/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1"/>
      <c r="C10" s="21" t="s">
        <v>11321</v>
      </c>
      <c r="D10" s="21" t="s">
        <v>360</v>
      </c>
      <c r="E10" s="21" t="s">
        <v>11329</v>
      </c>
      <c r="F10" s="21"/>
      <c r="G10" s="21"/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1"/>
      <c r="C11" s="21" t="s">
        <v>11322</v>
      </c>
      <c r="D11" s="21" t="s">
        <v>360</v>
      </c>
      <c r="E11" s="21" t="s">
        <v>11329</v>
      </c>
      <c r="F11" s="21"/>
      <c r="G11" s="21"/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1"/>
      <c r="C12" s="21" t="s">
        <v>11323</v>
      </c>
      <c r="D12" s="21" t="s">
        <v>360</v>
      </c>
      <c r="E12" s="21" t="s">
        <v>11329</v>
      </c>
      <c r="F12" s="21"/>
      <c r="G12" s="21"/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1"/>
      <c r="C13" s="21" t="s">
        <v>9955</v>
      </c>
      <c r="D13" s="21" t="s">
        <v>360</v>
      </c>
      <c r="E13" s="21" t="s">
        <v>11329</v>
      </c>
      <c r="F13" s="21"/>
      <c r="G13" s="21"/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1"/>
      <c r="C14" s="21" t="s">
        <v>11324</v>
      </c>
      <c r="D14" s="21" t="s">
        <v>360</v>
      </c>
      <c r="E14" s="21" t="s">
        <v>11329</v>
      </c>
      <c r="F14" s="21"/>
      <c r="G14" s="21"/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11334</v>
      </c>
      <c r="D15" s="21"/>
      <c r="E15" s="21"/>
      <c r="F15" s="21"/>
      <c r="G15" s="21"/>
      <c r="H15" s="21"/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3"/>
  <sheetViews>
    <sheetView topLeftCell="A557" zoomScaleNormal="100" workbookViewId="0">
      <selection activeCell="G576" sqref="G5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11341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12"/>
      <c r="C573" s="12"/>
      <c r="D573" s="12"/>
      <c r="E573" s="12"/>
      <c r="F573" s="14"/>
      <c r="G573" s="14"/>
      <c r="H573" s="12"/>
    </row>
  </sheetData>
  <mergeCells count="1">
    <mergeCell ref="A1:H1"/>
  </mergeCells>
  <phoneticPr fontId="26" type="noConversion"/>
  <conditionalFormatting sqref="B568:E571 C572:D572">
    <cfRule type="expression" dxfId="2" priority="3">
      <formula>CELL("row")=ROW()</formula>
    </cfRule>
  </conditionalFormatting>
  <conditionalFormatting sqref="B572">
    <cfRule type="expression" dxfId="1" priority="2">
      <formula>CELL("row")=ROW()</formula>
    </cfRule>
  </conditionalFormatting>
  <conditionalFormatting sqref="E5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2026-06-18T10:26:39Z</dcterms:modified>
</cp:coreProperties>
</file>