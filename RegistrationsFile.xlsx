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B4E60EB-E225-4D43-BF26-032B5759A031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08" i="4" l="1"/>
  <c r="A600" i="7" l="1"/>
  <c r="A601" i="7"/>
  <c r="A602" i="7"/>
  <c r="A603" i="7"/>
  <c r="A604" i="7"/>
  <c r="A605" i="7"/>
  <c r="A606" i="7"/>
  <c r="H906" i="4"/>
  <c r="H907" i="4"/>
  <c r="H911" i="4"/>
  <c r="H909" i="4"/>
  <c r="H910" i="4"/>
  <c r="H912" i="4"/>
  <c r="H913" i="4"/>
  <c r="A906" i="4"/>
  <c r="A907" i="4"/>
  <c r="A911" i="4"/>
  <c r="A908" i="4"/>
  <c r="A909" i="4"/>
  <c r="A910" i="4"/>
  <c r="A912" i="4"/>
  <c r="A913" i="4"/>
  <c r="H894" i="4"/>
  <c r="A591" i="7" l="1"/>
  <c r="A592" i="7"/>
  <c r="A593" i="7"/>
  <c r="A594" i="7"/>
  <c r="A595" i="7"/>
  <c r="A596" i="7"/>
  <c r="A597" i="7"/>
  <c r="A598" i="7"/>
  <c r="A599" i="7"/>
  <c r="H895" i="4"/>
  <c r="H896" i="4"/>
  <c r="H897" i="4"/>
  <c r="H898" i="4"/>
  <c r="H899" i="4"/>
  <c r="H900" i="4"/>
  <c r="H901" i="4"/>
  <c r="H902" i="4"/>
  <c r="H903" i="4"/>
  <c r="H904" i="4"/>
  <c r="H905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H889" i="4" l="1"/>
  <c r="H890" i="4"/>
  <c r="H891" i="4"/>
  <c r="H892" i="4"/>
  <c r="H893" i="4"/>
  <c r="A889" i="4"/>
  <c r="A890" i="4"/>
  <c r="A891" i="4"/>
  <c r="A892" i="4"/>
  <c r="A893" i="4"/>
  <c r="H884" i="4" l="1"/>
  <c r="H883" i="4" l="1"/>
  <c r="H885" i="4"/>
  <c r="H886" i="4"/>
  <c r="H888" i="4"/>
  <c r="A883" i="4"/>
  <c r="A884" i="4"/>
  <c r="A885" i="4"/>
  <c r="A886" i="4"/>
  <c r="A888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6" i="4" l="1"/>
  <c r="H878" i="4"/>
  <c r="H877" i="4"/>
  <c r="H879" i="4"/>
  <c r="H880" i="4"/>
  <c r="H881" i="4"/>
  <c r="H882" i="4"/>
  <c r="A876" i="4"/>
  <c r="A878" i="4"/>
  <c r="A877" i="4"/>
  <c r="A879" i="4"/>
  <c r="A880" i="4"/>
  <c r="A881" i="4"/>
  <c r="A882" i="4"/>
  <c r="H870" i="4" l="1"/>
  <c r="H871" i="4"/>
  <c r="H872" i="4"/>
  <c r="H873" i="4"/>
  <c r="H874" i="4"/>
  <c r="H875" i="4"/>
  <c r="H887" i="4"/>
  <c r="A870" i="4"/>
  <c r="A871" i="4"/>
  <c r="A872" i="4"/>
  <c r="A873" i="4"/>
  <c r="A874" i="4"/>
  <c r="A875" i="4"/>
  <c r="A887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<sst xmlns="http://schemas.openxmlformats.org/spreadsheetml/2006/main" count="28827" uniqueCount="11612">
  <si>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</si>
  <si>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</si>
  <si>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</si>
  <si>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</si>
  <si>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</si>
  <si>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</si>
  <si>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</si>
  <si>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</si>
  <si>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</si>
  <si>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</si>
  <si>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</si>
  <si>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</si>
  <si>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</si>
  <si>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</si>
  <si>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</si>
  <si>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</si>
  <si>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</si>
  <si>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</si>
  <si>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</si>
  <si>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</si>
  <si>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</si>
  <si>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</si>
  <si>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</si>
  <si>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</si>
  <si>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</si>
  <si>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</si>
  <si>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</si>
  <si>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</si>
  <si>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</si>
  <si>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</si>
  <si>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</si>
  <si>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</si>
  <si>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</si>
  <si>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</si>
  <si>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</si>
  <si>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</si>
  <si>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</si>
  <si>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</si>
  <si>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</si>
  <si>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</si>
  <si>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</si>
  <si>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</si>
  <si>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</si>
  <si>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</si>
  <si>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</si>
  <si>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</si>
  <si>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</si>
  <si>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</si>
  <si>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</si>
  <si>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</si>
  <si>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</si>
  <si>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</si>
  <si>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</si>
  <si>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</si>
  <si>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</si>
  <si>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</si>
  <si>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</si>
  <si>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</si>
  <si>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</si>
  <si>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</si>
  <si>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</si>
  <si>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</si>
  <si>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</si>
  <si>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</si>
  <si>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</si>
  <si>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</si>
  <si>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</si>
  <si>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</si>
  <si>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</si>
  <si>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</si>
  <si>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</si>
  <si>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</si>
  <si>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</si>
  <si>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</si>
  <si>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</si>
  <si>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</si>
  <si>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</si>
  <si>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</si>
  <si>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</si>
  <si>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</si>
  <si>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</si>
  <si>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</si>
  <si>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</si>
  <si>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</si>
  <si>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</si>
  <si>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</si>
  <si>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</si>
  <si>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</si>
  <si>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</si>
  <si>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</si>
  <si>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</si>
  <si>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</si>
  <si>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</si>
  <si>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</si>
  <si>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</si>
  <si>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</si>
  <si>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</si>
  <si>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</si>
  <si>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</si>
  <si>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</si>
  <si>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</si>
  <si>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</si>
  <si>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</si>
  <si>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</si>
  <si>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</si>
  <si>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</si>
  <si>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</si>
  <si>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</si>
  <si>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</si>
  <si>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</si>
  <si>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</si>
  <si>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</si>
  <si>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</si>
  <si>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</si>
  <si>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</si>
  <si>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</si>
  <si>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</si>
  <si>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</si>
  <si>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</si>
  <si>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</si>
  <si>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</si>
  <si>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</si>
  <si>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</si>
  <si>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</si>
  <si>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</si>
  <si>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</si>
  <si>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</si>
  <si>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</si>
  <si>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</si>
  <si>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</si>
  <si>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</si>
  <si>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</si>
  <si>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</si>
  <si>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</si>
  <si>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</si>
  <si>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</si>
  <si>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</si>
  <si>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</si>
  <si>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</si>
  <si>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</si>
  <si>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</si>
  <si>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</si>
  <si>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</si>
  <si>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</si>
  <si>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</si>
  <si>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</si>
  <si>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</si>
  <si>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</si>
  <si>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</si>
  <si>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</si>
  <si>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</si>
  <si>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</si>
  <si>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</si>
  <si>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</si>
  <si>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</si>
  <si>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</si>
  <si>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</si>
  <si>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</si>
  <si>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</si>
  <si>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</si>
  <si>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</si>
  <si>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</si>
  <si>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</si>
  <si>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</si>
  <si>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</si>
  <si>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</si>
  <si>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</si>
  <si>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</si>
  <si>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</si>
  <si>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</si>
  <si>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</si>
  <si>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</si>
  <si>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</si>
  <si>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</si>
  <si>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</si>
  <si>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</si>
  <si>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</si>
  <si>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</si>
  <si>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</si>
  <si>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</si>
  <si>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</si>
  <si>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</si>
  <si>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</si>
  <si>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</si>
  <si>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</si>
  <si>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</si>
  <si>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</si>
  <si>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</si>
  <si>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</si>
  <si>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</si>
  <si>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</si>
  <si>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</si>
  <si>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</si>
  <si>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</si>
  <si>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</si>
  <si>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</si>
  <si>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</si>
  <si>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</si>
  <si>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</si>
  <si>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</si>
  <si>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</si>
  <si>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</si>
  <si>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</si>
  <si>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</si>
  <si>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</si>
  <si>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</si>
  <si>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</si>
  <si>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</si>
  <si>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</si>
  <si>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</si>
  <si>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</si>
  <si>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</si>
  <si>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</si>
  <si>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</si>
  <si>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</si>
  <si>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</si>
  <si>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</si>
  <si>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</si>
  <si>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</si>
  <si>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</si>
  <si>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</si>
  <si>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</si>
  <si>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</si>
  <si>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</si>
  <si>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</si>
  <si>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</si>
  <si>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</si>
  <si>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</si>
  <si>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</si>
  <si>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</si>
  <si>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</si>
  <si>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</si>
  <si>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</si>
  <si>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</si>
  <si>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</si>
  <si>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</si>
  <si>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</si>
  <si>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</si>
  <si>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</si>
  <si>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</si>
  <si>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</si>
  <si>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</si>
  <si>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</si>
  <si>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</si>
  <si>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</si>
  <si>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</si>
  <si>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</si>
  <si>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</si>
  <si>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</si>
  <si>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</si>
  <si>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</si>
  <si>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</si>
  <si>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</si>
  <si>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</si>
  <si>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</si>
  <si>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</si>
  <si>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</si>
  <si>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</si>
  <si>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</si>
  <si>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</si>
  <si>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</si>
  <si>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</si>
  <si>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</si>
  <si>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</si>
  <si>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</si>
  <si>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</si>
  <si>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</si>
  <si>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</si>
  <si>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</si>
  <si>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</si>
  <si>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</si>
  <si>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</si>
  <si>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</si>
  <si>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</si>
  <si>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</si>
  <si>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</si>
  <si>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</si>
  <si>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</si>
  <si>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</si>
  <si>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</si>
  <si>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</si>
  <si>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</si>
  <si>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</si>
  <si>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</si>
  <si>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</si>
  <si>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</si>
  <si>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</si>
  <si>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</si>
  <si>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</si>
  <si>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</si>
  <si>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</si>
  <si>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</si>
  <si>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</si>
  <si>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</si>
  <si>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</si>
  <si>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</si>
  <si>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</si>
  <si>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</si>
  <si>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</si>
  <si>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</si>
  <si>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</si>
  <si>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</si>
  <si>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</si>
  <si>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</si>
  <si>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</si>
  <si>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</si>
  <si>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</si>
  <si>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</si>
  <si>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</si>
  <si>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</si>
  <si>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</si>
  <si>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</si>
  <si>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</si>
  <si>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</si>
  <si>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</si>
  <si>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</si>
  <si>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</si>
  <si>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</si>
  <si>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</si>
  <si>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</si>
  <si>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</si>
  <si>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</si>
  <si>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</si>
  <si>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</si>
  <si>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</si>
  <si>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</si>
  <si>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</si>
  <si>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</si>
  <si>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</si>
  <si>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</si>
  <si>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</si>
  <si>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</si>
  <si>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</si>
  <si>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</si>
  <si>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</si>
  <si>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</si>
  <si>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</si>
  <si>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</si>
  <si>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</si>
  <si>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</si>
  <si>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</si>
  <si>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</si>
  <si>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</si>
  <si>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</si>
  <si>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</si>
  <si>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</si>
  <si>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</si>
  <si>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</si>
  <si>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</si>
  <si>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</si>
  <si>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</si>
  <si>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</si>
  <si>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</si>
  <si>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</si>
  <si>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</si>
  <si>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</si>
  <si>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</si>
  <si>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</si>
  <si>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</si>
  <si>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</si>
  <si>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</si>
  <si>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</si>
  <si>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</si>
  <si>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</si>
  <si>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</si>
  <si>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</si>
  <si>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</si>
  <si>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</si>
  <si>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</si>
  <si>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</si>
  <si>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</si>
  <si>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</si>
  <si>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</si>
  <si>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</si>
  <si>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</si>
  <si>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</si>
  <si>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</si>
  <si>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</si>
  <si>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</si>
  <si>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</si>
  <si>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</si>
  <si>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</si>
  <si>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</si>
  <si>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</si>
  <si>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</si>
  <si>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</si>
  <si>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</si>
  <si>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</si>
  <si>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</si>
  <si>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</si>
  <si>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</si>
  <si>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</si>
  <si>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</si>
  <si>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</si>
  <si>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</si>
  <si>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</si>
  <si>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</si>
  <si>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</si>
  <si>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</si>
  <si>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</si>
  <si>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</si>
  <si>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</si>
  <si>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</si>
  <si>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</si>
  <si>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</si>
  <si>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</si>
  <si>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</si>
  <si>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</si>
  <si>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</si>
  <si>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</si>
  <si>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</si>
  <si>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</si>
  <si>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</si>
  <si>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</si>
  <si>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</si>
  <si>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</si>
  <si>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</si>
  <si>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</si>
  <si>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</si>
  <si>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</si>
  <si>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</si>
  <si>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</si>
  <si>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</si>
  <si>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</si>
  <si>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</si>
  <si>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</si>
  <si>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</si>
  <si>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</si>
  <si>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</si>
  <si>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</si>
  <si>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</si>
  <si>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</si>
  <si>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</si>
  <si>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</si>
  <si>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</si>
  <si>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</si>
  <si>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</si>
  <si>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</si>
  <si>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</si>
  <si>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</si>
  <si>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</si>
  <si>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</si>
  <si>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</si>
  <si>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</si>
  <si>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</si>
  <si>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</si>
  <si>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</si>
  <si>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</si>
  <si>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</si>
  <si>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</si>
  <si>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</si>
  <si>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</si>
  <si>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</si>
  <si>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</si>
  <si>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</si>
  <si>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</si>
  <si>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</si>
  <si>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</si>
  <si>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</si>
  <si>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</si>
  <si>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</si>
  <si>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</si>
  <si>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</si>
  <si>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</si>
  <si>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</si>
  <si>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</si>
  <si>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</si>
  <si>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</si>
  <si>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</si>
  <si>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</si>
  <si>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</si>
  <si>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</si>
  <si>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</si>
  <si>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</si>
  <si>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</si>
  <si>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</si>
  <si>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</si>
  <si>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</si>
  <si>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</si>
  <si>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</si>
  <si>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</si>
  <si>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</si>
  <si>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</si>
  <si>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</si>
  <si>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</si>
  <si>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</si>
  <si>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</si>
  <si>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</si>
  <si>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</si>
  <si>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</si>
  <si>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</si>
  <si>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</si>
  <si>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</si>
  <si>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</si>
  <si>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</si>
  <si>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</si>
  <si>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</si>
  <si>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</si>
  <si>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</si>
  <si>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</si>
  <si>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</si>
  <si>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</si>
  <si>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</si>
  <si>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</si>
  <si>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</si>
  <si>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</si>
  <si>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</si>
  <si>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</si>
  <si>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</si>
  <si>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</si>
  <si>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</si>
  <si>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</si>
  <si>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</si>
  <si>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</si>
  <si>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</si>
  <si>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</si>
  <si>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</si>
  <si>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</si>
  <si>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</si>
  <si>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</si>
  <si>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</si>
  <si>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</si>
  <si>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</si>
  <si>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</si>
  <si>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</si>
  <si>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</si>
  <si>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</si>
  <si>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</si>
  <si>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</si>
  <si>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</si>
  <si>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</si>
  <si>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</si>
  <si>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</si>
  <si>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</si>
  <si>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</si>
  <si>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</si>
  <si>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</si>
  <si>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</si>
  <si>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</si>
  <si>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</si>
  <si>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</si>
  <si>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</si>
  <si>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</si>
  <si>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</si>
  <si>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</si>
  <si>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</si>
  <si>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</si>
  <si>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</si>
  <si>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</si>
  <si>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</si>
  <si>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</si>
  <si>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</si>
  <si>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</si>
  <si>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</si>
  <si>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</si>
  <si>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</si>
  <si>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</si>
  <si>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</si>
  <si>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</si>
  <si>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</si>
  <si>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</si>
  <si>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</si>
  <si>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</si>
  <si>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</si>
  <si>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</si>
  <si>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</si>
  <si>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</si>
  <si>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</si>
  <si>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</si>
  <si>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</si>
  <si>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</si>
  <si>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</si>
  <si>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</si>
  <si>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</si>
  <si>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</si>
  <si>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</si>
  <si>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</si>
  <si>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</si>
  <si>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</si>
  <si>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</si>
  <si>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</si>
  <si>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</si>
  <si>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</si>
  <si>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</si>
  <si>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</si>
  <si>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</si>
  <si>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</si>
  <si>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</si>
  <si>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</si>
  <si>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</si>
  <si>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</si>
  <si>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</si>
  <si>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</si>
  <si>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</si>
  <si>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</si>
  <si>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</si>
  <si>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</si>
  <si>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</si>
  <si>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</si>
  <si>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</si>
  <si>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</si>
  <si>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</si>
  <si>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</si>
  <si>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</si>
  <si>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</si>
  <si>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</si>
  <si>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</si>
  <si>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</si>
  <si>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</si>
  <si>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</si>
  <si>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</si>
  <si>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</si>
  <si>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</si>
  <si>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</si>
  <si>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</si>
  <si>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</si>
  <si>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</si>
  <si>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</si>
  <si>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</si>
  <si>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</si>
  <si>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</si>
  <si>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</si>
  <si>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</si>
  <si>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</si>
  <si>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</si>
  <si>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</si>
  <si>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</si>
  <si>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</si>
  <si>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</si>
  <si>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</si>
  <si>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</si>
  <si>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</si>
  <si>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</si>
  <si>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</si>
  <si>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</si>
  <si>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</si>
  <si>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</si>
  <si>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</si>
  <si>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</si>
  <si>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</si>
  <si>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</si>
  <si>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</si>
  <si>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</si>
  <si>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</si>
  <si>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</si>
  <si>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</si>
  <si>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</si>
  <si>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</si>
  <si>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</si>
  <si>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</si>
  <si>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</si>
  <si>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</si>
  <si>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</si>
  <si>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</si>
  <si>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</si>
  <si>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</si>
  <si>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</si>
  <si>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</si>
  <si>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</si>
  <si>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</si>
  <si>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</si>
  <si>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</si>
  <si>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</si>
  <si>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</si>
  <si>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</si>
  <si>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</si>
  <si>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</si>
  <si>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</si>
  <si>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</si>
  <si>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</si>
  <si>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</si>
  <si>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</si>
  <si>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</si>
  <si>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</si>
  <si>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</si>
  <si>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</si>
  <si>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</si>
  <si>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</si>
  <si>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</si>
  <si>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</si>
  <si>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</si>
  <si>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</si>
  <si>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</si>
  <si>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</si>
  <si>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</si>
  <si>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</si>
  <si>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</si>
  <si>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</si>
  <si>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</si>
  <si>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</si>
  <si>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</si>
  <si>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</si>
  <si>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</si>
  <si>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</si>
  <si>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</si>
  <si>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</si>
  <si>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</si>
  <si>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</si>
  <si>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</si>
  <si>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</si>
  <si>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</si>
  <si>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</si>
  <si>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</si>
  <si>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</si>
  <si>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</si>
  <si>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</si>
  <si>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</si>
  <si>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</si>
  <si>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</si>
  <si>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</si>
  <si>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</si>
  <si>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</si>
  <si>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</si>
  <si>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</si>
  <si>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</si>
  <si>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</si>
  <si>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</si>
  <si>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</si>
  <si>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</si>
  <si>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</si>
  <si>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</si>
  <si>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</si>
  <si>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</si>
  <si>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</si>
  <si>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</si>
  <si>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</si>
  <si>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</si>
  <si>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</si>
  <si>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</si>
  <si>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</si>
  <si>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</si>
  <si>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</si>
  <si>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</si>
  <si>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</si>
  <si>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</si>
  <si>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</si>
  <si>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</si>
  <si>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</si>
  <si>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</si>
  <si>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</si>
  <si>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</si>
  <si>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</si>
  <si>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</si>
  <si>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</si>
  <si>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</si>
  <si>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</si>
  <si>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</si>
  <si>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</si>
  <si>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</si>
  <si>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</si>
  <si>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</si>
  <si>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</si>
  <si>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</si>
  <si>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</si>
  <si>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</si>
  <si>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</si>
  <si>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</si>
  <si>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</si>
  <si>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</si>
  <si>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</si>
  <si>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</si>
  <si>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</si>
  <si>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</si>
  <si>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</si>
  <si>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</si>
  <si>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</si>
  <si>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</si>
  <si>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</si>
  <si>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</si>
  <si>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</si>
  <si>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</si>
  <si>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</si>
  <si>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</si>
  <si>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</si>
  <si>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</si>
  <si>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</si>
  <si>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</si>
  <si>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</si>
  <si>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</si>
  <si>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</si>
  <si>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</si>
  <si>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</si>
  <si>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</si>
  <si>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</si>
  <si>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</si>
  <si>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</si>
  <si>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</si>
  <si>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</si>
  <si>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</si>
  <si>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</si>
  <si>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</si>
  <si>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</si>
  <si>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</si>
  <si>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</si>
  <si>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</si>
  <si>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</si>
  <si>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</si>
  <si>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</si>
  <si>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</si>
  <si>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</si>
  <si>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</si>
  <si>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</si>
  <si>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</si>
  <si>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</si>
  <si>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</si>
  <si>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</si>
  <si>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</si>
  <si>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</si>
  <si>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</si>
  <si>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</si>
  <si>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</si>
  <si>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</si>
  <si>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</si>
  <si>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</si>
  <si>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</si>
  <si>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</si>
  <si>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</si>
  <si>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</si>
  <si>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</si>
  <si>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</si>
  <si>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</si>
  <si>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</si>
  <si>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</si>
  <si>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</si>
  <si>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</si>
  <si>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</si>
  <si>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</si>
  <si>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</si>
  <si>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</si>
  <si>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</si>
  <si>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</si>
  <si>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</si>
  <si>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</si>
  <si>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</si>
  <si>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</si>
  <si>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</si>
  <si>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</si>
  <si>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</si>
  <si>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</si>
  <si>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</si>
  <si>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</si>
  <si>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</si>
  <si>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</si>
  <si>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</si>
  <si>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</si>
  <si>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</si>
  <si>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</si>
  <si>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</si>
  <si>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</si>
  <si>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</si>
  <si>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</si>
  <si>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</si>
  <si>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</si>
  <si>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</si>
  <si>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</si>
  <si>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</si>
  <si>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</si>
  <si>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</si>
  <si>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</si>
  <si>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</si>
  <si>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</si>
  <si>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</si>
  <si>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</si>
  <si>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</si>
  <si>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</si>
  <si>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</si>
  <si>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</si>
  <si>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</si>
  <si>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</si>
  <si>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</si>
  <si>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</si>
  <si>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</si>
  <si>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</si>
  <si>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</si>
  <si>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</si>
  <si>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</si>
  <si>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</si>
  <si>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</si>
  <si>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</si>
  <si>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</si>
  <si>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</si>
  <si>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</si>
  <si>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</si>
  <si>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</si>
  <si>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</si>
  <si>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</si>
  <si>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</si>
  <si>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</si>
  <si>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</si>
  <si>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</si>
  <si>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</si>
  <si>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</si>
  <si>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</si>
  <si>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</si>
  <si>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</si>
  <si>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</si>
  <si>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</si>
  <si>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</si>
  <si>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</si>
  <si>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</si>
  <si>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</si>
  <si>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</si>
  <si>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</si>
  <si>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</si>
  <si>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</si>
  <si>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</si>
  <si>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</si>
  <si>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</si>
  <si>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</si>
  <si>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</si>
  <si>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</si>
  <si>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</si>
  <si>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</si>
  <si>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</si>
  <si>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</si>
  <si>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</si>
  <si>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</si>
  <si>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</si>
  <si>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</si>
  <si>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</si>
  <si>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</si>
  <si>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</si>
  <si>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</si>
  <si>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</si>
  <si>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</si>
  <si>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</si>
  <si>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</si>
  <si>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</si>
  <si>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</si>
  <si>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</si>
  <si>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</si>
  <si>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</si>
  <si>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</si>
  <si>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</si>
  <si>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</si>
  <si>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</si>
  <si>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</si>
  <si>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</si>
  <si>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</si>
  <si>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</si>
  <si>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</si>
  <si>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</si>
  <si>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</si>
  <si>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</si>
  <si>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</si>
  <si>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</si>
  <si>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</si>
  <si>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</si>
  <si>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</si>
  <si>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</si>
  <si>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</si>
  <si>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</si>
  <si>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</si>
  <si>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</si>
  <si>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</si>
  <si>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</si>
  <si>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</si>
  <si>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</si>
  <si>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</si>
  <si>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</si>
  <si>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</si>
  <si>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</si>
  <si>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</si>
  <si>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</si>
  <si>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</si>
  <si>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</si>
  <si>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</si>
  <si>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</si>
  <si>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</si>
  <si>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</si>
  <si>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</si>
  <si>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</si>
  <si>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</si>
  <si>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</si>
  <si>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</si>
  <si>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</si>
  <si>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</si>
  <si>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</si>
  <si>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</si>
  <si>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</si>
  <si>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</si>
  <si>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</si>
  <si>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</si>
  <si>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</si>
  <si>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</si>
  <si>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</si>
  <si>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</si>
  <si>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</si>
  <si>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</si>
  <si>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</si>
  <si>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</si>
  <si>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</si>
  <si>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</si>
  <si>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</si>
  <si>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</si>
  <si>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</si>
  <si>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</si>
  <si>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</si>
  <si>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</si>
  <si>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</si>
  <si>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</si>
  <si>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</si>
  <si>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</si>
  <si>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</si>
  <si>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</si>
  <si>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</si>
  <si>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</si>
  <si>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</si>
  <si>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</si>
  <si>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</si>
  <si>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</si>
  <si>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</si>
  <si>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</si>
  <si>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</si>
  <si>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</si>
  <si>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</si>
  <si>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</si>
  <si>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</si>
  <si>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</si>
  <si>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</si>
  <si>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</si>
  <si>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</si>
  <si>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</si>
  <si>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</si>
  <si>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</si>
  <si>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</si>
  <si>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</si>
  <si>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</si>
  <si>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</si>
  <si>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</si>
  <si>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</si>
  <si>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</si>
  <si>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</si>
  <si>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</si>
  <si>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</si>
  <si>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</si>
  <si>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</si>
  <si>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</si>
  <si>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</si>
  <si>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</si>
  <si>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</si>
  <si>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</si>
  <si>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</si>
  <si>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</si>
  <si>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</si>
  <si>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</si>
  <si>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</si>
  <si>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</si>
  <si>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</si>
  <si>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</si>
  <si>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</si>
  <si>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</si>
  <si>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</si>
  <si>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</si>
  <si>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</si>
  <si>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</si>
  <si>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</si>
  <si>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</si>
  <si>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</si>
  <si>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</si>
  <si>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</si>
  <si>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</si>
  <si>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</si>
  <si>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</si>
  <si>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</si>
  <si>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</si>
  <si>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</si>
  <si>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</si>
  <si>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</si>
  <si>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</si>
  <si>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</si>
  <si>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</si>
  <si>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</si>
  <si>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</si>
  <si>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</si>
  <si>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</si>
  <si>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</si>
  <si>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</si>
  <si>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</si>
  <si>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</si>
  <si>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</si>
  <si>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</si>
  <si>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</si>
  <si>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</si>
  <si>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</si>
  <si>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</si>
  <si>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</si>
  <si>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</si>
  <si>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</si>
  <si>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</si>
  <si>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</si>
  <si>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</si>
  <si>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</si>
  <si>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</si>
  <si>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</si>
  <si>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</si>
  <si>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</si>
  <si>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</si>
  <si>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</si>
  <si>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</si>
  <si>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</si>
  <si>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</si>
  <si>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</si>
  <si>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</si>
  <si>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</si>
  <si>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</si>
  <si>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</si>
  <si>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</si>
  <si>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</si>
  <si>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</si>
  <si>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</si>
  <si>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</si>
  <si>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</si>
  <si>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</si>
  <si>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</si>
  <si>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</si>
  <si>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</si>
  <si>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</si>
  <si>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</si>
  <si>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</si>
  <si>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</si>
  <si>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</si>
  <si>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</si>
  <si>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</si>
  <si>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</si>
  <si>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</si>
  <si>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</si>
  <si>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</si>
  <si>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</si>
  <si>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</si>
  <si>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</si>
  <si>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</si>
  <si>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</si>
  <si>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</si>
  <si>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</si>
  <si>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</si>
  <si>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</si>
  <si>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</si>
  <si>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</si>
  <si>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</si>
  <si>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</si>
  <si>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</si>
  <si>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</si>
  <si>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</si>
  <si>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</si>
  <si>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</si>
  <si>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</si>
  <si>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</si>
  <si>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</si>
  <si>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</si>
  <si>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</si>
  <si>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</si>
  <si>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</si>
  <si>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</si>
  <si>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</si>
  <si>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</si>
  <si>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</si>
  <si>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</si>
  <si>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</si>
  <si>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</si>
  <si>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</si>
  <si>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</si>
  <si>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</si>
  <si>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</si>
  <si>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</si>
  <si>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</si>
  <si>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</si>
  <si>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</si>
  <si>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</si>
  <si>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</si>
  <si>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</si>
  <si>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</si>
  <si>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</si>
  <si>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</si>
  <si>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</si>
  <si>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</si>
  <si>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</si>
  <si>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</si>
  <si>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</si>
  <si>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</si>
  <si>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</si>
  <si>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</si>
  <si>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</si>
  <si>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</si>
  <si>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</si>
  <si>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</si>
  <si>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</si>
  <si>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</si>
  <si>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</si>
  <si>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</si>
  <si>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</si>
  <si>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</si>
  <si>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</si>
  <si>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</si>
  <si>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</si>
  <si>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</si>
  <si>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</si>
  <si>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</si>
  <si>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</si>
  <si>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</si>
  <si>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</si>
  <si>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</si>
  <si>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</si>
  <si>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</si>
  <si>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</si>
  <si>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</si>
  <si>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</si>
  <si>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</si>
  <si>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</si>
  <si>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</si>
  <si>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</si>
  <si>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</si>
  <si>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</si>
  <si>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</si>
  <si>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</si>
  <si>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</si>
  <si>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</si>
  <si>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</si>
  <si>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</si>
  <si>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</si>
  <si>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</si>
  <si>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</si>
  <si>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</si>
  <si>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</si>
  <si>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</si>
  <si>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</si>
  <si>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</si>
  <si>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</si>
  <si>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</si>
  <si>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</si>
  <si>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</si>
  <si>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</si>
  <si>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</si>
  <si>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</si>
  <si>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</si>
  <si>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</si>
  <si>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</si>
  <si>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</si>
  <si>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</si>
  <si>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</si>
  <si>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</si>
  <si>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</si>
  <si>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</si>
  <si>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</si>
  <si>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</si>
  <si>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</si>
  <si>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</si>
  <si>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</si>
  <si>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</si>
  <si>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</si>
  <si>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</si>
  <si>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</si>
  <si>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</si>
  <si>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</si>
  <si>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</si>
  <si>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</si>
  <si>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</si>
  <si>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</si>
  <si>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</si>
  <si>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</si>
  <si>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</si>
  <si>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</si>
  <si>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</si>
  <si>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</si>
  <si>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</si>
  <si>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</si>
  <si>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</si>
  <si>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</si>
  <si>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</si>
  <si>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</si>
  <si>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</si>
  <si>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</si>
  <si>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</si>
  <si>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</si>
  <si>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</si>
  <si>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</si>
  <si>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</si>
  <si>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</si>
  <si>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</si>
  <si>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</si>
  <si>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</si>
  <si>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</si>
  <si>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</si>
  <si>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</si>
  <si>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</si>
  <si>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</si>
  <si>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</si>
  <si>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</si>
  <si>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</si>
  <si>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</si>
  <si>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</si>
  <si>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</si>
  <si>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</si>
  <si>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</si>
  <si>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</si>
  <si>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</si>
  <si>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</si>
  <si>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</si>
  <si>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</si>
  <si>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</si>
  <si>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</si>
  <si>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</si>
  <si>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</si>
  <si>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</si>
  <si>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</si>
  <si>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</si>
  <si>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</si>
  <si>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</si>
  <si>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</si>
  <si>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</si>
  <si>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</si>
  <si>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</si>
  <si>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</si>
  <si>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</si>
  <si>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</si>
  <si>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</si>
  <si>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</si>
  <si>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</si>
  <si>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</si>
  <si>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</si>
  <si>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</si>
  <si>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</si>
  <si>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</si>
  <si>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</si>
  <si>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</si>
  <si>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</si>
  <si>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</si>
  <si>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</si>
  <si>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</si>
  <si>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</si>
  <si>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</si>
  <si>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</si>
  <si>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</si>
  <si>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</si>
  <si>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</si>
  <si>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</si>
  <si>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</si>
  <si>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</si>
  <si>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</si>
  <si>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</si>
  <si>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</si>
  <si>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</si>
  <si>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</si>
  <si>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</si>
  <si>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</si>
  <si>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</si>
  <si>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</si>
  <si>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</si>
  <si>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</si>
  <si>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</si>
  <si>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</si>
  <si>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</si>
  <si>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</si>
  <si>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</si>
  <si>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</si>
  <si>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</si>
  <si>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</si>
  <si>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</si>
  <si>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</si>
  <si>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</si>
  <si>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</si>
  <si>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</si>
  <si>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</si>
  <si>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</si>
  <si>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</si>
  <si>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</si>
  <si>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</si>
  <si>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</si>
  <si>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</si>
  <si>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</si>
  <si>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</si>
  <si>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</si>
  <si>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</si>
  <si>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</si>
  <si>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</si>
  <si>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</si>
  <si>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</si>
  <si>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</si>
  <si>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</si>
  <si>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</si>
  <si>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</si>
  <si>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</si>
  <si>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</si>
  <si>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</si>
  <si>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</si>
  <si>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</si>
  <si>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</si>
  <si>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</si>
  <si>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</si>
  <si>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</si>
  <si>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</si>
  <si>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</si>
  <si>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</si>
  <si>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</si>
  <si>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</si>
  <si>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</si>
  <si>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</si>
  <si>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</si>
  <si>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</si>
  <si>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</si>
  <si>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</si>
  <si>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</si>
  <si>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</si>
  <si>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</si>
  <si>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</si>
  <si>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</si>
  <si>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</si>
  <si>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</si>
  <si>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</si>
  <si>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</si>
  <si>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</si>
  <si>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</si>
  <si>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</si>
  <si>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</si>
  <si>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</si>
  <si>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</si>
  <si>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</si>
  <si>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</si>
  <si>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</si>
  <si>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</si>
  <si>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</si>
  <si>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</si>
  <si>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</si>
  <si>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</si>
  <si>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</si>
  <si>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</si>
  <si>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</si>
  <si>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</si>
  <si>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</si>
  <si>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</si>
  <si>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</si>
  <si>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</si>
  <si>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</si>
  <si>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</si>
  <si>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</si>
  <si>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</si>
  <si>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</si>
  <si>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</si>
  <si>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</si>
  <si>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</si>
  <si>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</si>
  <si>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</si>
  <si>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</si>
  <si>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</si>
  <si>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</si>
  <si>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</si>
  <si>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</si>
  <si>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</si>
  <si>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</si>
  <si>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</si>
  <si>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</si>
  <si>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</si>
  <si>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</si>
  <si>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</si>
  <si>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</si>
  <si>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</si>
  <si>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</si>
  <si>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</si>
  <si>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</si>
  <si>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</si>
  <si>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</si>
  <si>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</si>
  <si>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</si>
  <si>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</si>
  <si>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</si>
  <si>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</si>
  <si>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</si>
  <si>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</si>
  <si>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</si>
  <si>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</si>
  <si>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</si>
  <si>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</si>
  <si>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</si>
  <si>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</si>
  <si>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</si>
  <si>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</si>
  <si>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</si>
  <si>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</si>
  <si>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</si>
  <si>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</si>
  <si>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</si>
  <si>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</si>
  <si>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</si>
  <si>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</si>
  <si>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</si>
  <si>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</si>
  <si>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</si>
  <si>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</si>
  <si>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</si>
  <si>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</si>
  <si>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</si>
  <si>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</si>
  <si>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</si>
  <si>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</si>
  <si>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</si>
  <si>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</si>
  <si>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</si>
  <si>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</si>
  <si>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</si>
  <si>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</si>
  <si>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</si>
  <si>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</si>
  <si>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</si>
  <si>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</si>
  <si>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</si>
  <si>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</si>
  <si>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</si>
  <si>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</si>
  <si>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</si>
  <si>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</si>
  <si>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</si>
  <si>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</si>
  <si>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</si>
  <si>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</si>
  <si>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</si>
  <si>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</si>
  <si>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</si>
  <si>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</si>
  <si>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</si>
  <si>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</si>
  <si>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</si>
  <si>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</si>
  <si>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</si>
  <si>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</si>
  <si>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</si>
  <si>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</si>
  <si>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</si>
  <si>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</si>
  <si>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</si>
  <si>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</si>
  <si>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</si>
  <si>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</si>
  <si>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</si>
  <si>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</si>
  <si>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</si>
  <si>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</si>
  <si>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</si>
  <si>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</si>
  <si>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</si>
  <si>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</si>
  <si>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</si>
  <si>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</si>
  <si>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</si>
  <si>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</si>
  <si>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</si>
  <si>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</si>
  <si>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</si>
  <si>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</si>
  <si>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</si>
  <si>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</si>
  <si>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</si>
  <si>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</si>
  <si>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</si>
  <si>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</si>
  <si>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</si>
  <si>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</si>
  <si>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</si>
  <si>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</si>
  <si>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</si>
  <si>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</si>
  <si>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</si>
  <si>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</si>
  <si>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</si>
  <si>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</si>
  <si>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</si>
  <si>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</si>
  <si>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</si>
  <si>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</si>
  <si>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</si>
  <si>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</si>
  <si>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</si>
  <si>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</si>
  <si>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</si>
  <si>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</si>
  <si>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</si>
  <si>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</si>
  <si>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</si>
  <si>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</si>
  <si>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</si>
  <si>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</si>
  <si>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</si>
  <si>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</si>
  <si>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</si>
  <si>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</si>
  <si>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</si>
  <si>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</si>
  <si>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</si>
  <si>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</si>
  <si>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</si>
  <si>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</si>
  <si>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</si>
  <si>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</si>
  <si>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</si>
  <si>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</si>
  <si>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</si>
  <si>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</si>
  <si>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</si>
  <si>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</si>
  <si>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</si>
  <si>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</si>
  <si>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</si>
  <si>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</si>
  <si>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</si>
  <si>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</si>
  <si>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</si>
  <si>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</si>
  <si>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</si>
  <si>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</si>
  <si>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</si>
  <si>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</si>
  <si>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</si>
  <si>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</si>
  <si>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</si>
  <si>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</si>
  <si>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</si>
  <si>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</si>
  <si>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</si>
  <si>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</si>
  <si>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</si>
  <si>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</si>
  <si>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</si>
  <si>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</si>
  <si>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</si>
  <si>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</si>
  <si>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</si>
  <si>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</si>
  <si>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</si>
  <si>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</si>
  <si>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</si>
  <si>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</si>
  <si>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</si>
  <si>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</si>
  <si>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</si>
  <si>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</si>
  <si>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</si>
  <si>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</si>
  <si>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</si>
  <si>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</si>
  <si>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</si>
  <si>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</si>
  <si>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</si>
  <si>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</si>
  <si>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</si>
  <si>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</si>
  <si>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</si>
  <si>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</si>
  <si>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</si>
  <si>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</si>
  <si>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</si>
  <si>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</si>
  <si>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</si>
  <si>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</si>
  <si>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</si>
  <si>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</si>
  <si>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</si>
  <si>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</si>
  <si>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</si>
  <si>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</si>
  <si>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</si>
  <si>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</si>
  <si>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</si>
  <si>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</si>
  <si>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</si>
  <si>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</si>
  <si>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</si>
  <si>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</si>
  <si>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</si>
  <si>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</si>
  <si>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</si>
  <si>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</si>
  <si>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</si>
  <si>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</si>
  <si>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</si>
  <si>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</si>
  <si>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</si>
  <si>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</si>
  <si>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</si>
  <si>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</si>
  <si>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</si>
  <si>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</si>
  <si>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</si>
  <si>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</si>
  <si>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</si>
  <si>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</si>
  <si>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</si>
  <si>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</si>
  <si>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</si>
  <si>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</si>
  <si>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</si>
  <si>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</si>
  <si>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</si>
  <si>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</si>
  <si>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</si>
  <si>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</si>
  <si>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</si>
  <si>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</si>
  <si>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</si>
  <si>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</si>
  <si>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</si>
  <si>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</si>
  <si>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</si>
  <si>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</si>
  <si>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</si>
  <si>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</si>
  <si>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</si>
  <si>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</si>
  <si>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</si>
  <si>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</si>
  <si>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</si>
  <si>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</si>
  <si>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</si>
  <si>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</si>
  <si>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</si>
  <si>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</si>
  <si>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</si>
  <si>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</si>
  <si>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</si>
  <si>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</si>
  <si>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</si>
  <si>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</si>
  <si>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</si>
  <si>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</si>
  <si>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</si>
  <si>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</si>
  <si>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</si>
  <si>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</si>
  <si>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</si>
  <si>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</si>
  <si>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</si>
  <si>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</si>
  <si>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</si>
  <si>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</si>
  <si>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</si>
  <si>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</si>
  <si>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</si>
  <si>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</si>
  <si>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</si>
  <si>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</si>
  <si>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</si>
  <si>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</si>
  <si>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</si>
  <si>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</si>
  <si>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</si>
  <si>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</si>
  <si>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</si>
  <si>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</si>
  <si>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</si>
  <si>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</si>
  <si>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</si>
  <si>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</si>
  <si>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</si>
  <si>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</si>
  <si>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</si>
  <si>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</si>
  <si>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</si>
  <si>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</si>
  <si>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</si>
  <si>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</si>
  <si>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</si>
  <si>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</si>
  <si>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</si>
  <si>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</si>
  <si>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</si>
  <si>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</si>
  <si>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</si>
  <si>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</si>
  <si>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</si>
  <si>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</si>
  <si>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</si>
  <si>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</si>
  <si>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</si>
  <si>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</si>
  <si>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</si>
  <si>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</si>
  <si>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</si>
  <si>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</si>
  <si>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</si>
  <si>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</si>
  <si>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</si>
  <si>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</si>
  <si>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</si>
  <si>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</si>
  <si>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</si>
  <si>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</si>
  <si>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</si>
  <si>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</si>
  <si>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</si>
  <si>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</si>
  <si>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</si>
  <si>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</si>
  <si>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</si>
  <si>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</si>
  <si>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</si>
  <si>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</si>
  <si>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</si>
  <si>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</si>
  <si>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</si>
  <si>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</si>
  <si>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</si>
  <si>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</si>
  <si>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</si>
  <si>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</si>
  <si>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</si>
  <si>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</si>
  <si>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</si>
  <si>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</si>
  <si>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</si>
  <si>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</si>
  <si>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</si>
  <si>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</si>
  <si>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</si>
  <si>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</si>
  <si>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</si>
  <si>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</si>
  <si>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</si>
  <si>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</si>
  <si>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</si>
  <si>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</si>
  <si>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</si>
  <si>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</si>
  <si>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</si>
  <si>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</si>
  <si>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</si>
  <si>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</si>
  <si>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</si>
  <si>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</si>
  <si>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</si>
  <si>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</si>
  <si>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</si>
  <si>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</si>
  <si>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</si>
  <si>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</si>
  <si>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</si>
  <si>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</si>
  <si>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</si>
  <si>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</si>
  <si>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</si>
  <si>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</si>
  <si>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</si>
  <si>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</si>
  <si>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</si>
  <si>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</si>
  <si>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</si>
  <si>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</si>
  <si>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</si>
  <si>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</si>
  <si>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</si>
  <si>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</si>
  <si>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</si>
  <si>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</si>
  <si>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</si>
  <si>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</si>
  <si>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</si>
  <si>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</si>
  <si>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</si>
  <si>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</si>
  <si>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</si>
  <si>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</si>
  <si>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</si>
  <si>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</si>
  <si>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</si>
  <si>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</si>
  <si>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</si>
  <si>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</si>
  <si>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</si>
  <si>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</si>
  <si>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</si>
  <si>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</si>
  <si>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</si>
  <si>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</si>
  <si>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</si>
  <si>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</si>
  <si>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</si>
  <si>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</si>
  <si>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</si>
  <si>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</si>
  <si>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</si>
  <si>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</si>
  <si>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</si>
  <si>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</si>
  <si>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</si>
  <si>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</si>
  <si>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</si>
  <si>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</si>
  <si>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</si>
  <si>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</si>
  <si>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</si>
  <si>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</si>
  <si>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</si>
  <si>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</si>
  <si>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</si>
  <si>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</si>
  <si>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</si>
  <si>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</si>
  <si>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</si>
  <si>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</si>
  <si>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</si>
  <si>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</si>
  <si>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</si>
  <si>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</si>
  <si>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</si>
  <si>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</si>
  <si>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</si>
  <si>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</si>
  <si>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</si>
  <si>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</si>
  <si>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</si>
  <si>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</si>
  <si>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</si>
  <si>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</si>
  <si>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</si>
  <si>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</si>
  <si>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</si>
  <si>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</si>
  <si>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</si>
  <si>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</si>
  <si>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</si>
  <si>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</si>
  <si>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</si>
  <si>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</si>
  <si>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</si>
  <si>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</si>
  <si>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</si>
  <si>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</si>
  <si>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</si>
  <si>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</si>
  <si>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</si>
  <si>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</si>
  <si>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</si>
  <si>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</si>
  <si>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</si>
  <si>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</si>
  <si>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</si>
  <si>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</si>
  <si>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</si>
  <si>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</si>
  <si>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</si>
  <si>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</si>
  <si>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</si>
  <si>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</si>
  <si>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</si>
  <si>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</si>
  <si>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</si>
  <si>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</si>
  <si>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</si>
  <si>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</si>
  <si>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</si>
  <si>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</si>
  <si>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</si>
  <si>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</si>
  <si>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</si>
  <si>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</si>
  <si>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</si>
  <si>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</si>
  <si>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</si>
  <si>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</si>
  <si>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</si>
  <si>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</si>
  <si>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</si>
  <si>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</si>
  <si>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</si>
  <si>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</si>
  <si>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</si>
  <si>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</si>
  <si>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</si>
  <si>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</si>
  <si>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</si>
  <si>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</si>
  <si>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</si>
  <si>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</si>
  <si>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</si>
  <si>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</si>
  <si>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</si>
  <si>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</si>
  <si>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</si>
  <si>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</si>
  <si>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</si>
  <si>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</si>
  <si>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</si>
  <si>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</si>
  <si>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</si>
  <si>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</si>
  <si>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</si>
  <si>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</si>
  <si>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</si>
  <si>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</si>
  <si>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</si>
  <si>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</si>
  <si>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</si>
  <si>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</si>
  <si>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</si>
  <si>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</si>
  <si>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</si>
  <si>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</si>
  <si>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</si>
  <si>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</si>
  <si>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</si>
  <si>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</si>
  <si>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</si>
  <si>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</si>
  <si>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</si>
  <si>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</si>
  <si>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</si>
  <si>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</si>
  <si>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</si>
  <si>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</si>
  <si>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</si>
  <si>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</si>
  <si>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</si>
  <si>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</si>
  <si>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</si>
  <si>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</si>
  <si>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</si>
  <si>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</si>
  <si>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</si>
  <si>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</si>
  <si>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</si>
  <si>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</si>
  <si>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</si>
  <si>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</si>
  <si>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</si>
  <si>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</si>
  <si>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</si>
  <si>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</si>
  <si>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</si>
  <si>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</si>
  <si>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</si>
  <si>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</si>
  <si>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</si>
  <si>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</si>
  <si>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</si>
  <si>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</si>
  <si>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</si>
  <si>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</si>
  <si>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</si>
  <si>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</si>
  <si>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</si>
  <si>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</si>
  <si>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</si>
  <si>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</si>
  <si>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</si>
  <si>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</si>
  <si>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</si>
  <si>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</si>
  <si>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</si>
  <si>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</si>
  <si>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</si>
  <si>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</si>
  <si>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</si>
  <si>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</si>
  <si>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</si>
  <si>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</si>
  <si>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</si>
  <si>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</si>
  <si>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</si>
  <si>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</si>
  <si>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</si>
  <si>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</si>
  <si>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</si>
  <si>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</si>
  <si>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</si>
  <si>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</si>
  <si>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</si>
  <si>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</si>
  <si>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</si>
  <si>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</si>
  <si>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</si>
  <si>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</si>
  <si>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</si>
  <si>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</si>
  <si>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</si>
  <si>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</si>
  <si>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</si>
  <si>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</si>
  <si>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</si>
  <si>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</si>
  <si>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</si>
  <si>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</si>
  <si>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</si>
  <si>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</si>
  <si>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</si>
  <si>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</si>
  <si>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</si>
  <si>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</si>
  <si>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</si>
  <si>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</si>
  <si>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</si>
  <si>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</si>
  <si>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</si>
  <si>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</si>
  <si>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</si>
  <si>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</si>
  <si>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</si>
  <si>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</si>
  <si>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</si>
  <si>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</si>
  <si>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</si>
  <si>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</si>
  <si>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</si>
  <si>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</si>
  <si>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</si>
  <si>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</si>
  <si>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</si>
  <si>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</si>
  <si>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</si>
  <si>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</si>
  <si>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</si>
  <si>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</si>
  <si>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</si>
  <si>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</si>
  <si>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</si>
  <si>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</si>
  <si>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</si>
  <si>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</si>
  <si>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</si>
  <si>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</si>
  <si>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</si>
  <si>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</si>
  <si>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</si>
  <si>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</si>
  <si>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</si>
  <si>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</si>
  <si>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</si>
  <si>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</si>
  <si>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</si>
  <si>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</si>
  <si>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</si>
  <si>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</si>
  <si>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</si>
  <si>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</si>
  <si>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</si>
  <si>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</si>
  <si>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</si>
  <si>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</si>
  <si>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</si>
  <si>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</si>
  <si>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</si>
  <si>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</si>
  <si>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</si>
  <si>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</si>
  <si>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</si>
  <si>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</si>
  <si>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</si>
  <si>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</si>
  <si>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</si>
  <si>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</si>
  <si>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</si>
  <si>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</si>
  <si>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</si>
  <si>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</si>
  <si>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</si>
  <si>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</si>
  <si>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</si>
  <si>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</si>
  <si>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</si>
  <si>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</si>
  <si>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</si>
  <si>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</si>
  <si>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</si>
  <si>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</si>
  <si>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</si>
  <si>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</si>
  <si>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</si>
  <si>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</si>
  <si>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</si>
  <si>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</si>
  <si>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</si>
  <si>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</si>
  <si>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</si>
  <si>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</si>
  <si>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</si>
  <si>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</si>
  <si>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</si>
  <si>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</si>
  <si>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</si>
  <si>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</si>
  <si>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</si>
  <si>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</si>
  <si>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</si>
  <si>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</si>
  <si>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</si>
  <si>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</si>
  <si>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</si>
  <si>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</si>
  <si>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</si>
  <si>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</si>
  <si>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</si>
  <si>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</si>
  <si>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</si>
  <si>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</si>
  <si>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</si>
  <si>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</si>
  <si>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</si>
  <si>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</si>
  <si>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</si>
  <si>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</si>
  <si>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</si>
  <si>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</si>
  <si>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</si>
  <si>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</si>
  <si>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</si>
  <si>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</si>
  <si>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</si>
  <si>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</si>
  <si>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</si>
  <si>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</si>
  <si>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</si>
  <si>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</si>
  <si>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</si>
  <si>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</si>
  <si>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</si>
  <si>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</si>
  <si>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</si>
  <si>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</si>
  <si>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</si>
  <si>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</si>
  <si>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</si>
  <si>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</si>
  <si>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</si>
  <si>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</si>
  <si>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</si>
  <si>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</si>
  <si>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</si>
  <si>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</si>
  <si>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</si>
  <si>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</si>
  <si>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</si>
  <si>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</si>
  <si>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</si>
  <si>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</si>
  <si>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</si>
  <si>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</si>
  <si>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</si>
  <si>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</si>
  <si>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</si>
  <si>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</si>
  <si>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</si>
  <si>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</si>
  <si>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</si>
  <si>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</si>
  <si>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</si>
  <si>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</si>
  <si>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</si>
  <si>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</si>
  <si>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</si>
  <si>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</si>
  <si>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</si>
  <si>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</si>
  <si>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</si>
  <si>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</si>
  <si>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</si>
  <si>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</si>
  <si>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</si>
  <si>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</si>
  <si>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</si>
  <si>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</si>
  <si>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</si>
  <si>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</si>
  <si>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</si>
  <si>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</si>
  <si>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</si>
  <si>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</si>
  <si>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</si>
  <si>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</si>
  <si>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</si>
  <si>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</si>
  <si>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</si>
  <si>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</si>
  <si>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</si>
  <si>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</si>
  <si>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</si>
  <si>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</si>
  <si>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</si>
  <si>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</si>
  <si>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</si>
  <si>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</si>
  <si>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</si>
  <si>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</si>
  <si>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</si>
  <si>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</si>
  <si>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</si>
  <si>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</si>
  <si>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</si>
  <si>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</si>
  <si>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</si>
  <si>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</si>
  <si>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</si>
  <si>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</si>
  <si>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</si>
  <si>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</si>
  <si>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</si>
  <si>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</si>
  <si>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</si>
  <si>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</si>
  <si>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</si>
  <si>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</si>
  <si>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</si>
  <si>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</si>
  <si>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</si>
  <si>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</si>
  <si>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</si>
  <si>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</si>
  <si>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</si>
  <si>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</si>
  <si>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</si>
  <si>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</si>
  <si>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</si>
  <si>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</si>
  <si>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</si>
  <si>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</si>
  <si>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</si>
  <si>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</si>
  <si>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</si>
  <si>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</si>
  <si>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</si>
  <si>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</si>
  <si>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</si>
  <si>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</si>
  <si>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</si>
  <si>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</si>
  <si>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</si>
  <si>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</si>
  <si>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</si>
  <si>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</si>
  <si>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</si>
  <si>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</si>
  <si>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</si>
  <si>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</si>
  <si>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</si>
  <si>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</si>
  <si>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</si>
  <si>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</si>
  <si>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</si>
  <si>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</si>
  <si>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</si>
  <si>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</si>
  <si>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</si>
  <si>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</si>
  <si>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</si>
  <si>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</si>
  <si>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</si>
  <si>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</si>
  <si>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</si>
  <si>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</si>
  <si>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</si>
  <si>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</si>
  <si>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</si>
  <si>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</si>
  <si>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</si>
  <si>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</si>
  <si>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</si>
  <si>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</si>
  <si>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</si>
  <si>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</si>
  <si>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</si>
  <si>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</si>
  <si>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</si>
  <si>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</si>
  <si>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</si>
  <si>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</si>
  <si>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</si>
  <si>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</si>
  <si>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</si>
  <si>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</si>
  <si>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</si>
  <si>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</si>
  <si>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</si>
  <si>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</si>
  <si>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</si>
  <si>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</si>
  <si>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</si>
  <si>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</si>
  <si>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</si>
  <si>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</si>
  <si>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</si>
  <si>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</si>
  <si>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</si>
  <si>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</si>
  <si>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</si>
  <si>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</si>
  <si>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</si>
  <si>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</si>
  <si>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</si>
  <si>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</si>
  <si>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</si>
  <si>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</si>
  <si>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</si>
  <si>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</si>
  <si>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</si>
  <si>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</si>
  <si>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</si>
  <si>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</si>
  <si>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</si>
  <si>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</si>
  <si>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</si>
  <si>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</si>
  <si>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</si>
  <si>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</si>
  <si>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</si>
  <si>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</si>
  <si>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</si>
  <si>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</si>
  <si>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</si>
  <si>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</si>
  <si>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</si>
  <si>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</si>
  <si>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</si>
  <si>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</si>
  <si>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</si>
  <si>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</si>
  <si>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</si>
  <si>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</si>
  <si>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</si>
  <si>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</si>
  <si>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</si>
  <si>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</si>
  <si>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</si>
  <si>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</si>
  <si>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</si>
  <si>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</si>
  <si>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</si>
  <si>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</si>
  <si>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</si>
  <si>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</si>
  <si>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</si>
  <si>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</si>
  <si>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</si>
  <si>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</si>
  <si>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</si>
  <si>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</si>
  <si>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</si>
  <si>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</si>
  <si>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</si>
  <si>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</si>
  <si>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</si>
  <si>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</si>
  <si>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</si>
  <si>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</si>
  <si>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</si>
  <si>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</si>
  <si>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</si>
  <si>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</si>
  <si>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</si>
  <si>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</si>
  <si>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</si>
  <si>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</si>
  <si>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</si>
  <si>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</si>
  <si>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</si>
  <si>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</si>
  <si>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</si>
  <si>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</si>
  <si>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</si>
  <si>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</si>
  <si>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</si>
  <si>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</si>
  <si>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</si>
  <si>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</si>
  <si>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</si>
  <si>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</si>
  <si>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</si>
  <si>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</si>
  <si>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</si>
  <si>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</si>
  <si>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</si>
  <si>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</si>
  <si>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</si>
  <si>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</si>
  <si>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</si>
  <si>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</si>
  <si>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</si>
  <si>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</si>
  <si>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</si>
  <si>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</si>
  <si>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</si>
  <si>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</si>
  <si>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</si>
  <si>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</si>
  <si>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</si>
  <si>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</si>
  <si>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</si>
  <si>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</si>
  <si>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</si>
  <si>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</si>
  <si>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</si>
  <si>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</si>
  <si>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</si>
  <si>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</si>
  <si>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</si>
  <si>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</si>
  <si>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</si>
  <si>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</si>
  <si>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</si>
  <si>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</si>
  <si>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</si>
  <si>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</si>
  <si>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</si>
  <si>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</si>
  <si>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</si>
  <si>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</si>
  <si>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</si>
  <si>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</si>
  <si>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</si>
  <si>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</si>
  <si>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</si>
  <si>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</si>
  <si>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</si>
  <si>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</si>
  <si>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</si>
  <si>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</si>
  <si>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</si>
  <si>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</si>
  <si>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</si>
  <si>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</si>
  <si>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</si>
  <si>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</si>
  <si>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</si>
  <si>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</si>
  <si>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</si>
  <si>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</si>
  <si>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</si>
  <si>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</si>
  <si>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</si>
  <si>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</si>
  <si>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</si>
  <si>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</si>
  <si>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</si>
  <si>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</si>
  <si>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</si>
  <si>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</si>
  <si>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</si>
  <si>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</si>
  <si>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</si>
  <si>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</si>
  <si>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</si>
  <si>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</si>
  <si>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</si>
  <si>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</si>
  <si>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</si>
  <si>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</si>
  <si>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</si>
  <si>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</si>
  <si>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</si>
  <si>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</si>
  <si>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</si>
  <si>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</si>
  <si>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</si>
  <si>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</si>
  <si>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</si>
  <si>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</si>
  <si>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</si>
  <si>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</si>
  <si>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</si>
  <si>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</si>
  <si>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</si>
  <si>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</si>
  <si>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</si>
  <si>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</si>
  <si>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</si>
  <si>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</si>
  <si>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</si>
  <si>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</si>
  <si>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</si>
  <si>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</si>
  <si>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</si>
  <si>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</si>
  <si>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</si>
  <si>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</si>
  <si>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</si>
  <si>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</si>
  <si>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</si>
  <si>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</si>
  <si>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</si>
  <si>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</si>
  <si>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</si>
  <si>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</si>
  <si>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</si>
  <si>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</si>
  <si>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</si>
  <si>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</si>
  <si>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</si>
  <si>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</si>
  <si>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</si>
  <si>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</si>
  <si>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</si>
  <si>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</si>
  <si>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</si>
  <si>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</si>
  <si>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</si>
  <si>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</si>
  <si>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</si>
  <si>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</si>
  <si>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</si>
  <si>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</si>
  <si>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</si>
  <si>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</si>
  <si>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</si>
  <si>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</si>
  <si>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</si>
  <si>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</si>
  <si>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</si>
  <si>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</si>
  <si>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</si>
  <si>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</si>
  <si>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</si>
  <si>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</si>
  <si>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</si>
  <si>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</si>
  <si>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</si>
  <si>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</si>
  <si>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</si>
  <si>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</si>
  <si>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</si>
  <si>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</si>
  <si>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</si>
  <si>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</si>
  <si>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</si>
  <si>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</si>
  <si>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</si>
  <si>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</si>
  <si>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</si>
  <si>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</si>
  <si>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</si>
  <si>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</si>
  <si>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</si>
  <si>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</si>
  <si>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</si>
  <si>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</si>
  <si>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</si>
  <si>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</si>
  <si>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</si>
  <si>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</si>
  <si>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</si>
  <si>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</si>
  <si>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</si>
  <si>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</si>
  <si>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</si>
  <si>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</si>
  <si>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</si>
  <si>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</si>
  <si>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</si>
  <si>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</si>
  <si>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</si>
  <si>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</si>
  <si>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</si>
  <si>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</si>
  <si>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</si>
  <si>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</si>
  <si>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</si>
  <si>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</si>
  <si>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</si>
  <si>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</si>
  <si>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</si>
  <si>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</si>
  <si>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</si>
  <si>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</si>
  <si>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</si>
  <si>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</si>
  <si>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</si>
  <si>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</si>
  <si>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</si>
  <si>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</si>
  <si>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</si>
  <si>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</si>
  <si>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</si>
  <si>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</si>
  <si>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</si>
  <si>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</si>
  <si>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</si>
  <si>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</si>
  <si>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</si>
  <si>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</si>
  <si>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</si>
  <si>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</si>
  <si>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</si>
  <si>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</si>
  <si>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</si>
  <si>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</si>
  <si>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</si>
  <si>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</si>
  <si>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</si>
  <si>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</si>
  <si>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</si>
  <si>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</si>
  <si>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</si>
  <si>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</si>
  <si>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</si>
  <si>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</si>
  <si>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</si>
  <si>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</si>
  <si>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</si>
  <si>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</si>
  <si>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</si>
  <si>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</si>
  <si>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</si>
  <si>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</si>
  <si>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</si>
  <si>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</si>
  <si>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</si>
  <si>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</si>
  <si>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</si>
  <si>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</si>
  <si>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</si>
  <si>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</si>
  <si>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</si>
  <si>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</si>
  <si>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</si>
  <si>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</si>
  <si>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</si>
  <si>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</si>
  <si>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</si>
  <si>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</si>
  <si>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</si>
  <si>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</si>
  <si>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</si>
  <si>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</si>
  <si>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</si>
  <si>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</si>
  <si>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</si>
  <si>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</si>
  <si>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</si>
  <si>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</si>
  <si>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</si>
  <si>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</si>
  <si>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</si>
  <si>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</si>
  <si>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</si>
  <si>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</si>
  <si>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</si>
  <si>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</si>
  <si>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</si>
  <si>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</si>
  <si>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</si>
  <si>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</si>
  <si>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</si>
  <si>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</si>
  <si>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</si>
  <si>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</si>
  <si>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</si>
  <si>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</si>
  <si>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</si>
  <si>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</si>
  <si>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</si>
  <si>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</si>
  <si>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</si>
  <si>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</si>
  <si>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</si>
  <si>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</si>
  <si>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</si>
  <si>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</si>
  <si>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</si>
  <si>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</si>
  <si>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</si>
  <si>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</si>
  <si>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</si>
  <si>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</si>
  <si>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</si>
  <si>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</si>
  <si>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</si>
  <si>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</si>
  <si>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</si>
  <si>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</si>
  <si>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</si>
  <si>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</si>
  <si>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</si>
  <si>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</si>
  <si>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</si>
  <si>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</si>
  <si>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</si>
  <si>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</si>
  <si>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</si>
  <si>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</si>
  <si>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</si>
  <si>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</si>
  <si>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</si>
  <si>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</si>
  <si>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</si>
  <si>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</si>
  <si>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</si>
  <si>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</si>
  <si>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</si>
  <si>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</si>
  <si>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</si>
  <si>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</si>
  <si>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</si>
  <si>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</si>
  <si>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</si>
  <si>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</si>
  <si>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</si>
  <si>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</si>
  <si>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</si>
  <si>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</si>
  <si>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</si>
  <si>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</si>
  <si>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</si>
  <si>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</si>
  <si>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</si>
  <si>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</si>
  <si>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</si>
  <si>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</si>
  <si>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</si>
  <si>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</si>
  <si>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</si>
  <si>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</si>
  <si>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</si>
  <si>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</si>
  <si>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</si>
  <si>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</si>
  <si>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</si>
  <si>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</si>
  <si>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</si>
  <si>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</si>
  <si>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</si>
  <si>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</si>
  <si>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</si>
  <si>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</si>
  <si>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</si>
  <si>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</si>
  <si>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</si>
  <si>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</si>
  <si>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</si>
  <si>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</si>
  <si>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</si>
  <si>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</si>
  <si>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</si>
  <si>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</si>
  <si>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</si>
  <si>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</si>
  <si>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</si>
  <si>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</si>
  <si>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</si>
  <si>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</si>
  <si>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</si>
  <si>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</si>
  <si>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</si>
  <si>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</si>
  <si>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</si>
  <si>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</si>
  <si>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</si>
  <si>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</si>
  <si>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</si>
  <si>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</si>
  <si>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</si>
  <si>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</si>
  <si>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</si>
  <si>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</si>
  <si>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</si>
  <si>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</si>
  <si>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</si>
  <si>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</si>
  <si>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</si>
  <si>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</si>
  <si>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</si>
  <si>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</si>
  <si>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</si>
  <si>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</si>
  <si>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</si>
  <si>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</si>
  <si>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</si>
  <si>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</si>
  <si>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</si>
  <si>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</si>
  <si>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</si>
  <si>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</si>
  <si>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</si>
  <si>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</si>
  <si>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</si>
  <si>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</si>
  <si>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</si>
  <si>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</si>
  <si>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</si>
  <si>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</si>
  <si>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</si>
  <si>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</si>
  <si>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</si>
  <si>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</si>
  <si>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</si>
  <si>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</si>
  <si>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</si>
  <si>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</si>
  <si>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</si>
  <si>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</si>
  <si>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</si>
  <si>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</si>
  <si>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</si>
  <si>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</si>
  <si>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</si>
  <si>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</si>
  <si>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</si>
  <si>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</si>
  <si>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</si>
  <si>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</si>
  <si>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</si>
  <si>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</si>
  <si>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</si>
  <si>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</si>
  <si>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</si>
  <si>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</si>
  <si>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</si>
  <si>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</si>
  <si>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</si>
  <si>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</si>
  <si>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</si>
  <si>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</si>
  <si>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</si>
  <si>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</si>
  <si>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</si>
  <si>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</si>
  <si>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</si>
  <si>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</si>
  <si>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</si>
  <si>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</si>
  <si>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</si>
  <si>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</si>
  <si>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</si>
  <si>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</si>
  <si>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</si>
  <si>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</si>
  <si>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</si>
  <si>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</si>
  <si>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</si>
  <si>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</si>
  <si>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</si>
  <si>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</si>
  <si>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</si>
  <si>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</si>
  <si>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</si>
  <si>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</si>
  <si>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</si>
  <si>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</si>
  <si>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</si>
  <si>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</si>
  <si>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</si>
  <si>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</si>
  <si>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</si>
  <si>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</si>
  <si>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</si>
  <si>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</si>
  <si>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</si>
  <si>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</si>
  <si>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</si>
  <si>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</si>
  <si>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</si>
  <si>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</si>
  <si>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</si>
  <si>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</si>
  <si>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</si>
  <si>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</si>
  <si>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</si>
  <si>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</si>
  <si>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</si>
  <si>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</si>
  <si>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</si>
  <si>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</si>
  <si>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</si>
  <si>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</si>
  <si>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</si>
  <si>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</si>
  <si>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</si>
  <si>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</si>
  <si>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</si>
  <si>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</si>
  <si>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</si>
  <si>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</si>
  <si>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</si>
  <si>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</si>
  <si>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</si>
  <si>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</si>
  <si>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</si>
  <si>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</si>
  <si>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</si>
  <si>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</si>
  <si>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</si>
  <si>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</si>
  <si>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</si>
  <si>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</si>
  <si>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</si>
  <si>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</si>
  <si>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</si>
  <si>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</si>
  <si>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</si>
  <si>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</si>
  <si>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</si>
  <si>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</si>
  <si>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</si>
  <si>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</si>
  <si>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</si>
  <si>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</si>
  <si>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</si>
  <si>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</si>
  <si>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</si>
  <si>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</si>
  <si>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</si>
  <si>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</si>
  <si>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</si>
  <si>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</si>
  <si>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</si>
  <si>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</si>
  <si>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</si>
  <si>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</si>
  <si>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</si>
  <si>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</si>
  <si>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</si>
  <si>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</si>
  <si>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</si>
  <si>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</si>
  <si>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</si>
  <si>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</si>
  <si>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</si>
  <si>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</si>
  <si>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</si>
  <si>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</si>
  <si>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</si>
  <si>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</si>
  <si>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</si>
  <si>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</si>
  <si>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</si>
  <si>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</si>
  <si>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</si>
  <si>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</si>
  <si>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</si>
  <si>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</si>
  <si>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</si>
  <si>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</si>
  <si>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</si>
  <si>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</si>
  <si>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</si>
  <si>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</si>
  <si>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</si>
  <si>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</si>
  <si>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</si>
  <si>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</si>
  <si>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</si>
  <si>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</si>
  <si>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</si>
  <si>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</si>
  <si>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</si>
  <si>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</si>
  <si>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</si>
  <si>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</si>
  <si>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</si>
  <si>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</si>
  <si>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</si>
  <si>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</si>
  <si>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</si>
  <si>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</si>
  <si>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</si>
  <si>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</si>
  <si>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</si>
  <si>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</si>
  <si>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</si>
  <si>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</si>
  <si>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</si>
  <si>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</si>
  <si>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</si>
  <si>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</si>
  <si>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</si>
  <si>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</si>
  <si>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</si>
  <si>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</si>
  <si>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</si>
  <si>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</si>
  <si>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</si>
  <si>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</si>
  <si>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</si>
  <si>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</si>
  <si>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</si>
  <si>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</si>
  <si>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</si>
  <si>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</si>
  <si>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</si>
  <si>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</si>
  <si>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</si>
  <si>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</si>
  <si>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</si>
  <si>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</si>
  <si>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</si>
  <si>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</si>
  <si>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</si>
  <si>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</si>
  <si>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</si>
  <si>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</si>
  <si>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</si>
  <si>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</si>
  <si>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</si>
  <si>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</si>
  <si>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</si>
  <si>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</si>
  <si>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</si>
  <si>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</si>
  <si>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</si>
  <si>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</si>
  <si>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</si>
  <si>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</si>
  <si>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</si>
  <si>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</si>
  <si>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</si>
  <si>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</si>
  <si>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</si>
  <si>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</si>
  <si>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</si>
  <si>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</si>
  <si>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</si>
  <si>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</si>
  <si>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</si>
  <si>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</si>
  <si>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</si>
  <si>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</si>
  <si>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</si>
  <si>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</si>
  <si>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</si>
  <si>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</si>
  <si>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</si>
  <si>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</si>
  <si>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</si>
  <si>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</si>
  <si>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</si>
  <si>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</si>
  <si>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</si>
  <si>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</si>
  <si>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</si>
  <si>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</si>
  <si>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</si>
  <si>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</si>
  <si>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</si>
  <si>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</si>
  <si>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</si>
  <si>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</si>
  <si>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</si>
  <si>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</si>
  <si>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</si>
  <si>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</si>
  <si>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</si>
  <si>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</si>
  <si>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</si>
  <si>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</si>
  <si>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</si>
  <si>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</si>
  <si>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</si>
  <si>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</si>
  <si>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</si>
  <si>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</si>
  <si>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</si>
  <si>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</si>
  <si>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</si>
  <si>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</si>
  <si>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</si>
  <si>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</si>
  <si>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</si>
  <si>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</si>
  <si>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</si>
  <si>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</si>
  <si>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</si>
  <si>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</si>
  <si>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</si>
  <si>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</si>
  <si>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</si>
  <si>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</si>
  <si>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</si>
  <si>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</si>
  <si>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</si>
  <si>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</si>
  <si>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</si>
  <si>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</si>
  <si>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</si>
  <si>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</si>
  <si>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</si>
  <si>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</si>
  <si>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</si>
  <si>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</si>
  <si>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</si>
  <si>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</si>
  <si>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</si>
  <si>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</si>
  <si>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</si>
  <si>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</si>
  <si>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</si>
  <si>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</si>
  <si>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</si>
  <si>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</si>
  <si>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</si>
  <si>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</si>
  <si>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</si>
  <si>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</si>
  <si>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</si>
  <si>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</si>
  <si>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</si>
  <si>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</si>
  <si>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</si>
  <si>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</si>
  <si>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</si>
  <si>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</si>
  <si>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</si>
  <si>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</si>
  <si>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</si>
  <si>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</si>
  <si>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</si>
  <si>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</si>
  <si>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</si>
  <si>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</si>
  <si>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</si>
  <si>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</si>
  <si>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</si>
  <si>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</si>
  <si>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</si>
  <si>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</si>
  <si>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</si>
  <si>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</si>
  <si>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</si>
  <si>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</si>
  <si>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</si>
  <si>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</si>
  <si>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</si>
  <si>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</si>
  <si>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</si>
  <si>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</si>
  <si>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</si>
  <si>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</si>
  <si>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</si>
  <si>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</si>
  <si>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</si>
  <si>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</si>
  <si>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</si>
  <si>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</si>
  <si>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</si>
  <si>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</si>
  <si>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</si>
  <si>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</si>
  <si>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</si>
  <si>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</si>
  <si>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</si>
  <si>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</si>
  <si>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</si>
  <si>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</si>
  <si>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</si>
  <si>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</si>
  <si>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</si>
  <si>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</si>
  <si>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</si>
  <si>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</si>
  <si>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</si>
  <si>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</si>
  <si>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</si>
  <si>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</si>
  <si>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</si>
  <si>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</si>
  <si>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</si>
  <si>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</si>
  <si>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</si>
  <si>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</si>
  <si>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</si>
  <si>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</si>
  <si>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</si>
  <si>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</si>
  <si>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</si>
  <si>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</si>
  <si>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</si>
  <si>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</si>
  <si>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</si>
  <si>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</si>
  <si>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</si>
  <si>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</si>
  <si>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</si>
  <si>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</si>
  <si>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</si>
  <si>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</si>
  <si>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</si>
  <si>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</si>
  <si>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</si>
  <si>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</si>
  <si>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</si>
  <si>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</si>
  <si>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</si>
  <si>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</si>
  <si>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</si>
  <si>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</si>
  <si>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</si>
  <si>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</si>
  <si>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</si>
  <si>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</si>
  <si>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</si>
  <si>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</si>
  <si>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</si>
  <si>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</si>
  <si>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</si>
  <si>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</si>
  <si>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</si>
  <si>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</si>
  <si>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</si>
  <si>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</si>
  <si>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</si>
  <si>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</si>
  <si>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</si>
  <si>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</si>
  <si>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</si>
  <si>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</si>
  <si>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</si>
  <si>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</si>
  <si>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</si>
  <si>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</si>
  <si>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</si>
  <si>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</si>
  <si>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</si>
  <si>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</si>
  <si>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</si>
  <si>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</si>
  <si>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</si>
  <si>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</si>
  <si>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</si>
  <si>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</si>
  <si>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</si>
  <si>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</si>
  <si>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</si>
  <si>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</si>
  <si>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</si>
  <si>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</si>
  <si>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</si>
  <si>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</si>
  <si>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</si>
  <si>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</si>
  <si>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</si>
  <si>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</si>
  <si>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</si>
  <si>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</si>
  <si>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</si>
  <si>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</si>
  <si>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</si>
  <si>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</si>
  <si>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</si>
  <si>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</si>
  <si>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</si>
  <si>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</si>
  <si>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</si>
  <si>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</si>
  <si>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</si>
  <si>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</si>
  <si>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</si>
  <si>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</si>
  <si>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</si>
  <si>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</si>
  <si>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</si>
  <si>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</si>
  <si>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</si>
  <si>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</si>
  <si>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</si>
  <si>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</si>
  <si>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</si>
  <si>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</si>
  <si>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</si>
  <si>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</si>
  <si>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</si>
  <si>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</si>
  <si>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</si>
  <si>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</si>
  <si>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</si>
  <si>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</si>
  <si>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</si>
  <si>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</si>
  <si>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</si>
  <si>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</si>
  <si>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</si>
  <si>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</si>
  <si>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</si>
  <si>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</si>
  <si>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</si>
  <si>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</si>
  <si>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</si>
  <si>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</si>
  <si>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</si>
  <si>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</si>
  <si>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</si>
  <si>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</si>
  <si>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</si>
  <si>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</si>
  <si>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</si>
  <si>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</si>
  <si>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</si>
  <si>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</si>
  <si>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</si>
  <si>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</si>
  <si>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</si>
  <si>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</si>
  <si>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</si>
  <si>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</si>
  <si>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</si>
  <si>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</si>
  <si>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</si>
  <si>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</si>
  <si>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</si>
  <si>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</si>
  <si>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</si>
  <si>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</si>
  <si>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</si>
  <si>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</si>
  <si>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</si>
  <si>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</si>
  <si>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</si>
  <si>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</si>
  <si>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</si>
  <si>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</si>
  <si>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</si>
  <si>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</si>
  <si>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</si>
  <si>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</si>
  <si>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</si>
  <si>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</si>
  <si>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</si>
  <si>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</si>
  <si>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</si>
  <si>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</si>
  <si>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</si>
  <si>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</si>
  <si>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</si>
  <si>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</si>
  <si>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</si>
  <si>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</si>
  <si>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</si>
  <si>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</si>
  <si>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</si>
  <si>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</si>
  <si>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</si>
  <si>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</si>
  <si>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</si>
  <si>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</si>
  <si>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</si>
  <si>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</si>
  <si>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</si>
  <si>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</si>
  <si>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</si>
  <si>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</si>
  <si>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</si>
  <si>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</si>
  <si>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</si>
  <si>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</si>
  <si>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</si>
  <si>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</si>
  <si>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</si>
  <si>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</si>
  <si>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</si>
  <si>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</si>
  <si>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</si>
  <si>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</si>
  <si>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</si>
  <si>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</si>
  <si>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</si>
  <si>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</si>
  <si>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</si>
  <si>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</si>
  <si>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</si>
  <si>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</si>
  <si>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</si>
  <si>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</si>
  <si>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</si>
  <si>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</si>
  <si>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</si>
  <si>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</si>
  <si>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</si>
  <si>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</si>
  <si>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</si>
  <si>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</si>
  <si>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</si>
  <si>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</si>
  <si>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</si>
  <si>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</si>
  <si>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</si>
  <si>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</si>
  <si>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</si>
  <si>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</si>
  <si>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</si>
  <si>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</si>
  <si>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</si>
  <si>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</si>
  <si>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</si>
  <si>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</si>
  <si>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</si>
  <si>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</si>
  <si>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</si>
  <si>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</si>
  <si>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</si>
  <si>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</si>
  <si>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</si>
  <si>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</si>
  <si>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</si>
  <si>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</si>
  <si>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</si>
  <si>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</si>
  <si>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</si>
  <si>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</si>
  <si>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</si>
  <si>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</si>
  <si>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</si>
  <si>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</si>
  <si>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</si>
  <si>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</si>
  <si>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</si>
  <si>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</si>
  <si>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</si>
  <si>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</si>
  <si>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</si>
  <si>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</si>
  <si>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</si>
  <si>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</si>
  <si>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</si>
  <si>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</si>
  <si>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</si>
  <si>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</si>
  <si>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</si>
  <si>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</si>
  <si>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</si>
  <si>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</si>
  <si>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</si>
  <si>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</si>
  <si>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</si>
  <si>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</si>
  <si>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</si>
  <si>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</si>
  <si>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</si>
  <si>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</si>
  <si>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</si>
  <si>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</si>
  <si>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</si>
  <si>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</si>
  <si>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</si>
  <si>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</si>
  <si>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</si>
  <si>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</si>
  <si>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</si>
  <si>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</si>
  <si>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</si>
  <si>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</si>
  <si>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</si>
  <si>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</si>
  <si>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</si>
  <si>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</si>
  <si>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</si>
  <si>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</si>
  <si>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</si>
  <si>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</si>
  <si>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</si>
  <si>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</si>
  <si>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</si>
  <si>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</si>
  <si>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</si>
  <si>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</si>
  <si>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</si>
  <si>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</si>
  <si>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</si>
  <si>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</si>
  <si>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</si>
  <si>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</si>
  <si>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</si>
  <si>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</si>
  <si>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</si>
  <si>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</si>
  <si>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</si>
  <si>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</si>
  <si>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</si>
  <si>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</si>
  <si>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</si>
  <si>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</si>
  <si>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</si>
  <si>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</si>
  <si>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</si>
  <si>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</si>
  <si>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</si>
  <si>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</si>
  <si>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</si>
  <si>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</si>
  <si>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</si>
  <si>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</si>
  <si>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</si>
  <si>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</si>
  <si>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</si>
  <si>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</si>
  <si>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</si>
  <si>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</si>
  <si>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</si>
  <si>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</si>
  <si>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</si>
  <si>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</si>
  <si>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</si>
  <si>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</si>
  <si>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</si>
  <si>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</si>
  <si>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</si>
  <si>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</si>
  <si>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</si>
  <si>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</si>
  <si>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</si>
  <si>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</si>
  <si>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</si>
  <si>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</si>
  <si>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</si>
  <si>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</si>
  <si>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</si>
  <si>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</si>
  <si>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</si>
  <si>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</si>
  <si>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</si>
  <si>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</si>
  <si>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</si>
  <si>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</si>
  <si>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</si>
  <si>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</si>
  <si>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</si>
  <si>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</si>
  <si>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</si>
  <si>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</si>
  <si>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</si>
  <si>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</si>
  <si>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</si>
  <si>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</si>
  <si>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</si>
  <si>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</si>
  <si>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</si>
  <si>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</si>
  <si>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</si>
  <si>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</si>
  <si>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</si>
  <si>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</si>
  <si>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</si>
  <si>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</si>
  <si>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</si>
  <si>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</si>
  <si>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</si>
  <si>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</si>
  <si>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</si>
  <si>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</si>
  <si>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</si>
  <si>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</si>
  <si>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</si>
  <si>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</si>
  <si>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</si>
  <si>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</si>
  <si>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</si>
  <si>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</si>
  <si>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</si>
  <si>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</si>
  <si>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</si>
  <si>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</si>
  <si>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</si>
  <si>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</si>
  <si>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</si>
  <si>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</si>
  <si>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</si>
  <si>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</si>
  <si>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</si>
  <si>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</si>
  <si>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</si>
  <si>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</si>
  <si>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</si>
  <si>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</si>
  <si>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</si>
  <si>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</si>
  <si>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</si>
  <si>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</si>
  <si>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</si>
  <si>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</si>
  <si>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</si>
  <si>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</si>
  <si>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</si>
  <si>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</si>
  <si>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</si>
  <si>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</si>
  <si>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</si>
  <si>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</si>
  <si>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</si>
  <si>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</si>
  <si>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</si>
  <si>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</si>
  <si>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</si>
  <si>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</si>
  <si>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</si>
  <si>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</si>
  <si>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</si>
  <si>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</si>
  <si>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</si>
  <si>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</si>
  <si>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</si>
  <si>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</si>
  <si>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</si>
  <si>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</si>
  <si>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</si>
  <si>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</si>
  <si>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</si>
  <si>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</si>
  <si>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</si>
  <si>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</si>
  <si>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</si>
  <si>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</si>
  <si>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</si>
  <si>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</si>
  <si>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</si>
  <si>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</si>
  <si>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</si>
  <si>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</si>
  <si>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</si>
  <si>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</si>
  <si>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</si>
  <si>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</si>
  <si>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</si>
  <si>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</si>
  <si>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</si>
  <si>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</si>
  <si>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</si>
  <si>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</si>
  <si>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</si>
  <si>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</si>
  <si>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</si>
  <si>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</si>
  <si>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</si>
  <si>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</si>
  <si>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</si>
  <si>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</si>
  <si>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</si>
  <si>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</si>
  <si>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</si>
  <si>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</si>
  <si>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</si>
  <si>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</si>
  <si>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</si>
  <si>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</si>
  <si>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</si>
  <si>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</si>
  <si>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</si>
  <si>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</si>
  <si>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</si>
  <si>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</si>
  <si>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</si>
  <si>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</si>
  <si>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</si>
  <si>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</si>
  <si>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</si>
  <si>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</si>
  <si>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</si>
  <si>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</si>
  <si>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</si>
  <si>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</si>
  <si>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</si>
  <si>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</si>
  <si>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</si>
  <si>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</si>
  <si>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</si>
  <si>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</si>
  <si>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</si>
  <si>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</si>
  <si>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</si>
  <si>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</si>
  <si>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</si>
  <si>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</si>
  <si>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</si>
  <si>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</si>
  <si>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</si>
  <si>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</si>
  <si>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</si>
  <si>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</si>
  <si>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</si>
  <si>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</si>
  <si>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</si>
  <si>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</si>
  <si>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</si>
  <si>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</si>
  <si>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</si>
  <si>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</si>
  <si>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</si>
  <si>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</si>
  <si>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</si>
  <si>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</si>
  <si>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</si>
  <si>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</si>
  <si>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</si>
  <si>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</si>
  <si>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</si>
  <si>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</si>
  <si>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</si>
  <si>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</si>
  <si>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</si>
  <si>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</si>
  <si>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</si>
  <si>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</si>
  <si>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</si>
  <si>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</si>
  <si>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</si>
  <si>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</si>
  <si>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</si>
  <si>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</si>
  <si>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</si>
  <si>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</si>
  <si>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</si>
  <si>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</si>
  <si>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</si>
  <si>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</si>
  <si>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</si>
  <si>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</si>
  <si>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</si>
  <si>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</si>
  <si>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</si>
  <si>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</si>
  <si>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</si>
  <si>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</si>
  <si>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</si>
  <si>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</si>
  <si>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</si>
  <si>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</si>
  <si>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</si>
  <si>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</si>
  <si>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</si>
  <si>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</si>
  <si>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</si>
  <si>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</si>
  <si>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</si>
  <si>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</si>
  <si>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</si>
  <si>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</si>
  <si>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</si>
  <si>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</si>
  <si>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</si>
  <si>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</si>
  <si>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</si>
  <si>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</si>
  <si>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</si>
  <si>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</si>
  <si>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</si>
  <si>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</si>
  <si>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</si>
  <si>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</si>
  <si>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</si>
  <si>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</si>
  <si>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</si>
  <si>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</si>
  <si>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</si>
  <si>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</si>
  <si>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</si>
  <si>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</si>
  <si>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</si>
  <si>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</si>
  <si>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</si>
  <si>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</si>
  <si>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</si>
  <si>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</si>
  <si>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</si>
  <si>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</si>
  <si>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</si>
  <si>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</si>
  <si>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</si>
  <si>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</si>
  <si>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</si>
  <si>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</si>
  <si>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</si>
  <si>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</si>
  <si>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</si>
  <si>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</si>
  <si>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</si>
  <si>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</si>
  <si>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</si>
  <si>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</si>
  <si>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</si>
  <si>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</si>
  <si>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</si>
  <si>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</si>
  <si>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</si>
  <si>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</si>
  <si>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</si>
  <si>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</si>
  <si>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</si>
  <si>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</si>
  <si>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</si>
  <si>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</si>
  <si>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</si>
  <si>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</si>
  <si>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</si>
  <si>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</si>
  <si>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</si>
  <si>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</si>
  <si>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</si>
  <si>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</si>
  <si>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</si>
  <si>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</si>
  <si>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</si>
  <si>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</si>
  <si>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</si>
  <si>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</si>
  <si>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</si>
  <si>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</si>
  <si>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</si>
  <si>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</si>
  <si>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</si>
  <si>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</si>
  <si>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</si>
  <si>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</si>
  <si>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</si>
  <si>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</si>
  <si>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</si>
  <si>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</si>
  <si>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</si>
  <si>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</si>
  <si>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</si>
  <si>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</si>
  <si>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</si>
  <si>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</si>
  <si>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</si>
  <si>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</si>
  <si>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</si>
  <si>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</si>
  <si>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</si>
  <si>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</si>
  <si>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</si>
  <si>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</si>
  <si>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</si>
  <si>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</si>
  <si>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</si>
  <si>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</si>
  <si>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</si>
  <si>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</si>
  <si>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</si>
  <si>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</si>
  <si>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</si>
  <si>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</si>
  <si>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</si>
  <si>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</si>
  <si>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</si>
  <si>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</si>
  <si>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</si>
  <si>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</si>
  <si>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</si>
  <si>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</si>
  <si>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</si>
  <si>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</si>
  <si>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</si>
  <si>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</si>
  <si>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</si>
  <si>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</si>
  <si>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</si>
  <si>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</si>
  <si>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</si>
  <si>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</si>
  <si>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</si>
  <si>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</si>
  <si>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</si>
  <si>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</si>
  <si>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</si>
  <si>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</si>
  <si>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</si>
  <si>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</si>
  <si>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</si>
  <si>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</si>
  <si>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</si>
  <si>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</si>
  <si>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</si>
  <si>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</si>
  <si>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</si>
  <si>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</si>
  <si>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</si>
  <si>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</si>
  <si>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</si>
  <si>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</si>
  <si>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</si>
  <si>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</si>
  <si>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</si>
  <si>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</si>
  <si>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</si>
  <si>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</si>
  <si>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</si>
  <si>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</si>
  <si>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</si>
  <si>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</si>
  <si>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</si>
  <si>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</si>
  <si>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</si>
  <si>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</si>
  <si>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</si>
  <si>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</si>
  <si>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</si>
  <si>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</si>
  <si>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</si>
  <si>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</si>
  <si>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</si>
  <si>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</si>
  <si>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</si>
  <si>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</si>
  <si>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</si>
  <si>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</si>
  <si>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</si>
  <si>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</si>
  <si>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</si>
  <si>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</si>
  <si>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</si>
  <si>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</si>
  <si>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</si>
  <si>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</si>
  <si>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</si>
  <si>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</si>
  <si>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</si>
  <si>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</si>
  <si>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</si>
  <si>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</si>
  <si>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</si>
  <si>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</si>
  <si>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</si>
  <si>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</si>
  <si>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</si>
  <si>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</si>
  <si>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</si>
  <si>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</si>
  <si>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</si>
  <si>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</si>
  <si>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</si>
  <si>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</si>
  <si>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</si>
  <si>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</si>
  <si>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</si>
  <si>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</si>
  <si>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</si>
  <si>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</si>
  <si>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</si>
  <si>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</si>
  <si>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</si>
  <si>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</si>
  <si>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</si>
  <si>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</si>
  <si>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</si>
  <si>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</si>
  <si>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</si>
  <si>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</si>
  <si>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</si>
  <si>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</si>
  <si>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</si>
  <si>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</si>
  <si>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</si>
  <si>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</si>
  <si>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</si>
  <si>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</si>
  <si>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</si>
  <si>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</si>
  <si>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</si>
  <si>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</si>
  <si>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</si>
  <si>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</si>
  <si>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</si>
  <si>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</si>
  <si>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</si>
  <si>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</si>
  <si>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</si>
  <si>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</si>
  <si>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</si>
  <si>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</si>
  <si>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</si>
  <si>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</si>
  <si>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</si>
  <si>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</si>
  <si>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</si>
  <si>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</si>
  <si>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</si>
  <si>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</si>
  <si>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</si>
  <si>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</si>
  <si>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</si>
  <si>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</si>
  <si>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</si>
  <si>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</si>
  <si>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</si>
  <si>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</si>
  <si>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</si>
  <si>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</si>
  <si>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</si>
  <si>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</si>
  <si>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</si>
  <si>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</si>
  <si>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</si>
  <si>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</si>
  <si>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</si>
  <si>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</si>
  <si>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</si>
  <si>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</si>
  <si>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</si>
  <si>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</si>
  <si>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</si>
  <si>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</si>
  <si>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</si>
  <si>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</si>
  <si>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</si>
  <si>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</si>
  <si>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</si>
  <si>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</si>
  <si>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</si>
  <si>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</si>
  <si>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</si>
  <si>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</si>
  <si>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</si>
  <si>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</si>
  <si>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</si>
  <si>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</si>
  <si>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</si>
  <si>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</si>
  <si>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</si>
  <si>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</si>
  <si>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</si>
  <si>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</si>
  <si>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</si>
  <si>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</si>
  <si>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</si>
  <si>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</si>
  <si>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</si>
  <si>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</si>
  <si>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</si>
  <si>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</si>
  <si>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</si>
  <si>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</si>
  <si>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</si>
  <si>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</si>
  <si>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</si>
  <si>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</si>
  <si>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</si>
  <si>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</si>
  <si>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</si>
  <si>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</si>
  <si>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</si>
  <si>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</si>
  <si>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</si>
  <si>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</si>
  <si>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</si>
  <si>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</si>
  <si>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</si>
  <si>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</si>
  <si>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</si>
  <si>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</si>
  <si>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</si>
  <si>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</si>
  <si>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</si>
  <si>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</si>
  <si>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</si>
  <si>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</si>
  <si>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</si>
  <si>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</si>
  <si>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</si>
  <si>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</si>
  <si>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</si>
  <si>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</si>
  <si>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</si>
  <si>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</si>
  <si>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</si>
  <si>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</si>
  <si>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</si>
  <si>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</si>
  <si>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</si>
  <si>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</si>
  <si>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</si>
  <si>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</si>
  <si>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</si>
  <si>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</si>
  <si>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</si>
  <si>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</si>
  <si>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</si>
  <si>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</si>
  <si>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</si>
  <si>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</si>
  <si>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</si>
  <si>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</si>
  <si>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</si>
  <si>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</si>
  <si>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</si>
  <si>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</si>
  <si>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</si>
  <si>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</si>
  <si>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</si>
  <si>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</si>
  <si>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</si>
  <si>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</si>
  <si>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</si>
  <si>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</si>
  <si>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</si>
  <si>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</si>
  <si>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</si>
  <si>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</si>
  <si>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</si>
  <si>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</si>
  <si>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</si>
  <si>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</si>
  <si>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</si>
  <si>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</si>
  <si>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</si>
  <si>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</si>
  <si>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</si>
  <si>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</si>
  <si>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</si>
  <si>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</si>
  <si>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</si>
  <si>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</si>
  <si>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</si>
  <si>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</si>
  <si>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</si>
  <si>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</si>
  <si>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</si>
  <si>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</si>
  <si>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</si>
  <si>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</si>
  <si>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</si>
  <si>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</si>
  <si>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</si>
  <si>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</si>
  <si>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</si>
  <si>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</si>
  <si>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</si>
  <si>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</si>
  <si>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</si>
  <si>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</si>
  <si>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</si>
  <si>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</si>
  <si>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</si>
  <si>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</si>
  <si>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</si>
  <si>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</si>
  <si>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</si>
  <si>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</si>
  <si>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</si>
  <si>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</si>
  <si>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</si>
  <si>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</si>
  <si>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</si>
  <si>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</si>
  <si>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</si>
  <si>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</si>
  <si>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</si>
  <si>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</si>
  <si>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</si>
  <si>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</si>
  <si>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</si>
  <si>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</si>
  <si>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</si>
  <si>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</si>
  <si>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</si>
  <si>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</si>
  <si>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</si>
  <si>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</si>
  <si>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</si>
  <si>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</si>
  <si>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</si>
  <si>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</si>
  <si>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</si>
  <si>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</si>
  <si>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</si>
  <si>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</si>
  <si>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</si>
  <si>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</si>
  <si>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</si>
  <si>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</si>
  <si>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</si>
  <si>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</si>
  <si>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</si>
  <si>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</si>
  <si>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</si>
  <si>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</si>
  <si>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</si>
  <si>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</si>
  <si>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</si>
  <si>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</si>
  <si>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</si>
  <si>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</si>
  <si>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</si>
  <si>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</si>
  <si>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</si>
  <si>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</si>
  <si>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</si>
  <si>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</si>
  <si>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</si>
  <si>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</si>
  <si>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</si>
  <si>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</si>
  <si>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</si>
  <si>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</si>
  <si>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</si>
  <si>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</si>
  <si>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</si>
  <si>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</si>
  <si>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</si>
  <si>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</si>
  <si>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</si>
  <si>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</si>
  <si>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</si>
  <si>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</si>
  <si>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</si>
  <si>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</si>
  <si>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</si>
  <si>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</si>
  <si>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</si>
  <si>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</si>
  <si>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</si>
  <si>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</si>
  <si>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</si>
  <si>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</si>
  <si>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</si>
  <si>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</si>
  <si>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</si>
  <si>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</si>
  <si>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</si>
  <si>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</si>
  <si>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</si>
  <si>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</si>
  <si>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</si>
  <si>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</si>
  <si>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</si>
  <si>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</si>
  <si>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</si>
  <si>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</si>
  <si>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</si>
  <si>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</si>
  <si>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</si>
  <si>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</si>
  <si>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</si>
  <si>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</si>
  <si>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</si>
  <si>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</si>
  <si>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</si>
  <si>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</si>
  <si>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</si>
  <si>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</si>
  <si>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</si>
  <si>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</si>
  <si>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</si>
  <si>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</si>
  <si>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</si>
  <si>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</si>
  <si>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</si>
  <si>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</si>
  <si>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</si>
  <si>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</si>
  <si>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</si>
  <si>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</si>
  <si>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</si>
  <si>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</si>
  <si>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</si>
  <si>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</si>
  <si>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</si>
  <si>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</si>
  <si>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</si>
  <si>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</si>
  <si>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</si>
  <si>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</si>
  <si>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</si>
  <si>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</si>
  <si>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</si>
  <si>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</si>
  <si>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</si>
  <si>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</si>
  <si>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</si>
  <si>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</si>
  <si>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</si>
  <si>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</si>
  <si>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</si>
  <si>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</si>
  <si>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</si>
  <si>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</si>
  <si>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</si>
  <si>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</si>
  <si>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</si>
  <si>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</si>
  <si>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</si>
  <si>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</si>
  <si>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</si>
  <si>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</si>
  <si>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</si>
  <si>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</si>
  <si>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</si>
  <si>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</si>
  <si>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</si>
  <si>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</si>
  <si>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</si>
  <si>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</si>
  <si>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</si>
  <si>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</si>
  <si>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</si>
  <si>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</si>
  <si>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</si>
  <si>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</si>
  <si>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</si>
  <si>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</si>
  <si>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</si>
  <si>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</si>
  <si>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</si>
  <si>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</si>
  <si>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</si>
  <si>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</si>
  <si>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</si>
  <si>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</si>
  <si>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</si>
  <si>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</si>
  <si>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</si>
  <si>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</si>
  <si>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</si>
  <si>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</si>
  <si>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</si>
  <si>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</si>
  <si>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</si>
  <si>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</si>
  <si>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</si>
  <si>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</si>
  <si>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</si>
  <si>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</si>
  <si>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</si>
  <si>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</si>
  <si>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</si>
  <si>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</si>
  <si>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</si>
  <si>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</si>
  <si>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</si>
  <si>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</si>
  <si>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</si>
  <si>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</si>
  <si>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</si>
  <si>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</si>
  <si>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</si>
  <si>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</si>
  <si>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</si>
  <si>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</si>
  <si>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</si>
  <si>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</si>
  <si>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</si>
  <si>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</si>
  <si>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</si>
  <si>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</si>
  <si>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</si>
  <si>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</si>
  <si>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</si>
  <si>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</si>
  <si>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</si>
  <si>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</si>
  <si>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</si>
  <si>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</si>
  <si>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</si>
  <si>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</si>
  <si>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</si>
  <si>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</si>
  <si>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</si>
  <si>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</si>
  <si>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</si>
  <si>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</si>
  <si>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</si>
  <si>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</si>
  <si>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</si>
  <si>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</si>
  <si>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</si>
  <si>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</si>
  <si>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</si>
  <si>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</si>
  <si>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</si>
  <si>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</si>
  <si>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</si>
  <si>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</si>
  <si>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</si>
  <si>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</si>
  <si>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</si>
  <si>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</si>
  <si>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</si>
  <si>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</si>
  <si>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</si>
  <si>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</si>
  <si>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</si>
  <si>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</si>
  <si>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</si>
  <si>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</si>
  <si>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</si>
  <si>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</si>
  <si>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</si>
  <si>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</si>
  <si>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</si>
  <si>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</si>
  <si>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</si>
  <si>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</si>
  <si>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</si>
  <si>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</si>
  <si>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</si>
  <si>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</si>
  <si>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</si>
  <si>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</si>
  <si>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</si>
  <si>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</si>
  <si>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</si>
  <si>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</si>
  <si>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</si>
  <si>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</si>
  <si>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</si>
  <si>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</si>
  <si>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</si>
  <si>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</si>
  <si>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</si>
  <si>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</si>
  <si>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</si>
  <si>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</si>
  <si>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</si>
  <si>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</si>
  <si>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</si>
  <si>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</si>
  <si>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</si>
  <si>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</si>
  <si>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</si>
  <si>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</si>
  <si>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</si>
  <si>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</si>
  <si>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</si>
  <si>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</si>
  <si>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</si>
  <si>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</si>
  <si>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</si>
  <si>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</si>
  <si>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</si>
  <si>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</si>
  <si>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</si>
  <si>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</si>
  <si>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</si>
  <si>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</si>
  <si>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</si>
  <si>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</si>
  <si>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</si>
  <si>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</si>
  <si>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</si>
  <si>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</si>
  <si>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</si>
  <si>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</si>
  <si>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</si>
  <si>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</si>
  <si>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</si>
  <si>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</si>
  <si>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</si>
  <si>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</si>
  <si>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</si>
  <si>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</si>
  <si>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</si>
  <si>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</si>
  <si>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</si>
  <si>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</si>
  <si>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</si>
  <si>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</si>
  <si>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</si>
  <si>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</si>
  <si>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</si>
  <si>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</si>
  <si>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</si>
  <si>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</si>
  <si>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</si>
  <si>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</si>
  <si>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</si>
  <si>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</si>
  <si>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</si>
  <si>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</si>
  <si>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</si>
  <si>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</si>
  <si>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</si>
  <si>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</si>
  <si>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</si>
  <si>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</si>
  <si>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</si>
  <si>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</si>
  <si>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</si>
  <si>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</si>
  <si>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</si>
  <si>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</si>
  <si>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</si>
  <si>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</si>
  <si>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</si>
  <si>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</si>
  <si>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</si>
  <si>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</si>
  <si>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</si>
  <si>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</si>
  <si>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</si>
  <si>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</si>
  <si>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</si>
  <si>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</si>
  <si>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</si>
  <si>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</si>
  <si>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</si>
  <si>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</si>
  <si>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</si>
  <si>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</si>
  <si>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</si>
  <si>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</si>
  <si>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</si>
  <si>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</si>
  <si>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</si>
  <si>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</si>
  <si>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</si>
  <si>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</si>
  <si>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</si>
  <si>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</si>
  <si>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</si>
  <si>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</si>
  <si>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</si>
  <si>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</si>
  <si>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</si>
  <si>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</si>
  <si>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</si>
  <si>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</si>
  <si>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</si>
  <si>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</si>
  <si>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</si>
  <si>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</si>
  <si>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</si>
  <si>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</si>
  <si>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</si>
  <si>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</si>
  <si>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</si>
  <si>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</si>
  <si>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</si>
  <si>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</si>
  <si>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</si>
  <si>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</si>
  <si>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</si>
  <si>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</si>
  <si>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</si>
  <si>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</si>
  <si>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</si>
  <si>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</si>
  <si>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</si>
  <si>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</si>
  <si>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</si>
  <si>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</si>
  <si>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</si>
  <si>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</si>
  <si>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</si>
  <si>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</si>
  <si>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</si>
  <si>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</si>
  <si>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</si>
  <si>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</si>
  <si>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</si>
  <si>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</si>
  <si>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</si>
  <si>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</si>
  <si>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</si>
  <si>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</si>
  <si>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</si>
  <si>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</si>
  <si>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</si>
  <si>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</si>
  <si>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</si>
  <si>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</si>
  <si>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</si>
  <si>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</si>
  <si>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</si>
  <si>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</si>
  <si>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</si>
  <si>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</si>
  <si>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</si>
  <si>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</si>
  <si>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</si>
  <si>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</si>
  <si>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</si>
  <si>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</si>
  <si>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</si>
  <si>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</si>
  <si>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</si>
  <si>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</si>
  <si>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</si>
  <si>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</si>
  <si>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</si>
  <si>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</si>
  <si>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</si>
  <si>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</si>
  <si>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</si>
  <si>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</si>
  <si>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</si>
  <si>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</si>
  <si>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</si>
  <si>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</si>
  <si>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</si>
  <si>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</si>
  <si>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</si>
  <si>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</si>
  <si>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</si>
  <si>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</si>
  <si>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</si>
  <si>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</si>
  <si>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</si>
  <si>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</si>
  <si>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</si>
  <si>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</si>
  <si>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</si>
  <si>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</si>
  <si>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</si>
  <si>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</si>
  <si>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</si>
  <si>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</si>
  <si>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</si>
  <si>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</si>
  <si>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</si>
  <si>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</si>
  <si>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</si>
  <si>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</si>
  <si>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</si>
  <si>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</si>
  <si>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</si>
  <si>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</si>
  <si>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</si>
  <si>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</si>
  <si>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</si>
  <si>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</si>
  <si>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</si>
  <si>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</si>
  <si>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</si>
  <si>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</si>
  <si>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</si>
  <si>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</si>
  <si>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</si>
  <si>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</si>
  <si>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</si>
  <si>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</si>
  <si>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</si>
  <si>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</si>
  <si>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</si>
  <si>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</si>
  <si>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</si>
  <si>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</si>
  <si>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</si>
  <si>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</si>
  <si>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</si>
  <si>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</si>
  <si>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</si>
  <si>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</si>
  <si>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</si>
  <si>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</si>
  <si>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</si>
  <si>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</si>
  <si>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</si>
  <si>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</si>
  <si>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</si>
  <si>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</si>
  <si>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</si>
  <si>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</si>
  <si>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</si>
  <si>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</si>
  <si>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</si>
  <si>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</si>
  <si>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</si>
  <si>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</si>
  <si>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</si>
  <si>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</si>
  <si>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</si>
  <si>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</si>
  <si>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</si>
  <si>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</si>
  <si>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</si>
  <si>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</si>
  <si>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</si>
  <si>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</si>
  <si>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</si>
  <si>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</si>
  <si>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</si>
  <si>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</si>
  <si>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</si>
  <si>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</si>
  <si>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</si>
  <si>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</si>
  <si>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</si>
  <si>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</si>
  <si>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</si>
  <si>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</si>
  <si>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</si>
  <si>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</si>
  <si>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</si>
  <si>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</si>
  <si>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</si>
  <si>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</si>
  <si>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</si>
  <si>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</si>
  <si>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</si>
  <si>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</si>
  <si>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</si>
  <si>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</si>
  <si>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</si>
  <si>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</si>
  <si>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</si>
  <si>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</si>
  <si>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</si>
  <si>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</si>
  <si>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</si>
  <si>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</si>
  <si>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</si>
  <si>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</si>
  <si>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</si>
  <si>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</si>
  <si>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</si>
  <si>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</si>
  <si>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</si>
  <si>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</si>
  <si>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</si>
  <si>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</si>
  <si>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</si>
  <si>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</si>
  <si>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</si>
  <si>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</si>
  <si>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</si>
  <si>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</si>
  <si>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</si>
  <si>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</si>
  <si>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</si>
  <si>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</si>
  <si>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</si>
  <si>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</si>
  <si>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</si>
  <si>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</si>
  <si>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</si>
  <si>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</si>
  <si>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</si>
  <si>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</si>
  <si>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</si>
  <si>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</si>
  <si>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</si>
  <si>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</si>
  <si>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</si>
  <si>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</si>
  <si>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</si>
  <si>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</si>
  <si>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</si>
  <si>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</si>
  <si>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</si>
  <si>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</si>
  <si>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</si>
  <si>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</si>
  <si>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</si>
  <si>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</si>
  <si>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</si>
  <si>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</si>
  <si>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</si>
  <si>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</si>
  <si>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</si>
  <si>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</si>
  <si>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</si>
  <si>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</si>
  <si>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</si>
  <si>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</si>
  <si>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</si>
  <si>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</si>
  <si>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</si>
  <si>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</si>
  <si>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</si>
  <si>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</si>
  <si>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</si>
  <si>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</si>
  <si>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</si>
  <si>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</si>
  <si>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</si>
  <si>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</si>
  <si>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</si>
  <si>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</si>
  <si>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</si>
  <si>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</si>
  <si>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</si>
  <si>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</si>
  <si>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</si>
  <si>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</si>
  <si>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</si>
  <si>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</si>
  <si>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</si>
  <si>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</si>
  <si>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</si>
  <si>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</si>
  <si>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</si>
  <si>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</si>
  <si>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</si>
  <si>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</si>
  <si>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</si>
  <si>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</si>
  <si>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</si>
  <si>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</si>
  <si>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</si>
  <si>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</si>
  <si>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</si>
  <si>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</si>
  <si>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</si>
  <si>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</si>
  <si>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</si>
  <si>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</si>
  <si>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</si>
  <si>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</si>
  <si>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</si>
  <si>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</si>
  <si>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</si>
  <si>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</si>
  <si>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</si>
  <si>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</si>
  <si>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</si>
  <si>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</si>
  <si>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</si>
  <si>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</si>
  <si>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</si>
  <si>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</si>
  <si>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</si>
  <si>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</si>
  <si>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</si>
  <si>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</si>
  <si>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</si>
  <si>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</si>
  <si>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</si>
  <si>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</si>
  <si>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</si>
  <si>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</si>
  <si>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</si>
  <si>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</si>
  <si>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</si>
  <si>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</si>
  <si>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</si>
  <si>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</si>
  <si>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</si>
  <si>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</si>
  <si>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</si>
  <si>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</si>
  <si>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</si>
  <si>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</si>
  <si>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</si>
  <si>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</si>
  <si>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</si>
  <si>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</si>
  <si>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</si>
  <si>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</si>
  <si>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</si>
  <si>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</si>
  <si>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</si>
  <si>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</si>
  <si>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</si>
  <si>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</si>
  <si>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</si>
  <si>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</si>
  <si>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</si>
  <si>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</si>
  <si>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</si>
  <si>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</si>
  <si>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</si>
  <si>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</si>
  <si>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</si>
  <si>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</si>
  <si>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</si>
  <si>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</si>
  <si>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</si>
  <si>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</si>
  <si>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</si>
  <si>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</si>
  <si>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</si>
  <si>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</si>
  <si>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</si>
  <si>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</si>
  <si>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</si>
  <si>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</si>
  <si>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</si>
  <si>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</si>
  <si>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</si>
  <si>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</si>
  <si>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</si>
  <si>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</si>
  <si>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</si>
  <si>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</si>
  <si>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</si>
  <si>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</si>
  <si>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</si>
  <si>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</si>
  <si>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</si>
  <si>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</si>
  <si>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</si>
  <si>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</si>
  <si>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</si>
  <si>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</si>
  <si>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</si>
  <si>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</si>
  <si>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</si>
  <si>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</si>
  <si>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</si>
  <si>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</si>
  <si>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</si>
  <si>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</si>
  <si>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</si>
  <si>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</si>
  <si>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</si>
  <si>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</si>
  <si>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</si>
  <si>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</si>
  <si>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</si>
  <si>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</si>
  <si>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</si>
  <si>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</si>
  <si>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</si>
  <si>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</si>
  <si>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</si>
  <si>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</si>
  <si>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</si>
  <si>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</si>
  <si>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</si>
  <si>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</si>
  <si>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</si>
  <si>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</si>
  <si>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</si>
  <si>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</si>
  <si>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</si>
  <si>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</si>
  <si>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</si>
  <si>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</si>
  <si>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</si>
  <si>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</si>
  <si>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</si>
  <si>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</si>
  <si>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</si>
  <si>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</si>
  <si>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</si>
  <si>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</si>
  <si>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</si>
  <si>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</si>
  <si>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</si>
  <si>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</si>
  <si>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</si>
  <si>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</si>
  <si>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</si>
  <si>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</si>
  <si>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</si>
  <si>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</si>
  <si>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</si>
  <si>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</si>
  <si>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</si>
  <si>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</si>
  <si>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</si>
  <si>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</si>
  <si>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</si>
  <si>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</si>
  <si>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</si>
  <si>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</si>
  <si>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</si>
  <si>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</si>
  <si>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</si>
  <si>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</si>
  <si>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</si>
  <si>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</si>
  <si>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</si>
  <si>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</si>
  <si>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</si>
  <si>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</si>
  <si>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</si>
  <si>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</si>
  <si>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</si>
  <si>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</si>
  <si>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</si>
  <si>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</si>
  <si>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</si>
  <si>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</si>
  <si>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</si>
  <si>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</si>
  <si>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</si>
  <si>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</si>
  <si>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</si>
  <si>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</si>
  <si>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</si>
  <si>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</si>
  <si>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</si>
  <si>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</si>
  <si>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</si>
  <si>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</si>
  <si>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</si>
  <si>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</si>
  <si>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</si>
  <si>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</si>
  <si>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</si>
  <si>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</si>
  <si>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</si>
  <si>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</si>
  <si>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</si>
  <si>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</si>
  <si>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</si>
  <si>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</si>
  <si>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</si>
  <si>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</si>
  <si>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</si>
  <si>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</si>
  <si>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</si>
  <si>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</si>
  <si>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</si>
  <si>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</si>
  <si>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</si>
  <si>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</si>
  <si>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</si>
  <si>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</si>
  <si>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</si>
  <si>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</si>
  <si>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</si>
  <si>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</si>
  <si>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</si>
  <si>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</si>
  <si>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</si>
  <si>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</si>
  <si>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</si>
  <si>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</si>
  <si>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</si>
  <si>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</si>
  <si>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</si>
  <si>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</si>
  <si>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</si>
  <si>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</si>
  <si>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</si>
  <si>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</si>
  <si>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</si>
  <si>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</si>
  <si>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</si>
  <si>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</si>
  <si>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</si>
  <si>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</si>
  <si>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</si>
  <si>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</si>
  <si>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</si>
  <si>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</si>
  <si>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</si>
  <si>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</si>
  <si>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</si>
  <si>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</si>
  <si>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</si>
  <si>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</si>
  <si>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</si>
  <si>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</si>
  <si>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</si>
  <si>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</si>
  <si>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</si>
  <si>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</si>
  <si>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</si>
  <si>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</si>
  <si>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</si>
  <si>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</si>
  <si>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</si>
  <si>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</si>
  <si>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</si>
  <si>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</si>
  <si>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</si>
  <si>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</si>
  <si>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</si>
  <si>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</si>
  <si>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</si>
  <si>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</si>
  <si>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</si>
  <si>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</si>
  <si>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</si>
  <si>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</si>
  <si>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</si>
  <si>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</si>
  <si>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</si>
  <si>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</si>
  <si>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</si>
  <si>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</si>
  <si>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</si>
  <si>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</si>
  <si>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</si>
  <si>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</si>
  <si>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</si>
  <si>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</si>
  <si>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</si>
  <si>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</si>
  <si>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</si>
  <si>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</si>
  <si>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</si>
  <si>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</si>
  <si>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</si>
  <si>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</si>
  <si>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</si>
  <si>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</si>
  <si>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</si>
  <si>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</si>
  <si>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</si>
  <si>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</si>
  <si>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</si>
  <si>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</si>
  <si>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</si>
  <si>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</si>
  <si>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</si>
  <si>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</si>
  <si>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</si>
  <si>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</si>
  <si>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</si>
  <si>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</si>
  <si>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</si>
  <si>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</si>
  <si>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</si>
  <si>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</si>
  <si>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</si>
  <si>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</si>
  <si>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</si>
  <si>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</si>
  <si>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</si>
  <si>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</si>
  <si>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</si>
  <si>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</si>
  <si>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</si>
  <si>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</si>
  <si>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</si>
  <si>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</si>
  <si>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</si>
  <si>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</si>
  <si>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</si>
  <si>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</si>
  <si>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</si>
  <si>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</si>
  <si>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</si>
  <si>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</si>
  <si>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</si>
  <si>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</si>
  <si>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</si>
  <si>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</si>
  <si>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</si>
  <si>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</si>
  <si>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</si>
  <si>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</si>
  <si>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</si>
  <si>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</si>
  <si>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</si>
  <si>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</si>
  <si>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</si>
  <si>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</si>
  <si>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</si>
  <si>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</si>
  <si>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</si>
  <si>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</si>
  <si>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</si>
  <si>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</si>
  <si>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</si>
  <si>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</si>
  <si>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</si>
  <si>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</si>
  <si>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</si>
  <si>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</si>
  <si>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</si>
  <si>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</si>
  <si>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</si>
  <si>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</si>
  <si>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</si>
  <si>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</si>
  <si>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</si>
  <si>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</si>
  <si>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</si>
  <si>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</si>
  <si>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</si>
  <si>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</si>
  <si>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</si>
  <si>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</si>
  <si>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</si>
  <si>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</si>
  <si>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</si>
  <si>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</si>
  <si>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</si>
  <si>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</si>
  <si>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</si>
  <si>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</si>
  <si>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</si>
  <si>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</si>
  <si>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</si>
  <si>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</si>
  <si>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</si>
  <si>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</si>
  <si>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</si>
  <si>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</si>
  <si>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</si>
  <si>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</si>
  <si>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</si>
  <si>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</si>
  <si>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</si>
  <si>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</si>
  <si>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</si>
  <si>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</si>
  <si>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</si>
  <si>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</si>
  <si>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</si>
  <si>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</si>
  <si>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</si>
  <si>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</si>
  <si>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</si>
  <si>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</si>
  <si>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</si>
  <si>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</si>
  <si>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</si>
  <si>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</si>
  <si>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</si>
  <si>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</si>
  <si>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</si>
  <si>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</si>
  <si>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</si>
  <si>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</si>
  <si>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</si>
  <si>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</si>
  <si>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</si>
  <si>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</si>
  <si>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</si>
  <si>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</si>
  <si>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</si>
  <si>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</si>
  <si>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</si>
  <si>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</si>
  <si>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</si>
  <si>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</si>
  <si>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</si>
  <si>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</si>
  <si>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</si>
  <si>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</si>
  <si>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</si>
  <si>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</si>
  <si>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</si>
  <si>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</si>
  <si>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</si>
  <si>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</si>
  <si>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</si>
  <si>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</si>
  <si>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</si>
  <si>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</si>
  <si>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</si>
  <si>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</si>
  <si>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</si>
  <si>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</si>
  <si>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</si>
  <si>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</si>
  <si>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</si>
  <si>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</si>
  <si>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</si>
  <si>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</si>
  <si>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</si>
  <si>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</si>
  <si>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</si>
  <si>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</si>
  <si>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</si>
  <si>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</si>
  <si>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</si>
  <si>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</si>
  <si>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</si>
  <si>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</si>
  <si>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</si>
  <si>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</si>
  <si>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</si>
  <si>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</si>
  <si>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</si>
  <si>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</si>
  <si>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</si>
  <si>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</si>
  <si>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</si>
  <si>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</si>
  <si>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</si>
  <si>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</si>
  <si>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</si>
  <si>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</si>
  <si>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</si>
  <si>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</si>
  <si>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</si>
  <si>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</si>
  <si>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</si>
  <si>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</si>
  <si>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</si>
  <si>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</si>
  <si>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</si>
  <si>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</si>
  <si>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</si>
  <si>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</si>
  <si>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</si>
  <si>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</si>
  <si>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</si>
  <si>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</si>
  <si>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</si>
  <si>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</si>
  <si>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</si>
  <si>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</si>
  <si>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</si>
  <si>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</si>
  <si>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</si>
  <si>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</si>
  <si>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</si>
  <si>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</si>
  <si>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</si>
  <si>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</si>
  <si>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</si>
  <si>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</si>
  <si>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</si>
  <si>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</si>
  <si>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</si>
  <si>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</si>
  <si>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</si>
  <si>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</si>
  <si>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</si>
  <si>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</si>
  <si>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</si>
  <si>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</si>
  <si>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</si>
  <si>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</si>
  <si>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</si>
  <si>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</si>
  <si>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</si>
  <si>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</si>
  <si>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</si>
  <si>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</si>
  <si>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</si>
  <si>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</si>
  <si>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</si>
  <si>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</si>
  <si>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</si>
  <si>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</si>
  <si>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</si>
  <si>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</si>
  <si>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</si>
  <si>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</si>
  <si>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</si>
  <si>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</si>
  <si>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</si>
  <si>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</si>
  <si>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</si>
  <si>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</si>
  <si>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</si>
  <si>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</si>
  <si>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</si>
  <si>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</si>
  <si>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</si>
  <si>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</si>
  <si>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</si>
  <si>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</si>
  <si>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</si>
  <si>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</si>
  <si>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</si>
  <si>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</si>
  <si>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</si>
  <si>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</si>
  <si>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</si>
  <si>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</si>
  <si>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</si>
  <si>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</si>
  <si>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</si>
  <si>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</si>
  <si>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</si>
  <si>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</si>
  <si>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</si>
  <si>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</si>
  <si>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</si>
  <si>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</si>
  <si>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</si>
  <si>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</si>
  <si>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</si>
  <si>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</si>
  <si>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</si>
  <si>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</si>
  <si>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</si>
  <si>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</si>
  <si>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</si>
  <si>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</si>
  <si>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</si>
  <si>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</si>
  <si>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</si>
  <si>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</si>
  <si>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</si>
  <si>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</si>
  <si>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</si>
  <si>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</si>
  <si>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</si>
  <si>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</si>
  <si>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</si>
  <si>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</si>
  <si>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</si>
  <si>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</si>
  <si>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</si>
  <si>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</si>
  <si>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</si>
  <si>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</si>
  <si>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</si>
  <si>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</si>
  <si>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</si>
  <si>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</si>
  <si>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</si>
  <si>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</si>
  <si>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</si>
  <si>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</si>
  <si>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</si>
  <si>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</si>
  <si>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</si>
  <si>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</si>
  <si>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</si>
  <si>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</si>
  <si>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</si>
  <si>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</si>
  <si>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</si>
  <si>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</si>
  <si>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</si>
  <si>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</si>
  <si>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</si>
  <si>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</si>
  <si>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</si>
  <si>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</si>
  <si>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</si>
  <si>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</si>
  <si>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</si>
  <si>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</si>
  <si>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</si>
  <si>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</si>
  <si>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</si>
  <si>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</si>
  <si>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</si>
  <si>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</si>
  <si>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</si>
  <si>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</si>
  <si>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</si>
  <si>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</si>
  <si>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</si>
  <si>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</si>
  <si>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</si>
  <si>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</si>
  <si>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</si>
  <si>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</si>
  <si>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</si>
  <si>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</si>
  <si>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</si>
  <si>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</si>
  <si>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</si>
  <si>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</si>
  <si>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</si>
  <si>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</si>
  <si>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</si>
  <si>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</si>
  <si>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</si>
  <si>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</si>
  <si>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</si>
  <si>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</si>
  <si>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</si>
  <si>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</si>
  <si>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</si>
  <si>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</si>
  <si>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</si>
  <si>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</si>
  <si>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</si>
  <si>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</si>
  <si>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</si>
  <si>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</si>
  <si>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</si>
  <si>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</si>
  <si>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</si>
  <si>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</si>
  <si>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</si>
  <si>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</si>
  <si>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</si>
  <si>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</si>
  <si>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</si>
  <si>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</si>
  <si>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</si>
  <si>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</si>
  <si>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</si>
  <si>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</si>
  <si>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</si>
  <si>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</si>
  <si>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</si>
  <si>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</si>
  <si>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</si>
  <si>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</si>
  <si>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</si>
  <si>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</si>
  <si>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</si>
  <si>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</si>
  <si>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</si>
  <si>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</si>
  <si>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</si>
  <si>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</si>
  <si>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</si>
  <si>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</si>
  <si>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</si>
  <si>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</si>
  <si>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</si>
  <si>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</si>
  <si>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</si>
  <si>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</si>
  <si>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</si>
  <si>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</si>
  <si>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</si>
  <si>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</si>
  <si>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</si>
  <si>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</si>
  <si>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</si>
  <si>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</si>
  <si>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</si>
  <si>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</si>
  <si>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</si>
  <si>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</si>
  <si>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</si>
  <si>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</si>
  <si>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</si>
  <si>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</si>
  <si>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</si>
  <si>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</si>
  <si>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</si>
  <si>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</si>
  <si>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</si>
  <si>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</si>
  <si>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</si>
  <si>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</si>
  <si>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</si>
  <si>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</si>
  <si>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</si>
  <si>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</si>
  <si>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</si>
  <si>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</si>
  <si>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</si>
  <si>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</si>
  <si>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</si>
  <si>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</si>
  <si>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</si>
  <si>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</si>
  <si>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</si>
  <si>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</si>
  <si>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</si>
  <si>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</si>
  <si>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</si>
  <si>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</si>
  <si>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</si>
  <si>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</si>
  <si>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</si>
  <si>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</si>
  <si>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</si>
  <si>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</si>
  <si>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</si>
  <si>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</si>
  <si>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</si>
  <si>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</si>
  <si>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</si>
  <si>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</si>
  <si>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</si>
  <si>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</si>
  <si>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</si>
  <si>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</si>
  <si>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</si>
  <si>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</si>
  <si>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</si>
  <si>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</si>
  <si>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</si>
  <si>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</si>
  <si>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</si>
  <si>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</si>
  <si>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</si>
  <si>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</si>
  <si>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</si>
  <si>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</si>
  <si>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</si>
  <si>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</si>
  <si>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</si>
  <si>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</si>
  <si>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</si>
  <si>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</si>
  <si>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</si>
  <si>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</si>
  <si>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</si>
  <si>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</si>
  <si>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</si>
  <si>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</si>
  <si>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</si>
  <si>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</si>
  <si>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</si>
  <si>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</si>
  <si>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</si>
  <si>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</si>
  <si>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</si>
  <si>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</si>
  <si>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</si>
  <si>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</si>
  <si>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</si>
  <si>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</si>
  <si>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</si>
  <si>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</si>
  <si>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</si>
  <si>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</si>
  <si>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</si>
  <si>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</si>
  <si>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</si>
  <si>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</si>
  <si>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</si>
  <si>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</si>
  <si>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</si>
  <si>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</si>
  <si>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</si>
  <si>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</si>
  <si>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</si>
  <si>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</si>
  <si>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</si>
  <si>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</si>
  <si>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</si>
  <si>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</si>
  <si>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</si>
  <si>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</si>
  <si>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</si>
  <si>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</si>
  <si>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</si>
  <si>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</si>
  <si>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</si>
  <si>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</si>
  <si>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</si>
  <si>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</si>
  <si>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</si>
  <si>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</si>
  <si>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</si>
  <si>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</si>
  <si>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</si>
  <si>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</si>
  <si>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</si>
  <si>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</si>
  <si>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</si>
  <si>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</si>
  <si>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</si>
  <si>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</si>
  <si>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</si>
  <si>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</si>
  <si>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</si>
  <si>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</si>
  <si>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</si>
  <si>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</si>
  <si>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</si>
  <si>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</si>
  <si>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</si>
  <si>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</si>
  <si>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</si>
  <si>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</si>
  <si>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</si>
  <si>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</si>
  <si>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</si>
  <si>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</si>
  <si>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</si>
  <si>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</si>
  <si>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</si>
  <si>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</si>
  <si>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</si>
  <si>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</si>
  <si>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</si>
  <si>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</si>
  <si>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</si>
  <si>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</si>
  <si>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</si>
  <si>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</si>
  <si>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</si>
  <si>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</si>
  <si>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</si>
  <si>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</si>
  <si>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</si>
  <si>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</si>
  <si>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</si>
  <si>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</si>
  <si>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</si>
  <si>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</si>
  <si>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</si>
  <si>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</si>
  <si>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</si>
  <si>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</si>
  <si>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</si>
  <si>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</si>
  <si>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</si>
  <si>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</si>
  <si>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</si>
  <si>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</si>
  <si>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</si>
  <si>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</si>
  <si>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</si>
  <si>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</si>
  <si>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</si>
  <si>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</si>
  <si>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</si>
  <si>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</si>
  <si>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</si>
  <si>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</si>
  <si>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</si>
  <si>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</si>
  <si>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</si>
  <si>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</si>
  <si>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</si>
  <si>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</si>
  <si>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</si>
  <si>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</si>
  <si>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</si>
  <si>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</si>
  <si>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</si>
  <si>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</si>
  <si>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</si>
  <si>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</si>
  <si>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</si>
  <si>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</si>
  <si>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</si>
  <si>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</si>
  <si>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</si>
  <si>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</si>
  <si>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</si>
  <si>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</si>
  <si>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</si>
  <si>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</si>
  <si>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</si>
  <si>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</si>
  <si>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</si>
  <si>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</si>
  <si>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</si>
  <si>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</si>
  <si>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</si>
  <si>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</si>
  <si>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</si>
  <si>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</si>
  <si>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</si>
  <si>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</si>
  <si>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</si>
  <si>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</si>
  <si>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</si>
  <si>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</si>
  <si>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</si>
  <si>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</si>
  <si>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</si>
  <si>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</si>
  <si>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</si>
  <si>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</si>
  <si>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</si>
  <si>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</si>
  <si>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</si>
  <si>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</si>
  <si>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</si>
  <si>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</si>
  <si>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</si>
  <si>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</si>
  <si>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</si>
  <si>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</si>
  <si>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</si>
  <si>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</si>
  <si>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</si>
  <si>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</si>
  <si>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</si>
  <si>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</si>
  <si>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</si>
  <si>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</si>
  <si>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</si>
  <si>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</si>
  <si>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</si>
  <si>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</si>
  <si>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</si>
  <si>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</si>
  <si>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</si>
  <si>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</si>
  <si>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</si>
  <si>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</si>
  <si>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</si>
  <si>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</si>
  <si>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</si>
  <si>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</si>
  <si>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</si>
  <si>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</si>
  <si>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</si>
  <si>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</si>
  <si>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</si>
  <si>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</si>
  <si>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</si>
  <si>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</si>
  <si>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</si>
  <si>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</si>
  <si>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</si>
  <si>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</si>
  <si>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</si>
  <si>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</si>
  <si>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</si>
  <si>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</si>
  <si>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</si>
  <si>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</si>
  <si>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</si>
  <si>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</si>
  <si>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</si>
  <si>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</si>
  <si>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</si>
  <si>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</si>
  <si>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</si>
  <si>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</si>
  <si>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</si>
  <si>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</si>
  <si>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</si>
  <si>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</si>
  <si>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</si>
  <si>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</si>
  <si>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</si>
  <si>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</si>
  <si>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</si>
  <si>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</si>
  <si>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</si>
  <si>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</si>
  <si>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</si>
  <si>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</si>
  <si>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</si>
  <si>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</si>
  <si>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</si>
  <si>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</si>
  <si>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</si>
  <si>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</si>
  <si>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</si>
  <si>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</si>
  <si>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</si>
  <si>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</si>
  <si>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</si>
  <si>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</si>
  <si>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</si>
  <si>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</si>
  <si>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</si>
  <si>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</si>
  <si>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</si>
  <si>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</si>
  <si>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</si>
  <si>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</si>
  <si>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</si>
  <si>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</si>
  <si>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</si>
  <si>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</si>
  <si>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</si>
  <si>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</si>
  <si>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</si>
  <si>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</si>
  <si>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</si>
  <si>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</si>
  <si>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</si>
  <si>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</si>
  <si>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</si>
  <si>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</si>
  <si>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</si>
  <si>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</si>
  <si>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</si>
  <si>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</si>
  <si>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</si>
  <si>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</si>
  <si>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</si>
  <si>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</si>
  <si>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</si>
  <si>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</si>
  <si>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</si>
  <si>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</si>
  <si>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</si>
  <si>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</si>
  <si>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</si>
  <si>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</si>
  <si>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</si>
  <si>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</si>
  <si>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</si>
  <si>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</si>
  <si>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</si>
  <si>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</si>
  <si>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</si>
  <si>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</si>
  <si>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</si>
  <si>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</si>
  <si>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</si>
  <si>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</si>
  <si>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</si>
  <si>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</si>
  <si>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</si>
  <si>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</si>
  <si>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</si>
  <si>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</si>
  <si>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</si>
  <si>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</si>
  <si>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</si>
  <si>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</si>
  <si>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</si>
  <si>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</si>
  <si>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</si>
  <si>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</si>
  <si>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</si>
  <si>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</si>
  <si>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</si>
  <si>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</si>
  <si>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</si>
  <si>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</si>
  <si>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</si>
  <si>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</si>
  <si>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</si>
  <si>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</si>
  <si>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</si>
  <si>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</si>
  <si>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</si>
  <si>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</si>
  <si>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</si>
  <si>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</si>
  <si>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</si>
  <si>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</si>
  <si>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</si>
  <si>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</si>
  <si>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</si>
  <si>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</si>
  <si>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</si>
  <si>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</si>
  <si>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</si>
  <si>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</si>
  <si>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</si>
  <si>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</si>
  <si>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</si>
  <si>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</si>
  <si>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</si>
  <si>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</si>
  <si>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</si>
  <si>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</si>
  <si>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</si>
  <si>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</si>
  <si>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</si>
  <si>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</si>
  <si>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</si>
  <si>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</si>
  <si>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</si>
  <si>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</si>
  <si>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</si>
  <si>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</si>
  <si>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</si>
  <si>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</si>
  <si>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</si>
  <si>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</si>
  <si>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</si>
  <si>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</si>
  <si>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</si>
  <si>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</si>
  <si>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</si>
  <si>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</si>
  <si>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</si>
  <si>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</si>
  <si>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</si>
  <si>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</si>
  <si>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</si>
  <si>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</si>
  <si>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</si>
  <si>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</si>
  <si>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</si>
  <si>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</si>
  <si>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</si>
  <si>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</si>
  <si>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</si>
  <si>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</si>
  <si>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</si>
  <si>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</si>
  <si>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</si>
  <si>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</si>
  <si>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</si>
  <si>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</si>
  <si>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</si>
  <si>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</si>
  <si>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</si>
  <si>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</si>
  <si>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</si>
  <si>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</si>
  <si>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</si>
  <si>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</si>
  <si>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</si>
  <si>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</si>
  <si>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</si>
  <si>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</si>
  <si>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</si>
  <si>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</si>
  <si>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</si>
  <si>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</si>
  <si>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</si>
  <si>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</si>
  <si>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</si>
  <si>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</si>
  <si>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</si>
  <si>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</si>
  <si>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</si>
  <si>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</si>
  <si>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</si>
  <si>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</si>
  <si>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</si>
  <si>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</si>
  <si>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</si>
  <si>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</si>
  <si>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</si>
  <si>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</si>
  <si>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</si>
  <si>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</si>
  <si>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</si>
  <si>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</si>
  <si>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</si>
  <si>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</si>
  <si>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</si>
  <si>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</si>
  <si>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</si>
  <si>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</si>
  <si>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</si>
  <si>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</si>
  <si>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</si>
  <si>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</si>
  <si>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</si>
  <si>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</si>
  <si>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</si>
  <si>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</si>
  <si>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</si>
  <si>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</si>
  <si>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</si>
  <si>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</si>
  <si>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</si>
  <si>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</si>
  <si>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</si>
  <si>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</si>
  <si>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</si>
  <si>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</si>
  <si>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</si>
  <si>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</si>
  <si>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</si>
  <si>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</si>
  <si>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</si>
  <si>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</si>
  <si>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</si>
  <si>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</si>
  <si>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</si>
  <si>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</si>
  <si>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</si>
  <si>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</si>
  <si>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</si>
  <si>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</si>
  <si>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</si>
  <si>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</si>
  <si>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</si>
  <si>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</si>
  <si>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</si>
  <si>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</si>
  <si>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</si>
  <si>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</si>
  <si>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</si>
  <si>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</si>
  <si>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</si>
  <si>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</si>
  <si>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</si>
  <si>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</si>
  <si>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</si>
  <si>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</si>
  <si>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</si>
  <si>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</si>
  <si>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</si>
  <si>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</si>
  <si>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</si>
  <si>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</si>
  <si>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</si>
  <si>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</si>
  <si>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</si>
  <si>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</si>
  <si>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</si>
  <si>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</si>
  <si>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</si>
  <si>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</si>
  <si>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</si>
  <si>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</si>
  <si>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</si>
  <si>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</si>
  <si>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</si>
  <si>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</si>
  <si>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</si>
  <si>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</si>
  <si>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</si>
  <si>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</si>
  <si>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</si>
  <si>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</si>
  <si>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</si>
  <si>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</si>
  <si>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</si>
  <si>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</si>
  <si>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</si>
  <si>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</si>
  <si>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</si>
  <si>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</si>
  <si>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</si>
  <si>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</si>
  <si>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</si>
  <si>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</si>
  <si>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</si>
  <si>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</si>
  <si>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</si>
  <si>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</si>
  <si>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</si>
  <si>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</si>
  <si>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</si>
  <si>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</si>
  <si>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</si>
  <si>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</si>
  <si>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</si>
  <si>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</si>
  <si>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</si>
  <si>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</si>
  <si>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</si>
  <si>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</si>
  <si>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</si>
  <si>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</si>
  <si>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</si>
  <si>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</si>
  <si>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</si>
  <si>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</si>
  <si>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</si>
  <si>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</si>
  <si>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</si>
  <si>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</si>
  <si>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</si>
  <si>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</si>
  <si>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</si>
  <si>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</si>
  <si>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</si>
  <si>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</si>
  <si>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</si>
  <si>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</si>
  <si>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</si>
  <si>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</si>
  <si>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</si>
  <si>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</si>
  <si>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</si>
  <si>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</si>
  <si>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</si>
  <si>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</si>
  <si>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</si>
  <si>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</si>
  <si>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</si>
  <si>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</si>
  <si>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</si>
  <si>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</si>
  <si>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</si>
  <si>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</si>
  <si>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</si>
  <si>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</si>
  <si>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</si>
  <si>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</si>
  <si>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</si>
  <si>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</si>
  <si>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</si>
  <si>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</si>
  <si>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</si>
  <si>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</si>
  <si>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</si>
  <si>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</si>
  <si>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</si>
  <si>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</si>
  <si>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</si>
  <si>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</si>
  <si>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</si>
  <si>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</si>
  <si>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</si>
  <si>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</si>
  <si>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</si>
  <si>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</si>
  <si>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</si>
  <si>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</si>
  <si>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</si>
  <si>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</si>
  <si>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</si>
  <si>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</si>
  <si>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</si>
  <si>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</si>
  <si>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</si>
  <si>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</si>
  <si>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</si>
  <si>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</si>
  <si>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</si>
  <si>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</si>
  <si>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</si>
  <si>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</si>
  <si>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</si>
  <si>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</si>
  <si>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</si>
  <si>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</si>
  <si>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</si>
  <si>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</si>
  <si>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</si>
  <si>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</si>
  <si>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</si>
  <si>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</si>
  <si>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</si>
  <si>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</si>
  <si>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</si>
  <si>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</si>
  <si>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</si>
  <si>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</si>
  <si>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</si>
  <si>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</si>
  <si>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</si>
  <si>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</si>
  <si>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</si>
  <si>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</si>
  <si>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</si>
  <si>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</si>
  <si>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</si>
  <si>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</si>
  <si>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</si>
  <si>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</si>
  <si>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</si>
  <si>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</si>
  <si>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</si>
  <si>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</si>
  <si>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</si>
  <si>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</si>
  <si>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</si>
  <si>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</si>
  <si>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</si>
  <si>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</si>
  <si>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</si>
  <si>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</si>
  <si>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</si>
  <si>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</si>
  <si>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</si>
  <si>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</si>
  <si>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</si>
  <si>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</si>
  <si>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</si>
  <si>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</si>
  <si>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</si>
  <si>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</si>
  <si>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</si>
  <si>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</si>
  <si>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</si>
  <si>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</si>
  <si>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</si>
  <si>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</si>
  <si>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</si>
  <si>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</si>
  <si>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</si>
  <si>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</si>
  <si>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</si>
  <si>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</si>
  <si>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</si>
  <si>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</si>
  <si>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</si>
  <si>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</si>
  <si>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</si>
  <si>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</si>
  <si>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</si>
  <si>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</si>
  <si>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</si>
  <si>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</si>
  <si>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</si>
  <si>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</si>
  <si>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</si>
  <si>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</si>
  <si>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</si>
  <si>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</si>
  <si>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</si>
  <si>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</si>
  <si>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</si>
  <si>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</si>
  <si>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</si>
  <si>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</si>
  <si>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</si>
  <si>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</si>
  <si>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</si>
  <si>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</si>
  <si>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</si>
  <si>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</si>
  <si>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</si>
  <si>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</si>
  <si>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</si>
  <si>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</si>
  <si>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</si>
  <si>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</si>
  <si>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</si>
  <si>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</si>
  <si>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</si>
  <si>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</si>
  <si>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</si>
  <si>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</si>
  <si>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</si>
  <si>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</si>
  <si>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</si>
  <si>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</si>
  <si>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</si>
  <si>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</si>
  <si>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</si>
  <si>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</si>
  <si>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</si>
  <si>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</si>
  <si>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</si>
  <si>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</si>
  <si>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</si>
  <si>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</si>
  <si>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</si>
  <si>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</si>
  <si>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</si>
  <si>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</si>
  <si>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</si>
  <si>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</si>
  <si>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</si>
  <si>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</si>
  <si>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</si>
  <si>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</si>
  <si>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</si>
  <si>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</si>
  <si>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</si>
  <si>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</si>
  <si>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</si>
  <si>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</si>
  <si>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</si>
  <si>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</si>
  <si>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</si>
  <si>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</si>
  <si>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</si>
  <si>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</si>
  <si>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</si>
  <si>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</si>
  <si>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</si>
  <si>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</si>
  <si>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</si>
  <si>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</si>
  <si>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</si>
  <si>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</si>
  <si>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</si>
  <si>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</si>
  <si>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</si>
  <si>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</si>
  <si>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</si>
  <si>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</si>
  <si>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</si>
  <si>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</si>
  <si>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</si>
  <si>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</si>
  <si>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</si>
  <si>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</si>
  <si>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</si>
  <si>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</si>
  <si>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</si>
  <si>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</si>
  <si>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</si>
  <si>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</si>
  <si>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</si>
  <si>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</si>
  <si>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</si>
  <si>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</si>
  <si>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</si>
  <si>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</si>
  <si>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</si>
  <si>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</si>
  <si>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</si>
  <si>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</si>
  <si>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</si>
  <si>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</si>
  <si>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</si>
  <si>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</si>
  <si>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</si>
  <si>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</si>
  <si>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</si>
  <si>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</si>
  <si>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</si>
  <si>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</si>
  <si>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</si>
  <si>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</si>
  <si>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</si>
  <si>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</si>
  <si>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</si>
  <si>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</si>
  <si>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</si>
  <si>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</si>
  <si>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</si>
  <si>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</si>
  <si>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</si>
  <si>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</si>
  <si>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</si>
  <si>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</si>
  <si>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</si>
  <si>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</si>
  <si>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</si>
  <si>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</si>
  <si>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</si>
  <si>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</si>
  <si>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</si>
  <si>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</si>
  <si>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</si>
  <si>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</si>
  <si>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</si>
  <si>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</si>
  <si>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</si>
  <si>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</si>
  <si>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</si>
  <si>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</si>
  <si>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</si>
  <si>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</si>
  <si>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</si>
  <si>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</si>
  <si>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</si>
  <si>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</si>
  <si>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</si>
  <si>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</si>
  <si>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</si>
  <si>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</si>
  <si>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</si>
  <si>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</si>
  <si>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</si>
  <si>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</si>
  <si>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</si>
  <si>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</si>
  <si>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</si>
  <si>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</si>
  <si>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</si>
  <si>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</si>
  <si>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</si>
  <si>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</si>
  <si>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</si>
  <si>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</si>
  <si>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</si>
  <si>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</si>
  <si>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</si>
  <si>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</si>
  <si>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</si>
  <si>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</si>
  <si>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</si>
  <si>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</si>
  <si>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</si>
  <si>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</si>
  <si>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</si>
  <si>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</si>
  <si>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</si>
  <si>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</si>
  <si>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</si>
  <si>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</si>
  <si>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</si>
  <si>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</si>
  <si>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</si>
  <si>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</si>
  <si>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</si>
  <si>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</si>
  <si>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</si>
  <si>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</si>
  <si>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</si>
  <si>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</si>
  <si>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</si>
  <si>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</si>
  <si>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</si>
  <si>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</si>
  <si>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</si>
  <si>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</si>
  <si>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</si>
  <si>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</si>
  <si>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</si>
  <si>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</si>
  <si>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</si>
  <si>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</si>
  <si>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</si>
  <si>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</si>
  <si>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</si>
  <si>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</si>
  <si>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</si>
  <si>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</si>
  <si>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</si>
  <si>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</si>
  <si>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</si>
  <si>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</si>
  <si>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</si>
  <si>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</si>
  <si>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</si>
  <si>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</si>
  <si>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</si>
  <si>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</si>
  <si>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</si>
  <si>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</si>
  <si>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</si>
  <si>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</si>
  <si>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</si>
  <si>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</si>
  <si>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</si>
  <si>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</si>
  <si>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</si>
  <si>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</si>
  <si>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</si>
  <si>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</si>
  <si>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</si>
  <si>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</si>
  <si>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</si>
  <si>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</si>
  <si>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</si>
  <si>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</si>
  <si>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</si>
  <si>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</si>
  <si>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</si>
  <si>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</si>
  <si>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</si>
  <si>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</si>
  <si>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</si>
  <si>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</si>
  <si>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</si>
  <si>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</si>
  <si>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</si>
  <si>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</si>
  <si>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</si>
  <si>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</si>
  <si>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</si>
  <si>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</si>
  <si>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</si>
  <si>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</si>
  <si>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</si>
  <si>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</si>
  <si>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</si>
  <si>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</si>
  <si>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</si>
  <si>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</si>
  <si>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</si>
  <si>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</si>
  <si>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</si>
  <si>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</si>
  <si>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</si>
  <si>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</si>
  <si>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</si>
  <si>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</si>
  <si>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</si>
  <si>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</si>
  <si>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</si>
  <si>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</si>
  <si>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</si>
  <si>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</si>
  <si>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</si>
  <si>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</si>
  <si>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</si>
  <si>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</si>
  <si>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</si>
  <si>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</si>
  <si>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</si>
  <si>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</si>
  <si>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</si>
  <si>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</si>
  <si>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</si>
  <si>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</si>
  <si>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</si>
  <si>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</si>
  <si>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</si>
  <si>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</si>
  <si>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</si>
  <si>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</si>
  <si>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</si>
  <si>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</si>
  <si>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</si>
  <si>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</si>
  <si>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</si>
  <si>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</si>
  <si>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</si>
  <si>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</si>
  <si>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</si>
  <si>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</si>
  <si>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</si>
  <si>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</si>
  <si>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</si>
  <si>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</si>
  <si>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</si>
  <si>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</si>
  <si>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</si>
  <si>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</si>
  <si>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</si>
  <si>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</si>
  <si>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</si>
  <si>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</si>
  <si>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</si>
  <si>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</si>
  <si>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</si>
  <si>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</si>
  <si>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</si>
  <si>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</si>
  <si>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</si>
  <si>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</si>
  <si>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</si>
  <si>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</si>
  <si>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</si>
  <si>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</si>
  <si>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</si>
  <si>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</si>
  <si>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</si>
  <si>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</si>
  <si>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</si>
  <si>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</si>
  <si>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</si>
  <si>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</si>
  <si>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</si>
  <si>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</si>
  <si>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</si>
  <si>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</si>
  <si>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</si>
  <si>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</si>
  <si>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</si>
  <si>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</si>
  <si>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</si>
  <si>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</si>
  <si>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</si>
  <si>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</si>
  <si>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</si>
  <si>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</si>
  <si>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</si>
  <si>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</si>
  <si>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</si>
  <si>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</si>
  <si>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</si>
  <si>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</si>
  <si>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</si>
  <si>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</si>
  <si>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</si>
  <si>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</si>
  <si>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</si>
  <si>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</si>
  <si>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</si>
  <si>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</si>
  <si>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</si>
  <si>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</si>
  <si>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</si>
  <si>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</si>
  <si>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</si>
  <si>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</si>
  <si>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</si>
  <si>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</si>
  <si>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</si>
  <si>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</si>
  <si>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</si>
  <si>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</si>
  <si>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</si>
  <si>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</si>
  <si>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</si>
  <si>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</si>
  <si>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</si>
  <si>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</si>
  <si>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</si>
  <si>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</si>
  <si>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</si>
  <si>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</si>
  <si>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</si>
  <si>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</si>
  <si>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</si>
  <si>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</si>
  <si>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</si>
  <si>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</si>
  <si>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</si>
  <si>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</si>
  <si>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</si>
  <si>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</si>
  <si>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</si>
  <si>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</si>
  <si>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</si>
  <si>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</si>
  <si>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</si>
  <si>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</si>
  <si>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</si>
  <si>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</si>
  <si>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</si>
  <si>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</si>
  <si>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</si>
  <si>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</si>
  <si>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</si>
  <si>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</si>
  <si>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</si>
  <si>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</si>
  <si>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</si>
  <si>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</si>
  <si>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</si>
  <si>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</si>
  <si>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</si>
  <si>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</si>
  <si>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</si>
  <si>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</si>
  <si>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</si>
  <si>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</si>
  <si>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</si>
  <si>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</si>
  <si>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</si>
  <si>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</si>
  <si>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</si>
  <si>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</si>
  <si>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</si>
  <si>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</si>
  <si>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</si>
  <si>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</si>
  <si>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</si>
  <si>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</si>
  <si>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</si>
  <si>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</si>
  <si>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</si>
  <si>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</si>
  <si>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</si>
  <si>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</si>
  <si>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</si>
  <si>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</si>
  <si>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</si>
  <si>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</si>
  <si>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</si>
  <si>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</si>
  <si>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</si>
  <si>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</si>
  <si>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</si>
  <si>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</si>
  <si>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</si>
  <si>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</si>
  <si>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</si>
  <si>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</si>
  <si>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</si>
  <si>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</si>
  <si>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</si>
  <si>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</si>
  <si>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</si>
  <si>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</si>
  <si>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</si>
  <si>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</si>
  <si>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</si>
  <si>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</si>
  <si>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</si>
  <si>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</si>
  <si>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</si>
  <si>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</si>
  <si>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</si>
  <si>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</si>
  <si>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</si>
  <si>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</si>
  <si>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</si>
  <si>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</si>
  <si>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</si>
  <si>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</si>
  <si>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</si>
  <si>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</si>
  <si>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</si>
  <si>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</si>
  <si>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</si>
  <si>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</si>
  <si>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</si>
  <si>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</si>
  <si>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</si>
  <si>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</si>
  <si>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</si>
  <si>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</si>
  <si>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</si>
  <si>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</si>
  <si>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</si>
  <si>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</si>
  <si>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</si>
  <si>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</si>
  <si>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</si>
  <si>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</si>
  <si>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</si>
  <si>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</si>
  <si>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</si>
  <si>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</si>
  <si>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</si>
  <si>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</si>
  <si>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</si>
  <si>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</si>
  <si>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</si>
  <si>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</si>
  <si>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</si>
  <si>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</si>
  <si>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</si>
  <si>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</si>
  <si>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</si>
  <si>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</si>
  <si>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</si>
  <si>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</si>
  <si>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</si>
  <si>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</si>
  <si>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</si>
  <si>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</si>
  <si>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</si>
  <si>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</si>
  <si>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</si>
  <si>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</si>
  <si>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</si>
  <si>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</si>
  <si>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</si>
  <si>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</si>
  <si>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</si>
  <si>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</si>
  <si>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</si>
  <si>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</si>
  <si>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</si>
  <si>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</si>
  <si>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</si>
  <si>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</si>
  <si>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</si>
  <si>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</si>
  <si>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</si>
  <si>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</si>
  <si>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</si>
  <si>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</si>
  <si>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</si>
  <si>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</si>
  <si>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</si>
  <si>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</si>
  <si>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</si>
  <si>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</si>
  <si>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</si>
  <si>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</si>
  <si>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</si>
  <si>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</si>
  <si>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</si>
  <si>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</si>
  <si>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</si>
  <si>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</si>
  <si>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</si>
  <si>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</si>
  <si>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</si>
  <si>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</si>
  <si>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</si>
  <si>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</si>
  <si>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</si>
  <si>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</si>
  <si>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</si>
  <si>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</si>
  <si>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</si>
  <si>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</si>
  <si>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</si>
  <si>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</si>
  <si>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</si>
  <si>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</si>
  <si>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</si>
  <si>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</si>
  <si>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</si>
  <si>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</si>
  <si>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</si>
  <si>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</si>
  <si>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</si>
  <si>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</si>
  <si>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</si>
  <si>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</si>
  <si>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</si>
  <si>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</si>
  <si>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</si>
  <si>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</si>
  <si>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</si>
  <si>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</si>
  <si>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</si>
  <si>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</si>
  <si>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</si>
  <si>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</si>
  <si>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</si>
  <si>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</si>
  <si>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</si>
  <si>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</si>
  <si>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</si>
  <si>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</si>
  <si>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</si>
  <si>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</si>
  <si>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</si>
  <si>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</si>
  <si>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</si>
  <si>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</si>
  <si>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</si>
  <si>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</si>
  <si>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</si>
  <si>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</si>
  <si>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</si>
  <si>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</si>
  <si>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</si>
  <si>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</si>
  <si>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</si>
  <si>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</si>
  <si>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</si>
  <si>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</si>
  <si>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</si>
  <si>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</si>
  <si>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</si>
  <si>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</si>
  <si>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</si>
  <si>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</si>
  <si>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</si>
  <si>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</si>
  <si>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</si>
  <si>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</si>
  <si>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</si>
  <si>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</si>
  <si>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</si>
  <si>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</si>
  <si>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</si>
  <si>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</si>
  <si>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</si>
  <si>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</si>
  <si>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</si>
  <si>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</si>
  <si>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</si>
  <si>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</si>
  <si>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</si>
  <si>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</si>
  <si>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</si>
  <si>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</si>
  <si>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</si>
  <si>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</si>
  <si>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</si>
  <si>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</si>
  <si>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</si>
  <si>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</si>
  <si>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</si>
  <si>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</si>
  <si>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</si>
  <si>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</si>
  <si>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</si>
  <si>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</si>
  <si>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</si>
  <si>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</si>
  <si>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</si>
  <si>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</si>
  <si>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</si>
  <si>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</si>
  <si>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</si>
  <si>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</si>
  <si>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</si>
  <si>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</si>
  <si>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</si>
  <si>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</si>
  <si>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</si>
  <si>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</si>
  <si>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</si>
  <si>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</si>
  <si>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</si>
  <si>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</si>
  <si>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</si>
  <si>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</si>
  <si>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</si>
  <si>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</si>
  <si>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</si>
  <si>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</si>
  <si>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</si>
  <si>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</si>
  <si>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</si>
  <si>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</si>
  <si>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</si>
  <si>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</si>
  <si>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</si>
  <si>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</si>
  <si>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</si>
  <si>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</si>
  <si>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</si>
  <si>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</si>
  <si>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</si>
  <si>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</si>
  <si>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</si>
  <si>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</si>
  <si>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</si>
  <si>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</si>
  <si>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</si>
  <si>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</si>
  <si>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</si>
  <si>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</si>
  <si>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</si>
  <si>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</si>
  <si>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</si>
  <si>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</si>
  <si>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</si>
  <si>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</si>
  <si>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</si>
  <si>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</si>
  <si>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</si>
  <si>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</si>
  <si>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</si>
  <si>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</si>
  <si>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</si>
  <si>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</si>
  <si>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</si>
  <si>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</si>
  <si>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</si>
  <si>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</si>
  <si>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</si>
  <si>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</si>
  <si>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</si>
  <si>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</si>
  <si>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</si>
  <si>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</si>
  <si>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</si>
  <si>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</si>
  <si>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</si>
  <si>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</si>
  <si>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</si>
  <si>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</si>
  <si>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</si>
  <si>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</si>
  <si>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</si>
  <si>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</si>
  <si>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</si>
  <si>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</si>
  <si>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</si>
  <si>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</si>
  <si>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</si>
  <si>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</si>
  <si>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</si>
  <si>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</si>
  <si>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</si>
  <si>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</si>
  <si>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</si>
  <si>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</si>
  <si>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</si>
  <si>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</si>
  <si>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</si>
  <si>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</si>
  <si>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</si>
  <si>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</si>
  <si>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</si>
  <si>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</si>
  <si>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</si>
  <si>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</si>
  <si>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</si>
  <si>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</si>
  <si>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</si>
  <si>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</si>
  <si>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</si>
  <si>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</si>
  <si>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</si>
  <si>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</si>
  <si>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</si>
  <si>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</si>
  <si>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</si>
  <si>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</si>
  <si>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</si>
  <si>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</si>
  <si>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</si>
  <si>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</si>
  <si>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</si>
  <si>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</si>
  <si>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</si>
  <si>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</si>
  <si>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</si>
  <si>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</si>
  <si>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</si>
  <si>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</si>
  <si>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</si>
  <si>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</si>
  <si>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</si>
  <si>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</si>
  <si>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</si>
  <si>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</si>
  <si>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</si>
  <si>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</si>
  <si>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</si>
  <si>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</si>
  <si>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</si>
  <si>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</si>
  <si>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</si>
  <si>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</si>
  <si>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</si>
  <si>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</si>
  <si>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</si>
  <si>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</si>
  <si>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</si>
  <si>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</si>
  <si>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</si>
  <si>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</si>
  <si>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</si>
  <si>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</si>
  <si>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</si>
  <si>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</si>
  <si>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</si>
  <si>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</si>
  <si>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</si>
  <si>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</si>
  <si>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</si>
  <si>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</si>
  <si>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</si>
  <si>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</si>
  <si>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</si>
  <si>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</si>
  <si>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</si>
  <si>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</si>
  <si>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</si>
  <si>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</si>
  <si>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</si>
  <si>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</si>
  <si>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</si>
  <si>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</si>
  <si>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</si>
  <si>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</si>
  <si>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</si>
  <si>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</si>
  <si>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</si>
  <si>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</si>
  <si>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</si>
  <si>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</si>
  <si>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</si>
  <si>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</si>
  <si>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</si>
  <si>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</si>
  <si>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</si>
  <si>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</si>
  <si>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</si>
  <si>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</si>
  <si>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</si>
  <si>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</si>
  <si>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</si>
  <si>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</si>
  <si>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</si>
  <si>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</si>
  <si>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</si>
  <si>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</si>
  <si>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</si>
  <si>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</si>
  <si>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</si>
  <si>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</si>
  <si>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</si>
  <si>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</si>
  <si>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</si>
  <si>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</si>
  <si>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</si>
  <si>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</si>
  <si>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</si>
  <si>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</si>
  <si>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</si>
  <si>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</si>
  <si>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</si>
  <si>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</si>
  <si>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</si>
  <si>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</si>
  <si>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</si>
  <si>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</si>
  <si>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</si>
  <si>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</si>
  <si>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</si>
  <si>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</si>
  <si>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</si>
  <si>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</si>
  <si>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</si>
  <si>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</si>
  <si>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</si>
  <si>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</si>
  <si>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</si>
  <si>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</si>
  <si>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</si>
  <si>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</si>
  <si>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</si>
  <si>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</si>
  <si>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</si>
  <si>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</si>
  <si>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</si>
  <si>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</si>
  <si>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</si>
  <si>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</si>
  <si>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</si>
  <si>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</si>
  <si>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</si>
  <si>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</si>
  <si>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</si>
  <si>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</si>
  <si>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</si>
  <si>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</si>
  <si>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</si>
  <si>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</si>
  <si>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</si>
  <si>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</si>
  <si>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</si>
  <si>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</si>
  <si>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</si>
  <si>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</si>
  <si>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</si>
  <si>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</si>
  <si>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</si>
  <si>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</si>
  <si>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</si>
  <si>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</si>
  <si>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</si>
  <si>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</si>
  <si>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</si>
  <si>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</si>
  <si>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</si>
  <si>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</si>
  <si>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</si>
  <si>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</si>
  <si>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</si>
  <si>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</si>
  <si>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</si>
  <si>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</si>
  <si>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</si>
  <si>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</si>
  <si>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</si>
  <si>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</si>
  <si>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</si>
  <si>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</si>
  <si>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</si>
  <si>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</si>
  <si>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</si>
  <si>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</si>
  <si>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</si>
  <si>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</si>
  <si>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</si>
  <si>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</si>
  <si>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</si>
  <si>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</si>
  <si>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</si>
  <si>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</si>
  <si>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</si>
  <si>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</si>
  <si>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</si>
  <si>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</si>
  <si>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</si>
  <si>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</si>
  <si>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</si>
  <si>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</si>
  <si>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</si>
  <si>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</si>
  <si>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</si>
  <si>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</si>
  <si>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</si>
  <si>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</si>
  <si>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</si>
  <si>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</si>
  <si>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</si>
  <si>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</si>
  <si>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</si>
  <si>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</si>
  <si>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</si>
  <si>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</si>
  <si>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</si>
  <si>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</si>
  <si>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</si>
  <si>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</si>
  <si>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</si>
  <si>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</si>
  <si>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</si>
  <si>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</si>
  <si>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</si>
  <si>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</si>
  <si>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</si>
  <si>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</si>
  <si>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</si>
  <si>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</si>
  <si>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</si>
  <si>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</si>
  <si>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</si>
  <si>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</si>
  <si>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</si>
  <si>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</si>
  <si>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</si>
  <si>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</si>
  <si>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</si>
  <si>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</si>
  <si>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</si>
  <si>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</si>
  <si>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</si>
  <si>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</si>
  <si>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</si>
  <si>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</si>
  <si>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</si>
  <si>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</si>
  <si>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</si>
  <si>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</si>
  <si>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</si>
  <si>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</si>
  <si>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</si>
  <si>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</si>
  <si>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</si>
  <si>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</si>
  <si>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</si>
  <si>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</si>
  <si>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</si>
  <si>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</si>
  <si>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</si>
  <si>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</si>
  <si>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</si>
  <si>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</si>
  <si>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</si>
  <si>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</si>
  <si>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</si>
  <si>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</si>
  <si>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</si>
  <si>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</si>
  <si>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</si>
  <si>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</si>
  <si>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</si>
  <si>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</si>
  <si>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</si>
  <si>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</si>
  <si>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</si>
  <si>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</si>
  <si>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</si>
  <si>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</si>
  <si>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</si>
  <si>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</si>
  <si>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</si>
  <si>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</si>
  <si>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</si>
  <si>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</si>
  <si>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</si>
  <si>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</si>
  <si>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</si>
  <si>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</si>
  <si>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</si>
  <si>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</si>
  <si>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</si>
  <si>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</si>
  <si>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</si>
  <si>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</si>
  <si>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</si>
  <si>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</si>
  <si>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</si>
  <si>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</si>
  <si>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</si>
  <si>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</si>
  <si>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</si>
  <si>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</si>
  <si>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</si>
  <si>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</si>
  <si>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</si>
  <si>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</si>
  <si>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</si>
  <si>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</si>
  <si>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</si>
  <si>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</si>
  <si>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</si>
  <si>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</si>
  <si>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</si>
  <si>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</si>
  <si>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</si>
  <si>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</si>
  <si>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</si>
  <si>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</si>
  <si>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</si>
  <si>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</si>
  <si>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</si>
  <si>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</si>
  <si>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</si>
  <si>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</si>
  <si>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</si>
  <si>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</si>
  <si>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</si>
  <si>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</si>
  <si>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</si>
  <si>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</si>
  <si>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</si>
  <si>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</si>
  <si>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</si>
  <si>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</si>
  <si>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</si>
  <si>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</si>
  <si>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</si>
  <si>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</si>
  <si>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</si>
  <si>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</si>
  <si>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</si>
  <si>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</si>
  <si>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</si>
  <si>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</si>
  <si>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</si>
  <si>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</si>
  <si>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</si>
  <si>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</si>
  <si>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</si>
  <si>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</si>
  <si>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</si>
  <si>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</si>
  <si>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</si>
  <si>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</si>
  <si>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</si>
  <si>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</si>
  <si>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</si>
  <si>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</si>
  <si>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</si>
  <si>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</si>
  <si>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</si>
  <si>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</si>
  <si>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</si>
  <si>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</si>
  <si>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</si>
  <si>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</si>
  <si>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</si>
  <si>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</si>
  <si>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</si>
  <si>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</si>
  <si>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</si>
  <si>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</si>
  <si>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</si>
  <si>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</si>
  <si>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</si>
  <si>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</si>
  <si>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</si>
  <si>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</si>
  <si>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</si>
  <si>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</si>
  <si>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</si>
  <si>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</si>
  <si>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</si>
  <si>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</si>
  <si>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</si>
  <si>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</si>
  <si>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</si>
  <si>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</si>
  <si>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</si>
  <si>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</si>
  <si>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</si>
  <si>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</si>
  <si>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</si>
  <si>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</si>
  <si>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</si>
  <si>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</si>
  <si>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</si>
  <si>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</si>
  <si>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</si>
  <si>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</si>
  <si>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</si>
  <si>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</si>
  <si>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</si>
  <si>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</si>
  <si>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</si>
  <si>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</si>
  <si>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</si>
  <si>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</si>
  <si>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</si>
  <si>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</si>
  <si>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</si>
  <si>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</si>
  <si>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</si>
  <si>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</si>
  <si>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</si>
  <si>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</si>
  <si>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</si>
  <si>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</si>
  <si>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</si>
  <si>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</si>
  <si>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</si>
  <si>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</si>
  <si>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</si>
  <si>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</si>
  <si>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</si>
  <si>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</si>
  <si>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</si>
  <si>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</si>
  <si>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</si>
  <si>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</si>
  <si>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</si>
  <si>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</si>
  <si>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</si>
  <si>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</si>
  <si>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</si>
  <si>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</si>
  <si>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</si>
  <si>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</si>
  <si>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</si>
  <si>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</si>
  <si>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</si>
  <si>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</si>
  <si>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</si>
  <si>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</si>
  <si>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</si>
  <si>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</si>
  <si>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</si>
  <si>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</si>
  <si>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</si>
  <si>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</si>
  <si>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</si>
  <si>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</si>
  <si>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</si>
  <si>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</si>
  <si>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</si>
  <si>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</si>
  <si>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</si>
  <si>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</si>
  <si>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</si>
  <si>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</si>
  <si>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</si>
  <si>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</si>
  <si>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</si>
  <si>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</si>
  <si>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</si>
  <si>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</si>
  <si>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</si>
  <si>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</si>
  <si>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</si>
  <si>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</si>
  <si>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</si>
  <si>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</si>
  <si>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</si>
  <si>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</si>
  <si>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</si>
  <si>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</si>
  <si>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</si>
  <si>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</si>
  <si>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</si>
  <si>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</si>
  <si>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</si>
  <si>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</si>
  <si>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</si>
  <si>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</si>
  <si>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</si>
  <si>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</si>
  <si>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</si>
  <si>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</si>
  <si>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</si>
  <si>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</si>
  <si>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</si>
  <si>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</si>
  <si>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</si>
  <si>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</si>
  <si>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</si>
  <si>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</si>
  <si>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</si>
  <si>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</si>
  <si>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</si>
  <si>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</si>
  <si>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</si>
  <si>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</si>
  <si>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</si>
  <si>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</si>
  <si>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</si>
  <si>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</si>
  <si>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</si>
  <si>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</si>
  <si>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</si>
  <si>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</si>
  <si>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</si>
  <si>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</si>
  <si>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</si>
  <si>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</si>
  <si>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</si>
  <si>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</si>
  <si>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</si>
  <si>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</si>
  <si>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</si>
  <si>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</si>
  <si>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</si>
  <si>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</si>
  <si>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</si>
  <si>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</si>
  <si>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</si>
  <si>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</si>
  <si>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</si>
  <si>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</si>
  <si>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</si>
  <si>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</si>
  <si>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</si>
  <si>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</si>
  <si>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</si>
  <si>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</si>
  <si>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</si>
  <si>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</si>
  <si>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</si>
  <si>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</si>
  <si>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</si>
  <si>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</si>
  <si>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</si>
  <si>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</si>
  <si>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</si>
  <si>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</si>
  <si>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</si>
  <si>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</si>
  <si>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</si>
  <si>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</si>
  <si>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</si>
  <si>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</si>
  <si>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</si>
  <si>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</si>
  <si>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</si>
  <si>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</si>
  <si>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</si>
  <si>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</si>
  <si>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</si>
  <si>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</si>
  <si>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</si>
  <si>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</si>
  <si>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</si>
  <si>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</si>
  <si>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</si>
  <si>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</si>
  <si>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</si>
  <si>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</si>
  <si>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</si>
  <si>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</si>
  <si>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</si>
  <si>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</si>
  <si>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</si>
  <si>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</si>
  <si>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</si>
  <si>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</si>
  <si>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</si>
  <si>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</si>
  <si>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</si>
  <si>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</si>
  <si>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</si>
  <si>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</si>
  <si>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</si>
  <si>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</si>
  <si>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</si>
  <si>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</si>
  <si>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</si>
  <si>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</si>
  <si>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</si>
  <si>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</si>
  <si>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</si>
  <si>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</si>
  <si>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</si>
  <si>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</si>
  <si>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</si>
  <si>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</si>
  <si>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</si>
  <si>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</si>
  <si>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</si>
  <si>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</si>
  <si>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</si>
  <si>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</si>
  <si>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</si>
  <si>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</si>
  <si>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</si>
  <si>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</si>
  <si>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</si>
  <si>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</si>
  <si>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</si>
  <si>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</si>
  <si>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</si>
  <si>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</si>
  <si>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</si>
  <si>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</si>
  <si>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</si>
  <si>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</si>
  <si>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</si>
  <si>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</si>
  <si>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</si>
  <si>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</si>
  <si>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</si>
  <si>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</si>
  <si>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</si>
  <si>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</si>
  <si>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</si>
  <si>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</si>
  <si>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</si>
  <si>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</si>
  <si>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</si>
  <si>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</si>
  <si>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</si>
  <si>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</si>
  <si>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</si>
  <si>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</si>
  <si>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</si>
  <si>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</si>
  <si>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</si>
  <si>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</si>
  <si>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</si>
  <si>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</si>
  <si>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</si>
  <si>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</si>
  <si>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</si>
  <si>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</si>
  <si>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</si>
  <si>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</si>
  <si>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</si>
  <si>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</si>
  <si>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</si>
  <si>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</si>
  <si>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</si>
  <si>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</si>
  <si>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</si>
  <si>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</si>
  <si>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</si>
  <si>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</si>
  <si>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</si>
  <si>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</si>
  <si>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</si>
  <si>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</si>
  <si>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</si>
  <si>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</si>
  <si>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</si>
  <si>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</si>
  <si>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</si>
  <si>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</si>
  <si>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</si>
  <si>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</si>
  <si>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</si>
  <si>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</si>
  <si>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</si>
  <si>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</si>
  <si>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</si>
  <si>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</si>
  <si>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</si>
  <si>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</si>
  <si>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</si>
  <si>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</si>
  <si>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</si>
  <si>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</si>
  <si>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</si>
  <si>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</si>
  <si>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</si>
  <si>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</si>
  <si>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</si>
  <si>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</si>
  <si>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</si>
  <si>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</si>
  <si>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</si>
  <si>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</si>
  <si>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</si>
  <si>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</si>
  <si>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</si>
  <si>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</si>
  <si>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</si>
  <si>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</si>
  <si>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</si>
  <si>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</si>
  <si>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</si>
  <si>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</si>
  <si>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</si>
  <si>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</si>
  <si>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</si>
  <si>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</si>
  <si>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</si>
  <si>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</si>
  <si>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</si>
  <si>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</si>
  <si>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</si>
  <si>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</si>
  <si>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</si>
  <si>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</si>
  <si>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</si>
  <si>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</si>
  <si>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</si>
  <si>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</si>
  <si>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</si>
  <si>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</si>
  <si>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</si>
  <si>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</si>
  <si>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</si>
  <si>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</si>
  <si>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</si>
  <si>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</si>
  <si>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</si>
  <si>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</si>
  <si>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</si>
  <si>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</si>
  <si>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</si>
  <si>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</si>
  <si>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</si>
  <si>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</si>
  <si>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</si>
  <si>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</si>
  <si>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</si>
  <si>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</si>
  <si>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</si>
  <si>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</si>
  <si>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</si>
  <si>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</si>
  <si>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</si>
  <si>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</si>
  <si>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</si>
  <si>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</si>
  <si>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</si>
  <si>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</si>
  <si>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</si>
  <si>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</si>
  <si>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</si>
  <si>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</si>
  <si>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</si>
  <si>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</si>
  <si>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</si>
  <si>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</si>
  <si>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</si>
  <si>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</si>
  <si>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</si>
  <si>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</si>
  <si>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</si>
  <si>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</si>
  <si>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</si>
  <si>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</si>
  <si>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</si>
  <si>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</si>
  <si>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</si>
  <si>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</si>
  <si>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</si>
  <si>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</si>
  <si>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</si>
  <si>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</si>
  <si>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</si>
  <si>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</si>
  <si>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</si>
  <si>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</si>
  <si>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</si>
  <si>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</si>
  <si>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</si>
  <si>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</si>
  <si>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</si>
  <si>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</si>
  <si>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</si>
  <si>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</si>
  <si>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</si>
  <si>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</si>
  <si>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</si>
  <si>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</si>
  <si>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</si>
  <si>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</si>
  <si>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</si>
  <si>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</si>
  <si>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</si>
  <si>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</si>
  <si>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</si>
  <si>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</si>
  <si>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</si>
  <si>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</si>
  <si>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</si>
  <si>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</si>
  <si>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</si>
  <si>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</si>
  <si>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</si>
  <si>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</si>
  <si>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</si>
  <si>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</si>
  <si>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</si>
  <si>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</si>
  <si>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</si>
  <si>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</si>
  <si>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</si>
  <si>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</si>
  <si>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</si>
  <si>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</si>
  <si>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</si>
  <si>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</si>
  <si>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</si>
  <si>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</si>
  <si>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</si>
  <si>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</si>
  <si>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</si>
  <si>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</si>
  <si>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</si>
  <si>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</si>
  <si>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</si>
  <si>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</si>
  <si>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</si>
  <si>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</si>
  <si>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</si>
  <si>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</si>
  <si>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</si>
  <si>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</si>
  <si>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</si>
  <si>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</si>
  <si>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</si>
  <si>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</si>
  <si>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</si>
  <si>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</si>
  <si>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</si>
  <si>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</si>
  <si>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</si>
  <si>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</si>
  <si>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</si>
  <si>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</si>
  <si>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</si>
  <si>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</si>
  <si>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</si>
  <si>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</si>
  <si>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</si>
  <si>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</si>
  <si>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</si>
  <si>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</si>
  <si>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</si>
  <si>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</si>
  <si>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</si>
  <si>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</si>
  <si>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</si>
  <si>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</si>
  <si>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</si>
  <si>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</si>
  <si>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</si>
  <si>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</si>
  <si>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</si>
  <si>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</si>
  <si>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</si>
  <si>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</si>
  <si>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</si>
  <si>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</si>
  <si>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</si>
  <si>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</si>
  <si>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</si>
  <si>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</si>
  <si>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</si>
  <si>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</si>
  <si>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</si>
  <si>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</si>
  <si>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</si>
  <si>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</si>
  <si>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</si>
  <si>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</si>
  <si>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</si>
  <si>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</si>
  <si>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</si>
  <si>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</si>
  <si>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</si>
  <si>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</si>
  <si>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</si>
  <si>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</si>
  <si>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</si>
  <si>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</si>
  <si>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</si>
  <si>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</si>
  <si>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</si>
  <si>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</si>
  <si>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</si>
  <si>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</si>
  <si>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</si>
  <si>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</si>
  <si>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</si>
  <si>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</si>
  <si>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</si>
  <si>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</si>
  <si>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</si>
  <si>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</si>
  <si>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</si>
  <si>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</si>
  <si>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</si>
  <si>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</si>
  <si>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</si>
  <si>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</si>
  <si>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</si>
  <si>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</si>
  <si>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</si>
  <si>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</si>
  <si>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</si>
  <si>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</si>
  <si>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</si>
  <si>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</si>
  <si>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</si>
  <si>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</si>
  <si>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</si>
  <si>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</si>
  <si>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</si>
  <si>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</si>
  <si>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</si>
  <si>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</si>
  <si>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</si>
  <si>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</si>
  <si>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</si>
  <si>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</si>
  <si>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</si>
  <si>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</si>
  <si>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</si>
  <si>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</si>
  <si>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</si>
  <si>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</si>
  <si>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</si>
  <si>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</si>
  <si>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</si>
  <si>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</si>
  <si>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</si>
  <si>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</si>
  <si>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</si>
  <si>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</si>
  <si>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</si>
  <si>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</si>
  <si>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</si>
  <si>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</si>
  <si>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</si>
  <si>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</si>
  <si>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</si>
  <si>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</si>
  <si>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</si>
  <si>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</si>
  <si>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</si>
  <si>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</si>
  <si>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</si>
  <si>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</si>
  <si>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</si>
  <si>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</si>
  <si>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</si>
  <si>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</si>
  <si>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</si>
  <si>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</si>
  <si>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</si>
  <si>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</si>
  <si>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</si>
  <si>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</si>
  <si>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</si>
  <si>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</si>
  <si>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</si>
  <si>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</si>
  <si>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</si>
  <si>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</si>
  <si>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</si>
  <si>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</si>
  <si>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</si>
  <si>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</si>
  <si>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</si>
  <si>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</si>
  <si>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</si>
  <si>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</si>
  <si>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</si>
  <si>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</si>
  <si>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</si>
  <si>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</si>
  <si>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</si>
  <si>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</si>
  <si>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</si>
  <si>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</si>
  <si>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</si>
  <si>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</si>
  <si>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</si>
  <si>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</si>
  <si>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</si>
  <si>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</si>
  <si>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</si>
  <si>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</si>
  <si>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</si>
  <si>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</si>
  <si>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</si>
  <si>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</si>
  <si>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</si>
  <si>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</si>
  <si>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</si>
  <si>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</si>
  <si>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</si>
  <si>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</si>
  <si>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</si>
  <si>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</si>
  <si>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</si>
  <si>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</si>
  <si>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</si>
  <si>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</si>
  <si>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</si>
  <si>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</si>
  <si>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</si>
  <si>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</si>
  <si>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</si>
  <si>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</si>
  <si>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</si>
  <si>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</si>
  <si>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</si>
  <si>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</si>
  <si>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</si>
  <si>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</si>
  <si>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</si>
  <si>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</si>
  <si>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</si>
  <si>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</si>
  <si>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</si>
  <si>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</si>
  <si>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</si>
  <si>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</si>
  <si>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</si>
  <si>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</si>
  <si>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</si>
  <si>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</si>
  <si>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</si>
  <si>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</si>
  <si>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</si>
  <si>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</si>
  <si>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</si>
  <si>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</si>
  <si>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</si>
  <si>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</si>
  <si>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</si>
  <si>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</si>
  <si>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</si>
  <si>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</si>
  <si>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</si>
  <si>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</si>
  <si>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</si>
  <si>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</si>
  <si>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</si>
  <si>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</si>
  <si>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</si>
  <si>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</si>
  <si>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</si>
  <si>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</si>
  <si>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</si>
  <si>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</si>
  <si>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</si>
  <si>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</si>
  <si>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</si>
  <si>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</si>
  <si>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</si>
  <si>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</si>
  <si>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</si>
  <si>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</si>
  <si>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</si>
  <si>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</si>
  <si>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</si>
  <si>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</si>
  <si>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</si>
  <si>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</si>
  <si>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</si>
  <si>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</si>
  <si>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</si>
  <si>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</si>
  <si>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</si>
  <si>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</si>
  <si>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</si>
  <si>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</si>
  <si>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</si>
  <si>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</si>
  <si>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</si>
  <si>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</si>
  <si>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</si>
  <si>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</si>
  <si>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</si>
  <si>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</si>
  <si>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</si>
  <si>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</si>
  <si>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</si>
  <si>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</si>
  <si>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</si>
  <si>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</si>
  <si>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</si>
  <si>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</si>
  <si>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</si>
  <si>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</si>
  <si>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</si>
  <si>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</si>
  <si>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</si>
  <si>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</si>
  <si>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</si>
  <si>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</si>
  <si>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</si>
  <si>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</si>
  <si>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</si>
  <si>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</si>
  <si>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</si>
  <si>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</si>
  <si>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</si>
  <si>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</si>
  <si>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</si>
  <si>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</si>
  <si>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</si>
  <si>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</si>
  <si>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</si>
  <si>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</si>
  <si>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</si>
  <si>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</si>
  <si>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</si>
  <si>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</si>
  <si>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</si>
  <si>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</si>
  <si>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</si>
  <si>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</si>
  <si>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</si>
  <si>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</si>
  <si>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</si>
  <si>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</si>
  <si>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</si>
  <si>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</si>
  <si>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</si>
  <si>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</si>
  <si>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</si>
  <si>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</si>
  <si>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</si>
  <si>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</si>
  <si>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</si>
  <si>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</si>
  <si>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</si>
  <si>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</si>
  <si>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</si>
  <si>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</si>
  <si>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</si>
  <si>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</si>
  <si>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</si>
  <si>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</si>
  <si>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</si>
  <si>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</si>
  <si>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</si>
  <si>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</si>
  <si>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</si>
  <si>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</si>
  <si>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</si>
  <si>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</si>
  <si>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</si>
  <si>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</si>
  <si>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</si>
  <si>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</si>
  <si>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</si>
  <si>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</si>
  <si>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</si>
  <si>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</si>
  <si>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</si>
  <si>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</si>
  <si>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</si>
  <si>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</si>
  <si>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</si>
  <si>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</si>
  <si>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</si>
  <si>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</si>
  <si>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</si>
  <si>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</si>
  <si>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</si>
  <si>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</si>
  <si>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</si>
  <si>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</si>
  <si>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</si>
  <si>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</si>
  <si>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</si>
  <si>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</si>
  <si>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</si>
  <si>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</si>
  <si>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</si>
  <si>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</si>
  <si>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</si>
  <si>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</si>
  <si>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</si>
  <si>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</si>
  <si>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</si>
  <si>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</si>
  <si>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</si>
  <si>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</si>
  <si>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</si>
  <si>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</si>
  <si>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</si>
  <si>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</si>
  <si>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</si>
  <si>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</si>
  <si>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</si>
  <si>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</si>
  <si>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</si>
  <si>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</si>
  <si>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</si>
  <si>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</si>
  <si>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</si>
  <si>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</si>
  <si>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</si>
  <si>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</si>
  <si>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</si>
  <si>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</si>
  <si>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</si>
  <si>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</si>
  <si>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</si>
  <si>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</si>
  <si>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</si>
  <si>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</si>
  <si>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</si>
  <si>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</si>
  <si>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</si>
  <si>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</si>
  <si>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</si>
  <si>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</si>
  <si>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</si>
  <si>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</si>
  <si>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</si>
  <si>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</si>
  <si>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</si>
  <si>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</si>
  <si>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</si>
  <si>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</si>
  <si>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</si>
  <si>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</si>
  <si>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</si>
  <si>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</si>
  <si>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</si>
  <si>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</si>
  <si>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</si>
  <si>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</si>
  <si>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</si>
  <si>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</si>
  <si>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</si>
  <si>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</si>
  <si>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</si>
  <si>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</si>
  <si>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</si>
  <si>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</si>
  <si>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</si>
  <si>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</si>
  <si>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</si>
  <si>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</si>
  <si>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</si>
  <si>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</si>
  <si>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</si>
  <si>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</si>
  <si>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</si>
  <si>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</si>
  <si>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</si>
  <si>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</si>
  <si>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</si>
  <si>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</si>
  <si>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</si>
  <si>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</si>
  <si>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</si>
  <si>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</si>
  <si>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</si>
  <si>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</si>
  <si>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</si>
  <si>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</si>
  <si>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</si>
  <si>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</si>
  <si>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</si>
  <si>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</si>
  <si>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</si>
  <si>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</si>
  <si>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</si>
  <si>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</si>
  <si>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</si>
  <si>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</si>
  <si>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</si>
  <si>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</si>
  <si>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</si>
  <si>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</si>
  <si>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</si>
  <si>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</si>
  <si>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</si>
  <si>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</si>
  <si>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</si>
  <si>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</si>
  <si>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</si>
  <si>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</si>
  <si>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</si>
  <si>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</si>
  <si>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</si>
  <si>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</si>
  <si>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</si>
  <si>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</si>
  <si>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</si>
  <si>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</si>
  <si>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</si>
  <si>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</si>
  <si>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</si>
  <si>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</si>
  <si>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</si>
  <si>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</si>
  <si>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</si>
  <si>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</si>
  <si>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</si>
  <si>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</si>
  <si>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</si>
  <si>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</si>
  <si>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</si>
  <si>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</si>
  <si>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</si>
  <si>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</si>
  <si>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</si>
  <si>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</si>
  <si>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</si>
  <si>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</si>
  <si>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</si>
  <si>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</si>
  <si>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</si>
  <si>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</si>
  <si>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</si>
  <si>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</si>
  <si>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</si>
  <si>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</si>
  <si>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</si>
  <si>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</si>
  <si>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</si>
  <si>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</si>
  <si>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</si>
  <si>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</si>
  <si>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</si>
  <si>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</si>
  <si>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</si>
  <si>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</si>
  <si>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</si>
  <si>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</si>
  <si>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</si>
  <si>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</si>
  <si>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</si>
  <si>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</si>
  <si>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</si>
  <si>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</si>
  <si>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</si>
  <si>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</si>
  <si>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</si>
  <si>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</si>
  <si>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</si>
  <si>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</si>
  <si>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</si>
  <si>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</si>
  <si>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</si>
  <si>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</si>
  <si>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</si>
  <si>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</si>
  <si>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</si>
  <si>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</si>
  <si>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</si>
  <si>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</si>
  <si>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</si>
  <si>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</si>
  <si>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</si>
  <si>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</si>
  <si>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</si>
  <si>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</si>
  <si>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</si>
  <si>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</si>
  <si>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</si>
  <si>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</si>
  <si>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</si>
  <si>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</si>
  <si>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</si>
  <si>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</si>
  <si>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</si>
  <si>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</si>
  <si>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</si>
  <si>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</si>
  <si>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</si>
  <si>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</si>
  <si>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</si>
  <si>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</si>
  <si>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</si>
  <si>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</si>
  <si>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</si>
  <si>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</si>
  <si>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</si>
  <si>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</si>
  <si>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</si>
  <si>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</si>
  <si>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</si>
  <si>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</si>
  <si>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</si>
  <si>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</si>
  <si>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</si>
  <si>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</si>
  <si>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</si>
  <si>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</si>
  <si>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</si>
  <si>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</si>
  <si>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</si>
  <si>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</si>
  <si>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</si>
  <si>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</si>
  <si>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</si>
  <si>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</si>
  <si>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</si>
  <si>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</si>
  <si>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</si>
  <si>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</si>
  <si>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</si>
  <si>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</si>
  <si>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</si>
  <si>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</si>
  <si>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</si>
  <si>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</si>
  <si>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</si>
  <si>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</si>
  <si>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</si>
  <si>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</si>
  <si>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</si>
  <si>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</si>
  <si>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</si>
  <si>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</si>
  <si>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</si>
  <si>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</si>
  <si>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</si>
  <si>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</si>
  <si>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</si>
  <si>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</si>
  <si>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</si>
  <si>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</si>
  <si>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</si>
  <si>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</si>
  <si>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</si>
  <si>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</si>
  <si>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</si>
  <si>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</si>
  <si>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</si>
  <si>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</si>
  <si>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</si>
  <si>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</si>
  <si>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</si>
  <si>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</si>
  <si>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</si>
  <si>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</si>
  <si>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</si>
  <si>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</si>
  <si>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</si>
  <si>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</si>
  <si>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</si>
  <si>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</si>
  <si>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</si>
  <si>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</si>
  <si>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</si>
  <si>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</si>
  <si>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</si>
  <si>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</si>
  <si>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</si>
  <si>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</si>
  <si>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</si>
  <si>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</si>
  <si>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</si>
  <si>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</si>
  <si>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</si>
  <si>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</si>
  <si>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</si>
  <si>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</si>
  <si>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</si>
  <si>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</si>
  <si>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</si>
  <si>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</si>
  <si>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</si>
  <si>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</si>
  <si>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</si>
  <si>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</si>
  <si>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</si>
  <si>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</si>
  <si>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</si>
  <si>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</si>
  <si>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</si>
  <si>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</si>
  <si>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</si>
  <si>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</si>
  <si>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</si>
  <si>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</si>
  <si>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</si>
  <si>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</si>
  <si>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</si>
  <si>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</si>
  <si>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</si>
  <si>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</si>
  <si>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</si>
  <si>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</si>
  <si>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</si>
  <si>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</si>
  <si>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</si>
  <si>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</si>
  <si>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</si>
  <si>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</si>
  <si>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</si>
  <si>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</si>
  <si>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</si>
  <si>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</si>
  <si>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</si>
  <si>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</si>
  <si>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</si>
  <si>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</si>
  <si>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</si>
  <si>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</si>
  <si>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</si>
  <si>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</si>
  <si>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</si>
  <si>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</si>
  <si>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</si>
  <si>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</si>
  <si>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</si>
  <si>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</si>
  <si>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</si>
  <si>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</si>
  <si>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</si>
  <si>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</si>
  <si>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</si>
  <si>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</si>
  <si>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</si>
  <si>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</si>
  <si>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</si>
  <si>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</si>
  <si>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</si>
  <si>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</si>
  <si>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</si>
  <si>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</si>
  <si>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</si>
  <si>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</si>
  <si>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</si>
  <si>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</si>
  <si>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</si>
  <si>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</si>
  <si>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</si>
  <si>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</si>
  <si>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</si>
  <si>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</si>
  <si>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</si>
  <si>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</si>
  <si>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</si>
  <si>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</si>
  <si>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</si>
  <si>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</si>
  <si>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</si>
  <si>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</si>
  <si>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</si>
  <si>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</si>
  <si>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</si>
  <si>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</si>
  <si>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</si>
  <si>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</si>
  <si>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</si>
  <si>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</si>
  <si>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</si>
  <si>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</si>
  <si>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</si>
  <si>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</si>
  <si>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</si>
  <si>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</si>
  <si>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</si>
  <si>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</si>
  <si>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</si>
  <si>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</si>
  <si>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</si>
  <si>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</si>
  <si>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</si>
  <si>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</si>
  <si>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</si>
  <si>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</si>
  <si>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</si>
  <si>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</si>
  <si>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</si>
  <si>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</si>
  <si>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</si>
  <si>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</si>
  <si>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</si>
  <si>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</si>
  <si>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</si>
  <si>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</si>
  <si>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</si>
  <si>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</si>
  <si>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</si>
  <si>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</si>
  <si>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</si>
  <si>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</si>
  <si>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</si>
  <si>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</si>
  <si>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</si>
  <si>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</si>
  <si>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</si>
  <si>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</si>
  <si>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</si>
  <si>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</si>
  <si>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</si>
  <si>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</si>
  <si>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</si>
  <si>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</si>
  <si>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</si>
  <si>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</si>
  <si>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</si>
  <si>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</si>
  <si>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</si>
  <si>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</si>
  <si>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</si>
  <si>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</si>
  <si>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</si>
  <si>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</si>
  <si>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</si>
  <si>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</si>
  <si>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</si>
  <si>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</si>
  <si>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</si>
  <si>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</si>
  <si>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</si>
  <si>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</si>
  <si>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</si>
  <si>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</si>
  <si>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</si>
  <si>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</si>
  <si>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</si>
  <si>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</si>
  <si>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</si>
  <si>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</si>
  <si>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</si>
  <si>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</si>
  <si>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</si>
  <si>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</si>
  <si>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</si>
  <si>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</si>
  <si>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</si>
  <si>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</si>
  <si>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</si>
  <si>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</si>
  <si>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</si>
  <si>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</si>
  <si>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</si>
  <si>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</si>
  <si>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</si>
  <si>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</si>
  <si>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</si>
  <si>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</si>
  <si>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</si>
  <si>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</si>
  <si>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</si>
  <si>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</si>
  <si>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</si>
  <si>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</si>
  <si>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</si>
  <si>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</si>
  <si>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</si>
  <si>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</si>
  <si>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</si>
  <si>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</si>
  <si>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</si>
  <si>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</si>
  <si>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</si>
  <si>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</si>
  <si>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</si>
  <si>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</si>
  <si>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</si>
  <si>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</si>
  <si>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</si>
  <si>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</si>
  <si>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</si>
  <si>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</si>
  <si>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</si>
  <si>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</si>
  <si>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</si>
  <si>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</si>
  <si>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</si>
  <si>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</si>
  <si>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</si>
  <si>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</si>
  <si>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</si>
  <si>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</si>
  <si>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</si>
  <si>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</si>
  <si>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</si>
  <si>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</si>
  <si>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</si>
  <si>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</si>
  <si>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</si>
  <si>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</si>
  <si>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</si>
  <si>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</si>
  <si>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</si>
  <si>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</si>
  <si>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</si>
  <si>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</si>
  <si>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</si>
  <si>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</si>
  <si>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</si>
  <si>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</si>
  <si>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</si>
  <si>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</si>
  <si>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</si>
  <si>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</si>
  <si>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</si>
  <si>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</si>
  <si>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</si>
  <si>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</si>
  <si>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</si>
  <si>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</si>
  <si>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</si>
  <si>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</si>
  <si>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</si>
  <si>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</si>
  <si>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</si>
  <si>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</si>
  <si>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</si>
  <si>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</si>
  <si>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</si>
  <si>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</si>
  <si>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</si>
  <si>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</si>
  <si>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</si>
  <si>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</si>
  <si>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</si>
  <si>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</si>
  <si>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</si>
  <si>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</si>
  <si>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</si>
  <si>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</si>
  <si>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</si>
  <si>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</si>
  <si>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</si>
  <si>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</si>
  <si>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</si>
  <si>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</si>
  <si>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</si>
  <si>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</si>
  <si>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</si>
  <si>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</si>
  <si>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</si>
  <si>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</si>
  <si>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</si>
  <si>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</si>
  <si>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</si>
  <si>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</si>
  <si>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</si>
  <si>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</si>
  <si>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</si>
  <si>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</si>
  <si>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</si>
  <si>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</si>
  <si>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</si>
  <si>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</si>
  <si>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</si>
  <si>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</si>
  <si>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</si>
  <si>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</si>
  <si>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</si>
  <si>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</si>
  <si>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</si>
  <si>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</si>
  <si>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</si>
  <si>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</si>
  <si>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</si>
  <si>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</si>
  <si>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</si>
  <si>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</si>
  <si>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</si>
  <si>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</si>
  <si>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</si>
  <si>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</si>
  <si>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</si>
  <si>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</si>
  <si>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</si>
  <si>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</si>
  <si>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</si>
  <si>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</si>
  <si>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</si>
  <si>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</si>
  <si>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</si>
  <si>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</si>
  <si>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</si>
  <si>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</si>
  <si>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</si>
  <si>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</si>
  <si>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</si>
  <si>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</si>
  <si>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</si>
  <si>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</si>
  <si>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</si>
  <si>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</si>
  <si>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</si>
  <si>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</si>
  <si>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</si>
  <si>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</si>
  <si>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</si>
  <si>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</si>
  <si>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</si>
  <si>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</si>
  <si>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</si>
  <si>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</si>
  <si>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</si>
  <si>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</si>
  <si>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</si>
  <si>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</si>
  <si>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</si>
  <si>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</si>
  <si>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</si>
  <si>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</si>
  <si>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</si>
  <si>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</si>
  <si>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</si>
  <si>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</si>
  <si>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</si>
  <si>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</si>
  <si>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</si>
  <si>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</si>
  <si>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</si>
  <si>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</si>
  <si>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</si>
  <si>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</si>
  <si>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</si>
  <si>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</si>
  <si>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</si>
  <si>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</si>
  <si>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</si>
  <si>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</si>
  <si>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</si>
  <si>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</si>
  <si>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</si>
  <si>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</si>
  <si>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</si>
  <si>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</si>
  <si>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</si>
  <si>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</si>
  <si>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</si>
  <si>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</si>
  <si>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</si>
  <si>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</si>
  <si>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</si>
  <si>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</si>
  <si>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</si>
  <si>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</si>
  <si>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</si>
  <si>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</si>
  <si>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</si>
  <si>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</si>
  <si>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</si>
  <si>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</si>
  <si>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</si>
  <si>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</si>
  <si>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</si>
  <si>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</si>
  <si>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</si>
  <si>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</si>
  <si>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</si>
  <si>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</si>
  <si>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</si>
  <si>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</si>
  <si>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</si>
  <si>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</si>
  <si>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</si>
  <si>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</si>
  <si>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</si>
  <si>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</si>
  <si>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</si>
  <si>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</si>
  <si>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</si>
  <si>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</si>
  <si>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</si>
  <si>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</si>
  <si>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</si>
  <si>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</si>
  <si>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</si>
  <si>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</si>
  <si>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</si>
  <si>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</si>
  <si>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</si>
  <si>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</si>
  <si>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</si>
  <si>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</si>
  <si>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</si>
  <si>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</si>
  <si>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</si>
  <si>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</si>
  <si>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</si>
  <si>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</si>
  <si>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</si>
  <si>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</si>
  <si>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</si>
  <si>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</si>
  <si>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</si>
  <si>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</si>
  <si>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</si>
  <si>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</si>
  <si>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</si>
  <si>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</si>
  <si>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</si>
  <si>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</si>
  <si>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</si>
  <si>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</si>
  <si>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</si>
  <si>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</si>
  <si>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</si>
  <si>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</si>
  <si>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</si>
  <si>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</si>
  <si>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</si>
  <si>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</si>
  <si>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</si>
  <si>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</si>
  <si>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</si>
  <si>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</si>
  <si>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</si>
  <si>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</si>
  <si>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</si>
  <si>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</si>
  <si>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</si>
  <si>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</si>
  <si>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</si>
  <si>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</si>
  <si>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</si>
  <si>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</si>
  <si>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</si>
  <si>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</si>
  <si>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</si>
  <si>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</si>
  <si>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</si>
  <si>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</si>
  <si>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</si>
  <si>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</si>
  <si>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</si>
  <si>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</si>
  <si>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</si>
  <si>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</si>
  <si>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</si>
  <si>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</si>
  <si>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</si>
  <si>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</si>
  <si>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</si>
  <si>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</si>
  <si>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</si>
  <si>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</si>
  <si>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</si>
  <si>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</si>
  <si>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</si>
  <si>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</si>
  <si>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</si>
  <si>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</si>
  <si>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</si>
  <si>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</si>
  <si>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</si>
  <si>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</si>
  <si>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</si>
  <si>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</si>
  <si>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</si>
  <si>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</si>
  <si>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</si>
  <si>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</si>
  <si>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</si>
  <si>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</si>
  <si>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</si>
  <si>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</si>
  <si>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</si>
  <si>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</si>
  <si>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</si>
  <si>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</si>
  <si>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</si>
  <si>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</si>
  <si>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</si>
  <si>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</si>
  <si>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</si>
  <si>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</si>
  <si>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</si>
  <si>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</si>
  <si>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</si>
  <si>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</si>
  <si>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</si>
  <si>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</si>
  <si>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</si>
  <si>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</si>
  <si>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</si>
  <si>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</si>
  <si>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</si>
  <si>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</si>
  <si>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</si>
  <si>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</si>
  <si>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</si>
  <si>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</si>
  <si>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</si>
  <si>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</si>
  <si>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</si>
  <si>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</si>
  <si>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</si>
  <si>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</si>
  <si>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</si>
  <si>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</si>
  <si>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</si>
  <si>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</si>
  <si>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</si>
  <si>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</si>
  <si>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</si>
  <si>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</si>
  <si>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</si>
  <si>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</si>
  <si>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</si>
  <si>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</si>
  <si>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</si>
  <si>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</si>
  <si>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</si>
  <si>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</si>
  <si>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</si>
  <si>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</si>
  <si>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</si>
  <si>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</si>
  <si>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</si>
  <si>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</si>
  <si>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</si>
  <si>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</si>
  <si>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</si>
  <si>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</si>
  <si>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</si>
  <si>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</si>
  <si>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</si>
  <si>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</si>
  <si>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</si>
  <si>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</si>
  <si>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</si>
  <si>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</si>
  <si>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</si>
  <si>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</si>
  <si>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</si>
  <si>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</si>
  <si>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</si>
  <si>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</si>
  <si>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</si>
  <si>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</si>
  <si>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</si>
  <si>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</si>
  <si>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</si>
  <si>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</si>
  <si>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</si>
  <si>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</si>
  <si>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</si>
  <si>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</si>
  <si>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</si>
  <si>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</si>
  <si>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</si>
  <si>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</si>
  <si>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</si>
  <si>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</si>
  <si>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</si>
  <si>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</si>
  <si>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</si>
  <si>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</si>
  <si>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</si>
  <si>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</si>
  <si>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</si>
  <si>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</si>
  <si>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</si>
  <si>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</si>
  <si>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</si>
  <si>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</si>
  <si>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</si>
  <si>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</si>
  <si>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</si>
  <si>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</si>
  <si>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</si>
  <si>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</si>
  <si>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</si>
  <si>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</si>
  <si>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</si>
  <si>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</si>
  <si>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</si>
  <si>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</si>
  <si>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</si>
  <si>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</si>
  <si>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</si>
  <si>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</si>
  <si>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</si>
  <si>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</si>
  <si>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</si>
  <si>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</si>
  <si>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</si>
  <si>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</si>
  <si>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</si>
  <si>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</si>
  <si>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</si>
  <si>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</si>
  <si>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</si>
  <si>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</si>
  <si>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</si>
  <si>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</si>
  <si>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</si>
  <si>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</si>
  <si>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</si>
  <si>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</si>
  <si>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</si>
  <si>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</si>
  <si>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</si>
  <si>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</si>
  <si>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</si>
  <si>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</si>
  <si>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</si>
  <si>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</si>
  <si>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</si>
  <si>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</si>
  <si>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</si>
  <si>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</si>
  <si>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</si>
  <si>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</si>
  <si>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</si>
  <si>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</si>
  <si>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</si>
  <si>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</si>
  <si>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</si>
  <si>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</si>
  <si>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</si>
  <si>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</si>
  <si>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</si>
  <si>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</si>
  <si>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</si>
  <si>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</si>
  <si>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</si>
  <si>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</si>
  <si>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</si>
  <si>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</si>
  <si>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</si>
  <si>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</si>
  <si>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</si>
  <si>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</si>
  <si>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</si>
  <si>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</si>
  <si>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</si>
  <si>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</si>
  <si>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</si>
  <si>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</si>
  <si>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</si>
  <si>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</si>
  <si>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</si>
  <si>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</si>
  <si>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</si>
  <si>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</si>
  <si>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</si>
  <si>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</si>
  <si>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</si>
  <si>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</si>
  <si>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</si>
  <si>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</si>
  <si>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</si>
  <si>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</si>
  <si>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</si>
  <si>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</si>
  <si>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</si>
  <si>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</si>
  <si>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</si>
  <si>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</si>
  <si>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</si>
  <si>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</si>
  <si>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</si>
  <si>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</si>
  <si>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</si>
  <si>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</si>
  <si>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</si>
  <si>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</si>
  <si>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</si>
  <si>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</si>
  <si>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</si>
  <si>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</si>
  <si>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</si>
  <si>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</si>
  <si>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</si>
  <si>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</si>
  <si>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</si>
  <si>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</si>
  <si>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</si>
  <si>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</si>
  <si>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</si>
  <si>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</si>
  <si>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</si>
  <si>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</si>
  <si>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</si>
  <si>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</si>
  <si>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</si>
  <si>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</si>
  <si>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</si>
  <si>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</si>
  <si>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</si>
  <si>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</si>
  <si>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</si>
  <si>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</si>
  <si>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</si>
  <si>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</si>
  <si>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</si>
  <si>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</si>
  <si>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</si>
  <si>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</si>
  <si>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</si>
  <si>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</si>
  <si>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</si>
  <si>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</si>
  <si>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</si>
  <si>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</si>
  <si>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</si>
  <si>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</si>
  <si>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</si>
  <si>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</si>
  <si>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</si>
  <si>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</si>
  <si>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</si>
  <si>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</si>
  <si>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</si>
  <si>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</si>
  <si>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</si>
  <si>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</si>
  <si>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</si>
  <si>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</si>
  <si>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</si>
  <si>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</si>
  <si>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</si>
  <si>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</si>
  <si>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</si>
  <si>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</si>
  <si>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</si>
  <si>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</si>
  <si>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</si>
  <si>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</si>
  <si>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</si>
  <si>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</si>
  <si>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</si>
  <si>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</si>
  <si>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</si>
  <si>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</si>
  <si>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</si>
  <si>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</si>
  <si>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</si>
  <si>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</si>
  <si>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</si>
  <si>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</si>
  <si>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</si>
  <si>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</si>
  <si>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</si>
  <si>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</si>
  <si>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</si>
  <si>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</si>
  <si>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</si>
  <si>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</si>
  <si>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</si>
  <si>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</si>
  <si>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</si>
  <si>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</si>
  <si>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</si>
  <si>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</si>
  <si>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</si>
  <si>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</si>
  <si>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</si>
  <si>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</si>
  <si>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</si>
  <si>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</si>
  <si>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</si>
  <si>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</si>
  <si>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</si>
  <si>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</si>
  <si>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</si>
  <si>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</si>
  <si>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</si>
  <si>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</si>
  <si>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</si>
  <si>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</si>
  <si>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</si>
  <si>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</si>
  <si>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</si>
  <si>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</si>
  <si>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</si>
  <si>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</si>
  <si>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</si>
  <si>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</si>
  <si>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</si>
  <si>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</si>
  <si>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</si>
  <si>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</si>
  <si>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</si>
  <si>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</si>
  <si>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</si>
  <si>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</si>
  <si>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</si>
  <si>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</si>
  <si>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</si>
  <si>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</si>
  <si>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</si>
  <si>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</si>
  <si>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</si>
  <si>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</si>
  <si>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</si>
  <si>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</si>
  <si>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</si>
  <si>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</si>
  <si>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</si>
  <si>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</si>
  <si>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</si>
  <si>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</si>
  <si>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</si>
  <si>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</si>
  <si>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</si>
  <si>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</si>
  <si>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</si>
  <si>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</si>
  <si>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</si>
  <si>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</si>
  <si>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</si>
  <si>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</si>
  <si>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</si>
  <si>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</si>
  <si>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</si>
  <si>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</si>
  <si>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</si>
  <si>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</si>
  <si>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</si>
  <si>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</si>
  <si>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</si>
  <si>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</si>
  <si>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</si>
  <si>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</si>
  <si>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</si>
  <si>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</si>
  <si>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</si>
  <si>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</si>
  <si>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</si>
  <si>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</si>
  <si>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</si>
  <si>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</si>
  <si>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</si>
  <si>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</si>
  <si>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</si>
  <si>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</si>
  <si>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</si>
  <si>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</si>
  <si>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</si>
  <si>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</si>
  <si>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</si>
  <si>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</si>
  <si>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</si>
  <si>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</si>
  <si>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</si>
  <si>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</si>
  <si>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</si>
  <si>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</si>
  <si>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</si>
  <si>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</si>
  <si>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</si>
  <si>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</si>
  <si>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</si>
  <si>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</si>
  <si>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</si>
  <si>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</si>
  <si>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</si>
  <si>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</si>
  <si>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</si>
  <si>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</si>
  <si>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</si>
  <si>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</si>
  <si>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</si>
  <si>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</si>
  <si>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</si>
  <si>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</si>
  <si>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</si>
  <si>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</si>
  <si>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</si>
  <si>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</si>
  <si>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</si>
  <si>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</si>
  <si>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</si>
  <si>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</si>
  <si>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</si>
  <si>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</si>
  <si>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</si>
  <si>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</si>
  <si>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</si>
  <si>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</si>
  <si>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</si>
  <si>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</si>
  <si>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</si>
  <si>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</si>
  <si>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</si>
  <si>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</si>
  <si>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</si>
  <si>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</si>
  <si>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</si>
  <si>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</si>
  <si>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</si>
  <si>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</si>
  <si>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</si>
  <si>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</si>
  <si>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</si>
  <si>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</si>
  <si>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</si>
  <si>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</si>
  <si>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</si>
  <si>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</si>
  <si>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</si>
  <si>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</si>
  <si>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</si>
  <si>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</si>
  <si>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</si>
  <si>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</si>
  <si>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</si>
  <si>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</si>
  <si>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</si>
  <si>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</si>
  <si>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</si>
  <si>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</si>
  <si>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</si>
  <si>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</si>
  <si>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</si>
  <si>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</si>
  <si>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</si>
  <si>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</si>
  <si>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</si>
  <si>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</si>
  <si>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</si>
  <si>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</si>
  <si>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</si>
  <si>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</si>
  <si>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</si>
  <si>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</si>
  <si>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</si>
  <si>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</si>
  <si>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</si>
  <si>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</si>
  <si>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</si>
  <si>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</si>
  <si>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</si>
  <si>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</si>
  <si>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</si>
  <si>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</si>
  <si>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</si>
  <si>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</si>
  <si>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</si>
  <si>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</si>
  <si>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</si>
  <si>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</si>
  <si>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</si>
  <si>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</si>
  <si>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</si>
  <si>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</si>
  <si>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</si>
  <si>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</si>
  <si>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</si>
  <si>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</si>
  <si>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</si>
  <si>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</si>
  <si>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</si>
  <si>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</si>
  <si>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</si>
  <si>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</si>
  <si>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</si>
  <si>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</si>
  <si>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</si>
  <si>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</si>
  <si>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</si>
  <si>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</si>
  <si>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</si>
  <si>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</si>
  <si>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</si>
  <si>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</si>
  <si>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</si>
  <si>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</si>
  <si>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</si>
  <si>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</si>
  <si>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</si>
  <si>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</si>
  <si>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</si>
  <si>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</si>
  <si>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</si>
  <si>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</si>
  <si>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</si>
  <si>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</si>
  <si>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</si>
  <si>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</si>
  <si>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</si>
  <si>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</si>
  <si>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</si>
  <si>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</si>
  <si>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</si>
  <si>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</si>
  <si>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</si>
  <si>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</si>
  <si>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</si>
  <si>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</si>
  <si>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</si>
  <si>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</si>
  <si>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</si>
  <si>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</si>
  <si>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</si>
  <si>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</si>
  <si>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</si>
  <si>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</si>
  <si>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</si>
  <si>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</si>
  <si>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</si>
  <si>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</si>
  <si>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</si>
  <si>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</si>
  <si>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</si>
  <si>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</si>
  <si>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</si>
  <si>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</si>
  <si>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</si>
  <si>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</si>
  <si>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</si>
  <si>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</si>
  <si>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</si>
  <si>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</si>
  <si>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</si>
  <si>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</si>
  <si>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</si>
  <si>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</si>
  <si>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</si>
  <si>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</si>
  <si>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</si>
  <si>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</si>
  <si>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</si>
  <si>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</si>
  <si>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</si>
  <si>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</si>
  <si>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</si>
  <si>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</si>
  <si>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</si>
  <si>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</si>
  <si>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</si>
  <si>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</si>
  <si>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</si>
  <si>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</si>
  <si>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</si>
  <si>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</si>
  <si>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</si>
  <si>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</si>
  <si>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</si>
  <si>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</si>
  <si>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</si>
  <si>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</si>
  <si>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</si>
  <si>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</si>
  <si>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</si>
  <si>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</si>
  <si>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</si>
  <si>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</si>
  <si>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</si>
  <si>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</si>
  <si>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</si>
  <si>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</si>
  <si>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</si>
  <si>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</si>
  <si>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</si>
  <si>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</si>
  <si>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</si>
  <si>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</si>
  <si>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</si>
  <si>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</si>
  <si>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</si>
  <si>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</si>
  <si>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</si>
  <si>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</si>
  <si>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</si>
  <si>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</si>
  <si>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</si>
  <si>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</si>
  <si>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</si>
  <si>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</si>
  <si>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</si>
  <si>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</si>
  <si>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</si>
  <si>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</si>
  <si>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</si>
  <si>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</si>
  <si>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</si>
  <si>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</si>
  <si>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</si>
  <si>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</si>
  <si>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</si>
  <si>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</si>
  <si>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</si>
  <si>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</si>
  <si>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</si>
  <si>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</si>
  <si>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</si>
  <si>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</si>
  <si>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</si>
  <si>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</si>
  <si>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</si>
  <si>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</si>
  <si>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</si>
  <si>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</si>
  <si>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</si>
  <si>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</si>
  <si>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</si>
  <si>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</si>
  <si>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</si>
  <si>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</si>
  <si>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</si>
  <si>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</si>
  <si>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</si>
  <si>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</si>
  <si>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</si>
  <si>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</si>
  <si>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</si>
  <si>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</si>
  <si>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</si>
  <si>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</si>
  <si>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</si>
  <si>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</si>
  <si>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</si>
  <si>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</si>
  <si>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</si>
  <si>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</si>
  <si>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</si>
  <si>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</si>
  <si>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</si>
  <si>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</si>
  <si>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</si>
  <si>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</si>
  <si>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</si>
  <si>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</si>
  <si>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</si>
  <si>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</si>
  <si>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</si>
  <si>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</si>
  <si>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</si>
  <si>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</si>
  <si>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</si>
  <si>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</si>
  <si>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</si>
  <si>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</si>
  <si>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</si>
  <si>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</si>
  <si>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</si>
  <si>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</si>
  <si>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</si>
  <si>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</si>
  <si>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</si>
  <si>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</si>
  <si>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</si>
  <si>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</si>
  <si>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</si>
  <si>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</si>
  <si>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</si>
  <si>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</si>
  <si>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</si>
  <si>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</si>
  <si>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</si>
  <si>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</si>
  <si>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</si>
  <si>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</si>
  <si>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</si>
  <si>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</si>
  <si>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</si>
  <si>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</si>
  <si>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</si>
  <si>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</si>
  <si>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</si>
  <si>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</si>
  <si>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</si>
  <si>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</si>
  <si>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</si>
  <si>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</si>
  <si>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</si>
  <si>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</si>
  <si>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</si>
  <si>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</si>
  <si>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</si>
  <si>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</si>
  <si>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</si>
  <si>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</si>
  <si>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</si>
  <si>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</si>
  <si>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</si>
  <si>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</si>
  <si>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</si>
  <si>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</si>
  <si>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</si>
  <si>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</si>
  <si>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</si>
  <si>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</si>
  <si>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</si>
  <si>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</si>
  <si>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</si>
  <si>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</si>
  <si>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</si>
  <si>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</si>
  <si>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</si>
  <si>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</si>
  <si>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</si>
  <si>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</si>
  <si>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</si>
  <si>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</si>
  <si>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</si>
  <si>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</si>
  <si>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</si>
  <si>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</si>
  <si>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</si>
  <si>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</si>
  <si>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</si>
  <si>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</si>
  <si>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</si>
  <si>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</si>
  <si>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</si>
  <si>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</si>
  <si>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</si>
  <si>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</si>
  <si>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</si>
  <si>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</si>
  <si>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</si>
  <si>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</si>
  <si>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</si>
  <si>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</si>
  <si>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</si>
  <si>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</si>
  <si>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</si>
  <si>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</si>
  <si>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</si>
  <si>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</si>
  <si>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</si>
  <si>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</si>
  <si>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</si>
  <si>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</si>
  <si>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</si>
  <si>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</si>
  <si>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</si>
  <si>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</si>
  <si>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</si>
  <si>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</si>
  <si>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</si>
  <si>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</si>
  <si>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</si>
  <si>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</si>
  <si>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</si>
  <si>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</si>
  <si>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</si>
  <si>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</si>
  <si>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</si>
  <si>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</si>
  <si>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</si>
  <si>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</si>
  <si>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</si>
  <si>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</si>
  <si>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</si>
  <si>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</si>
  <si>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</si>
  <si>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</si>
  <si>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</si>
  <si>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</si>
  <si>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</si>
  <si>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</si>
  <si>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</si>
  <si>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</si>
  <si>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</si>
  <si>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</si>
  <si>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</si>
  <si>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</si>
  <si>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</si>
  <si>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</si>
  <si>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</si>
  <si>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</si>
  <si>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</si>
  <si>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</si>
  <si>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</si>
  <si>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</si>
  <si>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</si>
  <si>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</si>
  <si>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</si>
  <si>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</si>
  <si>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</si>
  <si>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</si>
  <si>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</si>
  <si>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</si>
  <si>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</si>
  <si>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</si>
  <si>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</si>
  <si>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</si>
  <si>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</si>
  <si>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</si>
  <si>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</si>
  <si>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</si>
  <si>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</si>
  <si>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</si>
  <si>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</si>
  <si>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</si>
  <si>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</si>
  <si>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</si>
  <si>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</si>
  <si>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</si>
  <si>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</si>
  <si>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</si>
  <si>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</si>
  <si>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</si>
  <si>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</si>
  <si>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</si>
  <si>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</si>
  <si>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</si>
  <si>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</si>
  <si>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</si>
  <si>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</si>
  <si>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</si>
  <si>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</si>
  <si>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</si>
  <si>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</si>
  <si>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</si>
  <si>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</si>
  <si>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</si>
  <si>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</si>
  <si>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</si>
  <si>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</si>
  <si>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</si>
  <si>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</si>
  <si>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</si>
  <si>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</si>
  <si>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</si>
  <si>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</si>
  <si>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</si>
  <si>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</si>
  <si>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</si>
  <si>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</si>
  <si>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</si>
  <si>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</si>
  <si>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</si>
  <si>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</si>
  <si>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</si>
  <si>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</si>
  <si>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</si>
  <si>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</si>
  <si>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</si>
  <si>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</si>
  <si>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</si>
  <si>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</si>
  <si>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</si>
  <si>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</si>
  <si>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</si>
  <si>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</si>
  <si>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</si>
  <si>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</si>
  <si>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</si>
  <si>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</si>
  <si>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</si>
  <si>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</si>
  <si>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</si>
  <si>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</si>
  <si>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</si>
  <si>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</si>
  <si>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</si>
  <si>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</si>
  <si>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</si>
  <si>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</si>
  <si>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</si>
  <si>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</si>
  <si>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</si>
  <si>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</si>
  <si>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</si>
  <si>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</si>
  <si>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</si>
  <si>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</si>
  <si>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</si>
  <si>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</si>
  <si>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</si>
  <si>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</si>
  <si>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</si>
  <si>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</si>
  <si>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</si>
  <si>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</si>
  <si>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</si>
  <si>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</si>
  <si>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</si>
  <si>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</si>
  <si>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</si>
  <si>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</si>
  <si>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</si>
  <si>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</si>
  <si>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</si>
  <si>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</si>
  <si>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</si>
  <si>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</si>
  <si>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</si>
  <si>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</si>
  <si>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</si>
  <si>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</si>
  <si>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</si>
  <si>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</si>
  <si>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</si>
  <si>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</si>
  <si>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</si>
  <si>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</si>
  <si>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</si>
  <si>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</si>
  <si>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</si>
  <si>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</si>
  <si>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</si>
  <si>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</si>
  <si>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</si>
  <si>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</si>
  <si>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</si>
  <si>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</si>
  <si>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</si>
  <si>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</si>
  <si>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</si>
  <si>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</si>
  <si>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</si>
  <si>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</si>
  <si>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</si>
  <si>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</si>
  <si>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</si>
  <si>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</si>
  <si>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</si>
  <si>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</si>
  <si>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</si>
  <si>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</si>
  <si>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</si>
  <si>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</si>
  <si>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</si>
  <si>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</si>
  <si>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</si>
  <si>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</si>
  <si>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</si>
  <si>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</si>
  <si>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</si>
  <si>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</si>
  <si>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</si>
  <si>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</si>
  <si>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</si>
  <si>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</si>
  <si>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</si>
  <si>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</si>
  <si>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</si>
  <si>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</si>
  <si>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</si>
  <si>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</si>
  <si>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</si>
  <si>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</si>
  <si>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</si>
  <si>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</si>
  <si>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</si>
  <si>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</si>
  <si>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</si>
  <si>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</si>
  <si>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</si>
  <si>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</si>
  <si>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</si>
  <si>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</si>
  <si>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</si>
  <si>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</si>
  <si>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</si>
  <si>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</si>
  <si>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</si>
  <si>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</si>
  <si>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</si>
  <si>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</si>
  <si>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</si>
  <si>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</si>
  <si>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</si>
  <si>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</si>
  <si>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</si>
  <si>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</si>
  <si>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</si>
  <si>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</si>
  <si>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</si>
  <si>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</si>
  <si>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</si>
  <si>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</si>
  <si>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</si>
  <si>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</si>
  <si>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</si>
  <si>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</si>
  <si>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</si>
  <si>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</si>
  <si>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</si>
  <si>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</si>
  <si>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</si>
  <si>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</si>
  <si>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</si>
  <si>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</si>
  <si>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</si>
  <si>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</si>
  <si>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</si>
  <si>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</si>
  <si>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</si>
  <si>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</si>
  <si>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</si>
  <si>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</si>
  <si>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</si>
  <si>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</si>
  <si>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</si>
  <si>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</si>
  <si>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</si>
  <si>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</si>
  <si>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</si>
  <si>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</si>
  <si>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</si>
  <si>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</si>
  <si>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</si>
  <si>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</si>
  <si>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</si>
  <si>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</si>
  <si>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</si>
  <si>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</si>
  <si>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</si>
  <si>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</si>
  <si>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</si>
  <si>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</si>
  <si>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</si>
  <si>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</si>
  <si>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</si>
  <si>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</si>
  <si>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</si>
  <si>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</si>
  <si>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</si>
  <si>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</si>
  <si>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</si>
  <si>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</si>
  <si>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</si>
  <si>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</si>
  <si>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</si>
  <si>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</si>
  <si>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</si>
  <si>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</si>
  <si>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</si>
  <si>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</si>
  <si>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</si>
  <si>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</si>
  <si>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</si>
  <si>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</si>
  <si>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</si>
  <si>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</si>
  <si>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</si>
  <si>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</si>
  <si>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</si>
  <si>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</si>
  <si>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</si>
  <si>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</si>
  <si>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</si>
  <si>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</si>
  <si>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</si>
  <si>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</si>
  <si>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</si>
  <si>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</si>
  <si>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</si>
  <si>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</si>
  <si>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</si>
  <si>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</si>
  <si>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</si>
  <si>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</si>
  <si>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</si>
  <si>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</si>
  <si>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</si>
  <si>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</si>
  <si>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</si>
  <si>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</si>
  <si>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</si>
  <si>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</si>
  <si>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</si>
  <si>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</si>
  <si>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</si>
  <si>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</si>
  <si>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</si>
  <si>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</si>
  <si>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</si>
  <si>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</si>
  <si>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</si>
  <si>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</si>
  <si>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</si>
  <si>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</si>
  <si>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</si>
  <si>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</si>
  <si>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</si>
  <si>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</si>
  <si>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</si>
  <si>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</si>
  <si>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</si>
  <si>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</si>
  <si>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</si>
  <si>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</si>
  <si>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</si>
  <si>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</si>
  <si>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</si>
  <si>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</si>
  <si>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</si>
  <si>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</si>
  <si>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</si>
  <si>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</si>
  <si>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</si>
  <si>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</si>
  <si>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</si>
  <si>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</si>
  <si>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</si>
  <si>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</si>
  <si>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</si>
  <si>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</si>
  <si>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</si>
  <si>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</si>
  <si>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</si>
  <si>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</si>
  <si>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</si>
  <si>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</si>
  <si>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</si>
  <si>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</si>
  <si>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</si>
  <si>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</si>
  <si>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</si>
  <si>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</si>
  <si>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</si>
  <si>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</si>
  <si>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</si>
  <si>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</si>
  <si>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</si>
  <si>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</si>
  <si>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</si>
  <si>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</si>
  <si>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</si>
  <si>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</si>
  <si>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</si>
  <si>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</si>
  <si>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</si>
  <si>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</si>
  <si>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</si>
  <si>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</si>
  <si>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</si>
  <si>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</si>
  <si>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</si>
  <si>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</si>
  <si>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</si>
  <si>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</si>
  <si>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</si>
  <si>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</si>
  <si>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</si>
  <si>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</si>
  <si>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</si>
  <si>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</si>
  <si>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</si>
  <si>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</si>
  <si>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</si>
  <si>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</si>
  <si>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</si>
  <si>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</si>
  <si>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</si>
  <si>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</si>
  <si>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</si>
  <si>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</si>
  <si>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</si>
  <si>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</si>
  <si>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</si>
  <si>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</si>
  <si>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</si>
  <si>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</si>
  <si>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</si>
  <si>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</si>
  <si>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</si>
  <si>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</si>
  <si>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</si>
  <si>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</si>
  <si>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</si>
  <si>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</si>
  <si>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</si>
  <si>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</si>
  <si>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</si>
  <si>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</si>
  <si>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</si>
  <si>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</si>
  <si>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</si>
  <si>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</si>
  <si>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</si>
  <si>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</si>
  <si>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</si>
  <si>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</si>
  <si>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</si>
  <si>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</si>
  <si>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</si>
  <si>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</si>
  <si>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</si>
  <si>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</si>
  <si>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</si>
  <si>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</si>
  <si>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</si>
  <si>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</si>
  <si>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</si>
  <si>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</si>
  <si>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</si>
  <si>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</si>
  <si>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</si>
  <si>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</si>
  <si>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</si>
  <si>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</si>
  <si>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</si>
  <si>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</si>
  <si>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</si>
  <si>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</si>
  <si>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</si>
  <si>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</si>
  <si>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</si>
  <si>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</si>
  <si>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</si>
  <si>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</si>
  <si>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</si>
  <si>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</si>
  <si>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</si>
  <si>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</si>
  <si>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</si>
  <si>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</si>
  <si>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</si>
  <si>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</si>
  <si>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</si>
  <si>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</si>
  <si>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</si>
  <si>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</si>
  <si>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</si>
  <si>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</si>
  <si>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</si>
  <si>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</si>
  <si>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</si>
  <si>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</si>
  <si>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</si>
  <si>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</si>
  <si>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</si>
  <si>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</si>
  <si>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</si>
  <si>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</si>
  <si>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</si>
  <si>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</si>
  <si>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</si>
  <si>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</si>
  <si>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</si>
  <si>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</si>
  <si>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</si>
  <si>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</si>
  <si>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</si>
  <si>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</si>
  <si>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</si>
  <si>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</si>
  <si>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</si>
  <si>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</si>
  <si>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</si>
  <si>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</si>
  <si>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</si>
  <si>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</si>
  <si>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</si>
  <si>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</si>
  <si>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</si>
  <si>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</si>
  <si>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</si>
  <si>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</si>
  <si>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</si>
  <si>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</si>
  <si>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</si>
  <si>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</si>
  <si>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</si>
  <si>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</si>
  <si>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</si>
  <si>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</si>
  <si>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</si>
  <si>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</si>
  <si>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</si>
  <si>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</si>
  <si>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</si>
  <si>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</si>
  <si>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</si>
  <si>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</si>
  <si>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</si>
  <si>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</si>
  <si>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</si>
  <si>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</si>
  <si>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</si>
  <si>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</si>
  <si>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</si>
  <si>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</si>
  <si>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</si>
  <si>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</si>
  <si>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</si>
  <si>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</si>
  <si>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</si>
  <si>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</si>
  <si>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</si>
  <si>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</si>
  <si>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</si>
  <si>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</si>
  <si>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</si>
  <si>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</si>
  <si>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</si>
  <si>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</si>
  <si>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</si>
  <si>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</si>
  <si>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</si>
  <si>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</si>
  <si>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</si>
  <si>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</si>
  <si>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</si>
  <si>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</si>
  <si>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</si>
  <si>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</si>
  <si>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</si>
  <si>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</si>
  <si>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</si>
  <si>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</si>
  <si>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</si>
  <si>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</si>
  <si>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</si>
  <si>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</si>
  <si>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</si>
  <si>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</si>
  <si>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</si>
  <si>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</si>
  <si>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</si>
  <si>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</si>
  <si>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</si>
  <si>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</si>
  <si>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</si>
  <si>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</si>
  <si>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</si>
  <si>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</si>
  <si>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</si>
  <si>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</si>
  <si>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</si>
  <si>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</si>
  <si>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</si>
  <si>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</si>
  <si>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</si>
  <si>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</si>
  <si>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</si>
  <si>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</si>
  <si>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</si>
  <si>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</si>
  <si>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</si>
  <si>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</si>
  <si>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</si>
  <si>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</si>
  <si>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</si>
  <si>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</si>
  <si>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</si>
  <si>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</si>
  <si>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</si>
  <si>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</si>
  <si>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</si>
  <si>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</si>
  <si>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</si>
  <si>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</si>
  <si>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</si>
  <si>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</si>
  <si>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</si>
  <si>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</si>
  <si>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</si>
  <si>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</si>
  <si>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</si>
  <si>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</si>
  <si>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</si>
  <si>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</si>
  <si>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</si>
  <si>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</si>
  <si>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</si>
  <si>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</si>
  <si>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</si>
  <si>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</si>
  <si>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</si>
  <si>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</si>
  <si>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</si>
  <si>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</si>
  <si>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</si>
  <si>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</si>
  <si>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</si>
  <si>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</si>
  <si>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</si>
  <si>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</si>
  <si>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</si>
  <si>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</si>
  <si>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</si>
  <si>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</si>
  <si>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</si>
  <si>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</si>
  <si>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</si>
  <si>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</si>
  <si>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</si>
  <si>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</si>
  <si>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</si>
  <si>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</si>
  <si>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</si>
  <si>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</si>
  <si>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</si>
  <si>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</si>
  <si>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</si>
  <si>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</si>
  <si>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</si>
  <si>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</si>
  <si>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</si>
  <si>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</si>
  <si>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</si>
  <si>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</si>
  <si>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</si>
  <si>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</si>
  <si>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</si>
  <si>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</si>
  <si>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</si>
  <si>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</si>
  <si>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</si>
  <si>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</si>
  <si>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</si>
  <si>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</si>
  <si>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</si>
  <si>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</si>
  <si>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</si>
  <si>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</si>
  <si>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</si>
  <si>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</si>
  <si>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</si>
  <si>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</si>
  <si>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</si>
  <si>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</si>
  <si>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</si>
  <si>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</si>
  <si>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</si>
  <si>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</si>
  <si>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</si>
  <si>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</si>
  <si>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</si>
  <si>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</si>
  <si>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</si>
  <si>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</si>
  <si>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</si>
  <si>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</si>
  <si>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</si>
  <si>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</si>
  <si>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</si>
  <si>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</si>
  <si>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</si>
  <si>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</si>
  <si>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</si>
  <si>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</si>
  <si>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</si>
  <si>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</si>
  <si>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</si>
  <si>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</si>
  <si>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</si>
  <si>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</si>
  <si>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</si>
  <si>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</si>
  <si>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</si>
  <si>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</si>
  <si>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</si>
  <si>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</si>
  <si>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</si>
  <si>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</si>
  <si>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</si>
  <si>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</si>
  <si>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</si>
  <si>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</si>
  <si>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</si>
  <si>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</si>
  <si>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</si>
  <si>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</si>
  <si>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</si>
  <si>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</si>
  <si>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</si>
  <si>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</si>
  <si>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</si>
  <si>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</si>
  <si>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</si>
  <si>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</si>
  <si>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</si>
  <si>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</si>
  <si>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</si>
  <si>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</si>
  <si>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</si>
  <si>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</si>
  <si>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</si>
  <si>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</si>
  <si>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</si>
  <si>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</si>
  <si>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</si>
  <si>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</si>
  <si>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</si>
  <si>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</si>
  <si>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</si>
  <si>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</si>
  <si>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</si>
  <si>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</si>
  <si>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</si>
  <si>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</si>
  <si>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</si>
  <si>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</si>
  <si>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</si>
  <si>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</si>
  <si>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</si>
  <si>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</si>
  <si>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</si>
  <si>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</si>
  <si>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</si>
  <si>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</si>
  <si>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</si>
  <si>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</si>
  <si>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</si>
  <si>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</si>
  <si>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</si>
  <si>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</si>
  <si>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</si>
  <si>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</si>
  <si>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</si>
  <si>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</si>
  <si>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</si>
  <si>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</si>
  <si>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</si>
  <si>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</si>
  <si>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</si>
  <si>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</si>
  <si>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</si>
  <si>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</si>
  <si>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</si>
  <si>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</si>
  <si>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</si>
  <si>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</si>
  <si>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</si>
  <si>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</si>
  <si>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</si>
  <si>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</si>
  <si>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</si>
  <si>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</si>
  <si>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</si>
  <si>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</si>
  <si>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</si>
  <si>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</si>
  <si>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</si>
  <si>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</si>
  <si>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</si>
  <si>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</si>
  <si>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</si>
  <si>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</si>
  <si>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</si>
  <si>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</si>
  <si>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</si>
  <si>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</si>
  <si>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</si>
  <si>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</si>
  <si>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</si>
  <si>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</si>
  <si>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</si>
  <si>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</si>
  <si>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</si>
  <si>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</si>
  <si>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</si>
  <si>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</si>
  <si>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</si>
  <si>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</si>
  <si>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</si>
  <si>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</si>
  <si>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</si>
  <si>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</si>
  <si>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</si>
  <si>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</si>
  <si>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</si>
  <si>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</si>
  <si>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</si>
  <si>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</si>
  <si>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</si>
  <si>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</si>
  <si>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</si>
  <si>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</si>
  <si>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</si>
  <si>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</si>
  <si>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</si>
  <si>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</si>
  <si>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</si>
  <si>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</si>
  <si>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</si>
  <si>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</si>
  <si>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</si>
  <si>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</si>
  <si>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</si>
  <si>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</si>
  <si>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</si>
  <si>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</si>
  <si>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</si>
  <si>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</si>
  <si>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</si>
  <si>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</si>
  <si>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</si>
  <si>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</si>
  <si>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</si>
  <si>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</si>
  <si>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</si>
  <si>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</si>
  <si>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</si>
  <si>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</si>
  <si>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</si>
  <si>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</si>
  <si>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</si>
  <si>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</si>
  <si>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</si>
  <si>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</si>
  <si>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</si>
  <si>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</si>
  <si>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</si>
  <si>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</si>
  <si>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</si>
  <si>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</si>
  <si>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</si>
  <si>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</si>
  <si>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</si>
  <si>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</si>
  <si>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</si>
  <si>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</si>
  <si>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</si>
  <si>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</si>
  <si>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</si>
  <si>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</si>
  <si>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</si>
  <si>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</si>
  <si>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</si>
  <si>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</si>
  <si>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</si>
  <si>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</si>
  <si>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</si>
  <si>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</si>
  <si>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</si>
  <si>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</si>
  <si>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</si>
  <si>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</si>
  <si>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</si>
  <si>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</si>
  <si>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</si>
  <si>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</si>
  <si>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</si>
  <si>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</si>
  <si>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</si>
  <si>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</si>
  <si>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</si>
  <si>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</si>
  <si>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</si>
  <si>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</si>
  <si>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</si>
  <si>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</si>
  <si>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</si>
  <si>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</si>
  <si>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</si>
  <si>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</si>
  <si>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</si>
  <si>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</si>
  <si>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</si>
  <si>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</si>
  <si>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</si>
  <si>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</si>
  <si>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</si>
  <si>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</si>
  <si>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</si>
  <si>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</si>
  <si>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</si>
  <si>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</si>
  <si>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</si>
  <si>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</si>
  <si>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</si>
  <si>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</si>
  <si>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</si>
  <si>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</si>
  <si>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</si>
  <si>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</si>
  <si>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</si>
  <si>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</si>
  <si>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</si>
  <si>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</si>
  <si>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</si>
  <si>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</si>
  <si>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</si>
  <si>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</si>
  <si>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</si>
  <si>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</si>
  <si>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</si>
  <si>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</si>
  <si>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</si>
  <si>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</si>
  <si>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</si>
  <si>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</si>
  <si>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</si>
  <si>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</si>
  <si>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</si>
  <si>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</si>
  <si>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</si>
  <si>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</si>
  <si>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</si>
  <si>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</si>
  <si>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</si>
  <si>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</si>
  <si>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</si>
  <si>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</si>
  <si>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</si>
  <si>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</si>
  <si>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</si>
  <si>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</si>
  <si>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</si>
  <si>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</si>
  <si>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</si>
  <si>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</si>
  <si>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</si>
  <si>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</si>
  <si>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</si>
  <si>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</si>
  <si>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</si>
  <si>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</si>
  <si>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</si>
  <si>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</si>
  <si>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</si>
  <si>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</si>
  <si>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</si>
  <si>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</si>
  <si>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</si>
  <si>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</si>
  <si>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</si>
  <si>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</si>
  <si>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</si>
  <si>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</si>
  <si>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</si>
  <si>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</si>
  <si>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</si>
  <si>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</si>
  <si>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</si>
  <si>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</si>
  <si>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</si>
  <si>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</si>
  <si>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</si>
  <si>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</si>
  <si>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</si>
  <si>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</si>
  <si>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</si>
  <si>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</si>
  <si>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</si>
  <si>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</si>
  <si>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</si>
  <si>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</si>
  <si>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</si>
  <si>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</si>
  <si>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</si>
  <si>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</si>
  <si>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</si>
  <si>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</si>
  <si>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</si>
  <si>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</si>
  <si>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</si>
  <si>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</si>
  <si>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</si>
  <si>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</si>
  <si>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</si>
  <si>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</si>
  <si>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</si>
  <si>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</si>
  <si>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</si>
  <si>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</si>
  <si>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</si>
  <si>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</si>
  <si>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</si>
  <si>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</si>
  <si>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</si>
  <si>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</si>
  <si>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</si>
  <si>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</si>
  <si>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</si>
  <si>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</si>
  <si>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</si>
  <si>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</si>
  <si>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</si>
  <si>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</si>
  <si>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</si>
  <si>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</si>
  <si>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</si>
  <si>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</si>
  <si>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</si>
  <si>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</si>
  <si>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</si>
  <si>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</si>
  <si>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</si>
  <si>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</si>
  <si>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</si>
  <si>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</si>
  <si>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</si>
  <si>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</si>
  <si>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</si>
  <si>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</si>
  <si>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</si>
  <si>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</si>
  <si>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</si>
  <si>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</si>
  <si>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</si>
  <si>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</si>
  <si>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</si>
  <si>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</si>
  <si>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</si>
  <si>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</si>
  <si>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</si>
  <si>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</si>
  <si>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</si>
  <si>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</si>
  <si>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</si>
  <si>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</si>
  <si>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</si>
  <si>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</si>
  <si>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</si>
  <si>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</si>
  <si>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</si>
  <si>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</si>
  <si>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</si>
  <si>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</si>
  <si>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</si>
  <si>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</si>
  <si>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</si>
  <si>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</si>
  <si>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</si>
  <si>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</si>
  <si>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</si>
  <si>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</si>
  <si>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</si>
  <si>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</si>
  <si>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</si>
  <si>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</si>
  <si>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</si>
  <si>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</si>
  <si>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</si>
  <si>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</si>
  <si>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</si>
  <si>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</si>
  <si>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</si>
  <si>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</si>
  <si>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</si>
  <si>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</si>
  <si>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</si>
  <si>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</si>
  <si>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</si>
  <si>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</si>
  <si>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</si>
  <si>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</si>
  <si>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</si>
  <si>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</si>
  <si>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</si>
  <si>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</si>
  <si>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</si>
  <si>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</si>
  <si>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</si>
  <si>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</si>
  <si>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</si>
  <si>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</si>
  <si>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</si>
  <si>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</si>
  <si>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</si>
  <si>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</si>
  <si>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</si>
  <si>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</si>
  <si>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</si>
  <si>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</si>
  <si>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</si>
  <si>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</si>
  <si>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</si>
  <si>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</si>
  <si>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</si>
  <si>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</si>
  <si>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</si>
  <si>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</si>
  <si>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</si>
  <si>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</si>
  <si>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</si>
  <si>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</si>
  <si>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</si>
  <si>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</si>
  <si>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</si>
  <si>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</si>
  <si>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</si>
  <si>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</si>
  <si>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</si>
  <si>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</si>
  <si>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</si>
  <si>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</si>
  <si>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</si>
  <si>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</si>
  <si>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</si>
  <si>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</si>
  <si>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</si>
  <si>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</si>
  <si>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</si>
  <si>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</si>
  <si>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</si>
  <si>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</si>
  <si>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</si>
  <si>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</si>
  <si>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</si>
  <si>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</si>
  <si>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</si>
  <si>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</si>
  <si>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</si>
  <si>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</si>
  <si>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</si>
  <si>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</si>
  <si>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</si>
  <si>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</si>
  <si>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</si>
  <si>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</si>
  <si>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</si>
  <si>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</si>
  <si>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</si>
  <si>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</si>
  <si>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</si>
  <si>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</si>
  <si>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</si>
  <si>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</si>
  <si>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</si>
  <si>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</si>
  <si>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</si>
  <si>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</si>
  <si>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</si>
  <si>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</si>
  <si>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</si>
  <si>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</si>
  <si>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</si>
  <si>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</si>
  <si>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</si>
  <si>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</si>
  <si>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</si>
  <si>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</si>
  <si>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</si>
  <si>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</si>
  <si>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</si>
  <si>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</si>
  <si>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</si>
  <si>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</si>
  <si>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</si>
  <si>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</si>
  <si>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</si>
  <si>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</si>
  <si>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</si>
  <si>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</si>
  <si>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</si>
  <si>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</si>
  <si>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</si>
  <si>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</si>
  <si>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</si>
  <si>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</si>
  <si>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</si>
  <si>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</si>
  <si>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</si>
  <si>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</si>
  <si>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</si>
  <si>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</si>
  <si>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</si>
  <si>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</si>
  <si>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</si>
  <si>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</si>
  <si>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</si>
  <si>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</si>
  <si>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</si>
  <si>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</si>
  <si>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</si>
  <si>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</si>
  <si>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</si>
  <si>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</si>
  <si>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</si>
  <si>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</si>
  <si>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</si>
  <si>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</si>
  <si>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</si>
  <si>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</si>
  <si>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</si>
  <si>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</si>
  <si>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</si>
  <si>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</si>
  <si>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</si>
  <si>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</si>
  <si>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</si>
  <si>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</si>
  <si>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</si>
  <si>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</si>
  <si>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</si>
  <si>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</si>
  <si>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</si>
  <si>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</si>
  <si>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</si>
  <si>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</si>
  <si>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</si>
  <si>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</si>
  <si>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</si>
  <si>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</si>
  <si>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</si>
  <si>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</si>
  <si>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</si>
  <si>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</si>
  <si>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</si>
  <si>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</si>
  <si>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</si>
  <si>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</si>
  <si>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</si>
  <si>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</si>
  <si>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</si>
  <si>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</si>
  <si>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</si>
  <si>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</si>
  <si>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</si>
  <si>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</si>
  <si>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</si>
  <si>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</si>
  <si>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</si>
  <si>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</si>
  <si>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</si>
  <si>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</si>
  <si>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</si>
  <si>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</si>
  <si>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</si>
  <si>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</si>
  <si>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</si>
  <si>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</si>
  <si>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</si>
  <si>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</si>
  <si>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</si>
  <si>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</si>
  <si>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</si>
  <si>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</si>
  <si>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</si>
  <si>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</si>
  <si>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</si>
  <si>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</si>
  <si>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</si>
  <si>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</si>
  <si>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</si>
  <si>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</si>
  <si>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</si>
  <si>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</si>
  <si>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</si>
  <si>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</si>
  <si>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</si>
  <si>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</si>
  <si>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</si>
  <si>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</si>
  <si>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</si>
  <si>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</si>
  <si>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</si>
  <si>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</si>
  <si>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</si>
  <si>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</si>
  <si>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</si>
  <si>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</si>
  <si>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</si>
  <si>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</si>
  <si>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</si>
  <si>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</si>
  <si>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</si>
  <si>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</si>
  <si>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</si>
  <si>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</si>
  <si>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</si>
  <si>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</si>
  <si>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</si>
  <si>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</si>
  <si>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</si>
  <si>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</si>
  <si>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</si>
  <si>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</si>
  <si>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</si>
  <si>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</si>
  <si>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</si>
  <si>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</si>
  <si>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</si>
  <si>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</si>
  <si>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</si>
  <si>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</si>
  <si>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</si>
  <si>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</si>
  <si>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</si>
  <si>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</si>
  <si>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</si>
  <si>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</si>
  <si>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</si>
  <si>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</si>
  <si>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</si>
  <si>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</si>
  <si>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</si>
  <si>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</si>
  <si>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</si>
  <si>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</si>
  <si>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</si>
  <si>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</si>
  <si>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</si>
  <si>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</si>
  <si>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</si>
  <si>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</si>
  <si>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</si>
  <si>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</si>
  <si>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</si>
  <si>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</si>
  <si>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</si>
  <si>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</si>
  <si>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</si>
  <si>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</si>
  <si>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</si>
  <si>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</si>
  <si>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</si>
  <si>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</si>
  <si>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</si>
  <si>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</si>
  <si>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</si>
  <si>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</si>
  <si>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</si>
  <si>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</si>
  <si>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</si>
  <si>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</si>
  <si>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</si>
  <si>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</si>
  <si>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</si>
  <si>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</si>
  <si>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</si>
  <si>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</si>
  <si>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</si>
  <si>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</si>
  <si>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</si>
  <si>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</si>
  <si>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</si>
  <si>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</si>
  <si>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</si>
  <si>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</si>
  <si>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</si>
  <si>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</si>
  <si>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</si>
  <si>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</si>
  <si>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</si>
  <si>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</si>
  <si>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</si>
  <si>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</si>
  <si>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</si>
  <si>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</si>
  <si>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</si>
  <si>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</si>
  <si>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</si>
  <si>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</si>
  <si>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</si>
  <si>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</si>
  <si>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</si>
  <si>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</si>
  <si>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</si>
  <si>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</si>
  <si>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</si>
  <si>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</si>
  <si>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</si>
  <si>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</si>
  <si>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</si>
  <si>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</si>
  <si>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</si>
  <si>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</si>
  <si>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</si>
  <si>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</si>
  <si>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</si>
  <si>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</si>
  <si>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</si>
  <si>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</si>
  <si>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</si>
  <si>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</si>
  <si>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</si>
  <si>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</si>
  <si>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</si>
  <si>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</si>
  <si>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</si>
  <si>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</si>
  <si>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</si>
  <si>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</si>
  <si>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</si>
  <si>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</si>
  <si>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</si>
  <si>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</si>
  <si>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</si>
  <si>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</si>
  <si>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</si>
  <si>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</si>
  <si>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</si>
  <si>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</si>
  <si>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</si>
  <si>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</si>
  <si>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</si>
  <si>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</si>
  <si>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</si>
  <si>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</si>
  <si>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</si>
  <si>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</si>
  <si>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</si>
  <si>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</si>
  <si>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</si>
  <si>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</si>
  <si>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</si>
  <si>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</si>
  <si>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</si>
  <si>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</si>
  <si>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</si>
  <si>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</si>
  <si>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</si>
  <si>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</si>
  <si>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</si>
  <si>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</si>
  <si>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</si>
  <si>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</si>
  <si>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</si>
  <si>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</si>
  <si>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</si>
  <si>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</si>
  <si>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</si>
  <si>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</si>
  <si>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</si>
  <si>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</si>
  <si>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</si>
  <si>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</si>
  <si>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</si>
  <si>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</si>
  <si>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</si>
  <si>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</si>
  <si>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</si>
  <si>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</si>
  <si>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</si>
  <si>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</si>
  <si>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</si>
  <si>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</si>
  <si>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</si>
  <si>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</si>
  <si>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</si>
  <si>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</si>
  <si>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</si>
  <si>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</si>
  <si>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</si>
  <si>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</si>
  <si>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</si>
  <si>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</si>
  <si>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</si>
  <si>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</si>
  <si>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</si>
  <si>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</si>
  <si>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</si>
  <si>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</si>
  <si>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</si>
  <si>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</si>
  <si>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</si>
  <si>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</si>
  <si>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</si>
  <si>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</si>
  <si>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</si>
  <si>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</si>
  <si>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</si>
  <si>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</si>
  <si>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</si>
  <si>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</si>
  <si>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</si>
  <si>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</si>
  <si>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</si>
  <si>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</si>
  <si>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</si>
  <si>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</si>
  <si>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</si>
  <si>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</si>
  <si>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</si>
  <si>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</si>
  <si>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</si>
  <si>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</si>
  <si>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</si>
  <si>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</si>
  <si>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</si>
  <si>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</si>
  <si>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</si>
  <si>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</si>
  <si>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</si>
  <si>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</si>
  <si>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</si>
  <si>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</si>
  <si>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</si>
  <si>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</si>
  <si>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</si>
  <si>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</si>
  <si>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</si>
  <si>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</si>
  <si>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</si>
  <si>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</si>
  <si>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</si>
  <si>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</si>
  <si>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</si>
  <si>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</si>
  <si>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</si>
  <si>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</si>
  <si>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</si>
  <si>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</si>
  <si>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</si>
  <si>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</si>
  <si>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</si>
  <si>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</si>
  <si>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</si>
  <si>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</si>
  <si>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</si>
  <si>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</si>
  <si>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</si>
  <si>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</si>
  <si>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</si>
  <si>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</si>
  <si>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</si>
  <si>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</si>
  <si>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</si>
  <si>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</si>
  <si>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</si>
  <si>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</si>
  <si>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</si>
  <si>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</si>
  <si>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</si>
  <si>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</si>
  <si>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</si>
  <si>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</si>
  <si>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</si>
  <si>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</si>
  <si>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</si>
  <si>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</si>
  <si>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</si>
  <si>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</si>
  <si>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</si>
  <si>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</si>
  <si>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</si>
  <si>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</si>
  <si>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</si>
  <si>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</si>
  <si>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</si>
  <si>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</si>
  <si>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</si>
  <si>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</si>
  <si>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</si>
  <si>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</si>
  <si>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</si>
  <si>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</si>
  <si>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</si>
  <si>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</si>
  <si>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</si>
  <si>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</si>
  <si>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</si>
  <si>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</si>
  <si>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</si>
  <si>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</si>
  <si>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</si>
  <si>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</si>
  <si>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</si>
  <si>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</si>
  <si>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</si>
  <si>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</si>
  <si>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</si>
  <si>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</si>
  <si>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</si>
  <si>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</si>
  <si>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</si>
  <si>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</si>
  <si>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</si>
  <si>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</si>
  <si>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</si>
  <si>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</si>
  <si>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</si>
  <si>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</si>
  <si>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</si>
  <si>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</si>
  <si>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</si>
  <si>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</si>
  <si>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</si>
  <si>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</si>
  <si>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</si>
  <si>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</si>
  <si>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</si>
  <si>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</si>
  <si>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</si>
  <si>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</si>
  <si>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</si>
  <si>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</si>
  <si>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</si>
  <si>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</si>
  <si>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</si>
  <si>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</si>
  <si>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</si>
  <si>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</si>
  <si>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</si>
  <si>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</si>
  <si>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</si>
  <si>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</si>
  <si>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</si>
  <si>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</si>
  <si>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</si>
  <si>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</si>
  <si>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</si>
  <si>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</si>
  <si>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</si>
  <si>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</si>
  <si>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</si>
  <si>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</si>
  <si>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</si>
  <si>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</si>
  <si>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</si>
  <si>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</si>
  <si>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</si>
  <si>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</si>
  <si>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</si>
  <si>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</si>
  <si>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</si>
  <si>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</si>
  <si>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</si>
  <si>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</si>
  <si>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</si>
  <si>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</si>
  <si>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</si>
  <si>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</si>
  <si>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</si>
  <si>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</si>
  <si>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</si>
  <si>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</si>
  <si>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</si>
  <si>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</si>
  <si>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</si>
  <si>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</si>
  <si>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</si>
  <si>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</si>
  <si>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</si>
  <si>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</si>
  <si>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</si>
  <si>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</si>
  <si>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</si>
  <si>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</si>
  <si>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</si>
  <si>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</si>
  <si>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</si>
  <si>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</si>
  <si>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</si>
  <si>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</si>
  <si>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</si>
  <si>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</si>
  <si>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</si>
  <si>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</si>
  <si>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</si>
  <si>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</si>
  <si>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</si>
  <si>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</si>
  <si>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</si>
  <si>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</si>
  <si>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</si>
  <si>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</si>
  <si>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</si>
  <si>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</si>
  <si>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</si>
  <si>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</si>
  <si>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</si>
  <si>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</si>
  <si>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</si>
  <si>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</si>
  <si>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</si>
  <si>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</si>
  <si>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</si>
  <si>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</si>
  <si>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</si>
  <si>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</si>
  <si>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</si>
  <si>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</si>
  <si>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</si>
  <si>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</si>
  <si>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</si>
  <si>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</si>
  <si>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</si>
  <si>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</si>
  <si>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</si>
  <si>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</si>
  <si>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</si>
  <si>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</si>
  <si>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</si>
  <si>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</si>
  <si>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</si>
  <si>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</si>
  <si>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</si>
  <si>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</si>
  <si>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</si>
  <si>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</si>
  <si>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</si>
  <si>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</si>
  <si>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</si>
  <si>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</si>
  <si>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</si>
  <si>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</si>
  <si>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</si>
  <si>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</si>
  <si>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</si>
  <si>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</si>
  <si>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</si>
  <si>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</si>
  <si>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</si>
  <si>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</si>
  <si>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</si>
  <si>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</si>
  <si>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</si>
  <si>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</si>
  <si>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</si>
  <si>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</si>
  <si>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</si>
  <si>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</si>
  <si>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</si>
  <si>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</si>
  <si>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</si>
  <si>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</si>
  <si>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T0626JK3520A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</si>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</sst>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13" totalsRowShown="0" headerRowDxfId="86" dataDxfId="85">
  <autoFilter ref="A1:R913" xr:uid="{97E63F84-BDFB-4C38-B1FD-28318E0D1D3F}"/>
  <tableColumns count="18">
    <tableColumn id="1" xr3:uid="{DEBB3640-E433-4779-93BC-95B8FB492623}" name="S.NO" dataDxfId="84">
      <calculatedColumnFormula>ROW()-1</calculatedColumnFormula>
    </tableColumn>
    <tableColumn id="13" xr3:uid="{86C56767-9BFE-4154-9FC1-CEA7C183815E}" name="APPLICATION NO." dataDxfId="83"/>
    <tableColumn id="2" xr3:uid="{6ABB4EDF-0F58-40D7-979C-D37D8D91A6BC}" name="CHASSIS" dataDxfId="82"/>
    <tableColumn id="17" xr3:uid="{0BBF5E4D-B8B0-4055-8D5F-3A6BB4D4A4DA}" name="ENGINE NO." dataDxfId="81"/>
    <tableColumn id="3" xr3:uid="{285CC4F4-4CD1-4FFC-A101-ED051DA40438}" name="NAME" dataDxfId="80"/>
    <tableColumn id="4" xr3:uid="{28DC8B59-EFA0-4502-86B0-033B0B60D615}" name="MODEL" dataDxfId="79"/>
    <tableColumn id="14" xr3:uid="{B25F5A6A-3B72-4772-B75C-D86670F35131}" name="COLOR" dataDxfId="78"/>
    <tableColumn id="15" xr3:uid="{22F5E9AE-FC4E-4EBD-ADBF-5C93F85B331F}" name="RTO" dataDxfId="77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6"/>
    <tableColumn id="6" xr3:uid="{9942893D-0703-456F-8072-CD136C7B4052}" name="DATE OF REG" dataDxfId="75"/>
    <tableColumn id="12" xr3:uid="{CC83ADC7-1924-4CE0-83FB-B2DFBEF7A193}" name="CONTACT" dataDxfId="74"/>
    <tableColumn id="7" xr3:uid="{3AD2B0D9-D7A5-46E0-B596-F6B7F1CDDEA6}" name="DSE" dataDxfId="73"/>
    <tableColumn id="8" xr3:uid="{475221AE-3FDC-4CED-B76C-4DA1DD4F8AD9}" name="RC RECEIVED BY" dataDxfId="72"/>
    <tableColumn id="9" xr3:uid="{F594ED7D-6966-47AC-A5C3-25754B73A3CC}" name="DATE" dataDxfId="71"/>
    <tableColumn id="10" xr3:uid="{452E3ECD-E927-4EC7-A8A2-4A866233750E}" name="FASTTAG" dataDxfId="70"/>
    <tableColumn id="11" xr3:uid="{CFEE5573-D700-4B26-B382-BCA8210C54C2}" name="DATED" dataDxfId="69"/>
    <tableColumn id="16" xr3:uid="{07363D0C-2FBE-403B-A617-BDB5768FAC43}" name="FT STATUS" dataDxfId="68"/>
    <tableColumn id="19" xr3:uid="{9456CF5E-F4D1-41FB-BAEA-332735A8583D}" name="REMARKS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6" dataDxfId="64" headerRowBorderDxfId="65" tableBorderDxfId="63">
  <autoFilter ref="A1:U1475" xr:uid="{D370B51C-D08F-47BE-AAB1-EC19B1CB5D0A}"/>
  <tableColumns count="21">
    <tableColumn id="1" xr3:uid="{F2AB5776-2910-4922-8F7A-A29B241AFBFB}" name="S.NO" dataDxfId="62"/>
    <tableColumn id="2" xr3:uid="{BD6FD91D-E737-4D6A-B00A-D80EC1A61CA8}" name="DATE" dataDxfId="61"/>
    <tableColumn id="3" xr3:uid="{523BFE7D-9361-4DD0-92B3-69A6F8F0C3E9}" name="CUSTOMER NAME" dataDxfId="60"/>
    <tableColumn id="4" xr3:uid="{D470DE80-5E84-419F-ABF9-6269311CD45E}" name="MARUTI" dataDxfId="59"/>
    <tableColumn id="5" xr3:uid="{89C10B6F-C9EE-4AD2-A610-262BFCF29B4E}" name="MODEL OR VARIANT" dataDxfId="58"/>
    <tableColumn id="6" xr3:uid="{9CB69D3E-706F-4EED-A315-D5399BE00D5C}" name="RTO" dataDxfId="57"/>
    <tableColumn id="7" xr3:uid="{2FB81954-C8D6-43B3-92E2-574B07BBFCCB}" name="VEHICLE CLASS" dataDxfId="56"/>
    <tableColumn id="8" xr3:uid="{1892A735-1187-4E6C-8786-9B173567AAD2}" name="REG. NO" dataDxfId="55"/>
    <tableColumn id="9" xr3:uid="{AFB37B1C-50E7-42BE-BC49-27B4D7E4E829}" name="VIN" dataDxfId="54"/>
    <tableColumn id="10" xr3:uid="{A3569458-1056-4E90-B079-94E3430A5743}" name="APPLICATION NO." dataDxfId="53"/>
    <tableColumn id="11" xr3:uid="{E25E7D92-4EC4-485D-93B8-A15B0538604A}" name="RTO AMMOUNT " dataDxfId="52"/>
    <tableColumn id="12" xr3:uid="{DB89535A-8F36-4EF8-B62C-86ABB378F51F}" name="HSRP" dataDxfId="51"/>
    <tableColumn id="13" xr3:uid="{6BD25826-954F-49C4-BE9E-24422B1B85BE}" name="ACCOUNT" dataDxfId="50"/>
    <tableColumn id="14" xr3:uid="{974951AE-D99C-487A-9DB5-065DA8DD25D4}" name="RM NAME" dataDxfId="49"/>
    <tableColumn id="15" xr3:uid="{FA4014CD-BE60-4554-9D6D-C0CC54B2CA05}" name="PAYMENT MODE" dataDxfId="48"/>
    <tableColumn id="16" xr3:uid="{84C48B22-72C9-4BD7-86AD-D8ECD87C3A64}" name="FILE PUNCHED BY" dataDxfId="47"/>
    <tableColumn id="17" xr3:uid="{87E46E14-6F6C-41D4-BBF8-CEAFAFE4CA8F}" name="PAYMENT ID" dataDxfId="46"/>
    <tableColumn id="18" xr3:uid="{0F2CD467-C868-4769-B436-AE2A25413B52}" name="RC STATUS" dataDxfId="45"/>
    <tableColumn id="19" xr3:uid="{0A9FDBF9-6418-4F2B-8B46-BE05C8150A04}" name="RC GIVEN DATE" dataDxfId="44"/>
    <tableColumn id="20" xr3:uid="{3A50F2B6-47D6-4A09-AA43-188FC568EA57}" name="FASTTAG ISSUE" dataDxfId="43"/>
    <tableColumn id="21" xr3:uid="{E4802D5D-D65F-42D3-B57E-E27729185964}" name="FASTTAG ISSUE DATE 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1" dataDxfId="40">
  <autoFilter ref="A2:I15" xr:uid="{74ED0DA7-B29F-4043-B63E-2DC322D6021E}"/>
  <tableColumns count="9">
    <tableColumn id="1" xr3:uid="{245016D5-DEB3-4F3E-B449-3096C2EF947B}" name="S.No." dataDxfId="39">
      <calculatedColumnFormula>ROW()-2</calculatedColumnFormula>
    </tableColumn>
    <tableColumn id="2" xr3:uid="{77ED4F47-8FDC-4F18-AB35-3830D899313B}" name="Dated" dataDxfId="38"/>
    <tableColumn id="3" xr3:uid="{67393A8B-58A2-4A4E-AA68-362B9B4F4E28}" name="Vehicle Num." dataDxfId="37"/>
    <tableColumn id="4" xr3:uid="{2C031EFD-E44B-468B-BEF0-3C97412F5E2E}" name="Name" dataDxfId="36"/>
    <tableColumn id="5" xr3:uid="{73873638-799E-44F5-B857-93DAE5E0F2FF}" name="Payment Mode" dataDxfId="35"/>
    <tableColumn id="6" xr3:uid="{BFB6E8F7-43C7-4B39-8FF0-E41A5EA5B2D3}" name="Trans Id." dataDxfId="34"/>
    <tableColumn id="8" xr3:uid="{3B1BF0B9-13BC-4A4E-B215-A3056576D199}" name="Trans. Date" dataDxfId="33"/>
    <tableColumn id="9" xr3:uid="{F64CF3FC-8352-46AE-80D1-01DDCE0247AC}" name="Amount" dataDxfId="32"/>
    <tableColumn id="7" xr3:uid="{22AF1F96-D5EA-48BA-A958-A42C203B5287}" name="Remark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06" totalsRowShown="0" headerRowDxfId="30" dataDxfId="29">
  <autoFilter ref="A2:H60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28"/>
    <tableColumn id="11" xr3:uid="{7AA66E15-5D81-45A6-A480-BC2F7EFDEB4C}" name="Name" dataDxfId="27"/>
    <tableColumn id="10" xr3:uid="{DA1D923C-25B3-4F76-823C-435E6464FF55}" name="Contact" dataDxfId="26"/>
    <tableColumn id="2" xr3:uid="{5FEBD558-5EB7-4421-BA25-DCAC1134B168}" name="Barcode No." dataDxfId="25"/>
    <tableColumn id="12" xr3:uid="{77758C8B-F2C8-47C0-B104-570729F9693B}" name="Reg Num" dataDxfId="24"/>
    <tableColumn id="5" xr3:uid="{9AC97A3F-3009-4A59-ACCF-A178780E6F61}" name="Date" dataDxfId="23"/>
    <tableColumn id="7" xr3:uid="{82C8F4C5-8489-4228-83CC-0B9666328CDD}" name="CHANNEL" dataDxfId="22"/>
    <tableColumn id="8" xr3:uid="{DDF1FC61-A0D6-46E9-9515-6DDC5AB1E932}" name="Statu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81"/>
  <sheetViews>
    <sheetView tabSelected="1" topLeftCell="A897" zoomScale="96" zoomScaleNormal="96" workbookViewId="0">
      <selection activeCell="H916" sqref="H91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11402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11403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11404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11401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11423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11516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11427</v>
      </c>
    </row>
    <row r="834" spans="1:18" x14ac:dyDescent="0.25">
      <c r="A834" s="21">
        <f t="shared" ref="A834:A897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11584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11470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11421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11331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11332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 t="s">
        <v>6436</v>
      </c>
      <c r="N861" s="22">
        <v>46202</v>
      </c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7705</v>
      </c>
      <c r="N865" s="22">
        <v>46199</v>
      </c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11334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11335</v>
      </c>
      <c r="C868" s="21" t="s">
        <v>11336</v>
      </c>
      <c r="D868" s="21" t="s">
        <v>11337</v>
      </c>
      <c r="E868" s="21" t="s">
        <v>11338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11339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 t="s">
        <v>23</v>
      </c>
      <c r="P868" s="24">
        <v>46196</v>
      </c>
      <c r="Q868" s="21" t="s">
        <v>6454</v>
      </c>
      <c r="R868" s="21" t="s">
        <v>11455</v>
      </c>
    </row>
    <row r="869" spans="1:18" x14ac:dyDescent="0.25">
      <c r="A869" s="21">
        <f t="shared" si="26"/>
        <v>868</v>
      </c>
      <c r="B869" s="21" t="s">
        <v>11341</v>
      </c>
      <c r="C869" s="21" t="s">
        <v>11342</v>
      </c>
      <c r="D869" s="21" t="s">
        <v>11343</v>
      </c>
      <c r="E869" s="21" t="s">
        <v>11344</v>
      </c>
      <c r="F869" s="21" t="s">
        <v>11345</v>
      </c>
      <c r="G869" s="21" t="s">
        <v>197</v>
      </c>
      <c r="H869" s="21" t="str">
        <f t="shared" si="27"/>
        <v>SRINAGAR</v>
      </c>
      <c r="I869" s="21" t="s">
        <v>11346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11347</v>
      </c>
      <c r="D870" s="21" t="s">
        <v>11348</v>
      </c>
      <c r="E870" s="21" t="s">
        <v>11349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11371</v>
      </c>
      <c r="J870" s="22">
        <v>46191</v>
      </c>
      <c r="K870" s="21">
        <v>7889983332</v>
      </c>
      <c r="L870" s="21" t="s">
        <v>11192</v>
      </c>
      <c r="M870" s="23" t="s">
        <v>11405</v>
      </c>
      <c r="N870" s="22">
        <v>46193</v>
      </c>
      <c r="O870" s="21" t="s">
        <v>23</v>
      </c>
      <c r="P870" s="24">
        <v>46192</v>
      </c>
      <c r="Q870" s="21" t="s">
        <v>6454</v>
      </c>
      <c r="R870" s="21"/>
    </row>
    <row r="871" spans="1:18" x14ac:dyDescent="0.25">
      <c r="A871" s="21">
        <f t="shared" si="26"/>
        <v>870</v>
      </c>
      <c r="B871" s="21" t="s">
        <v>11351</v>
      </c>
      <c r="C871" s="21" t="s">
        <v>11352</v>
      </c>
      <c r="D871" s="21" t="s">
        <v>11353</v>
      </c>
      <c r="E871" s="21" t="s">
        <v>11354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11372</v>
      </c>
      <c r="J871" s="22">
        <v>46192</v>
      </c>
      <c r="K871" s="21">
        <v>7006689214</v>
      </c>
      <c r="L871" s="21" t="s">
        <v>11355</v>
      </c>
      <c r="M871" s="23" t="s">
        <v>7705</v>
      </c>
      <c r="N871" s="22">
        <v>46199</v>
      </c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11356</v>
      </c>
      <c r="C872" s="21" t="s">
        <v>11357</v>
      </c>
      <c r="D872" s="21" t="s">
        <v>11358</v>
      </c>
      <c r="E872" s="21" t="s">
        <v>11359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11370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11360</v>
      </c>
      <c r="D873" s="21" t="s">
        <v>11361</v>
      </c>
      <c r="E873" s="21" t="s">
        <v>11362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11368</v>
      </c>
      <c r="J873" s="22">
        <v>46192</v>
      </c>
      <c r="K873" s="21">
        <v>9149654809</v>
      </c>
      <c r="L873" s="21" t="s">
        <v>173</v>
      </c>
      <c r="M873" s="23" t="s">
        <v>7607</v>
      </c>
      <c r="N873" s="22">
        <v>46196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11364</v>
      </c>
      <c r="C874" s="21" t="s">
        <v>11365</v>
      </c>
      <c r="D874" s="21" t="s">
        <v>11366</v>
      </c>
      <c r="E874" s="21" t="s">
        <v>11367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11369</v>
      </c>
      <c r="J874" s="22">
        <v>46192</v>
      </c>
      <c r="K874" s="21">
        <v>9419040502</v>
      </c>
      <c r="L874" s="21" t="s">
        <v>10162</v>
      </c>
      <c r="M874" s="23" t="s">
        <v>11391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11376</v>
      </c>
      <c r="C875" s="21" t="s">
        <v>11373</v>
      </c>
      <c r="D875" s="21" t="s">
        <v>11374</v>
      </c>
      <c r="E875" s="21" t="s">
        <v>11375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11380</v>
      </c>
      <c r="J875" s="22">
        <v>46192</v>
      </c>
      <c r="K875" s="21">
        <v>7006079082</v>
      </c>
      <c r="L875" s="21" t="s">
        <v>68</v>
      </c>
      <c r="M875" s="23" t="s">
        <v>7943</v>
      </c>
      <c r="N875" s="22">
        <v>46197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11385</v>
      </c>
      <c r="C876" s="21" t="s">
        <v>11382</v>
      </c>
      <c r="D876" s="21" t="s">
        <v>11383</v>
      </c>
      <c r="E876" s="21" t="s">
        <v>11384</v>
      </c>
      <c r="F876" s="21" t="s">
        <v>3126</v>
      </c>
      <c r="G876" s="21" t="s">
        <v>6469</v>
      </c>
      <c r="H876" s="21" t="str">
        <f t="shared" ref="H876:H882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11386</v>
      </c>
      <c r="J876" s="22">
        <v>46192</v>
      </c>
      <c r="K876" s="21">
        <v>9469765393</v>
      </c>
      <c r="L876" s="21" t="s">
        <v>18</v>
      </c>
      <c r="M876" s="23" t="s">
        <v>7604</v>
      </c>
      <c r="N876" s="22">
        <v>46195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11392</v>
      </c>
      <c r="C877" s="21" t="s">
        <v>11393</v>
      </c>
      <c r="D877" s="21" t="s">
        <v>11394</v>
      </c>
      <c r="E877" s="21" t="s">
        <v>11395</v>
      </c>
      <c r="F877" s="21" t="s">
        <v>98</v>
      </c>
      <c r="G877" s="21" t="s">
        <v>171</v>
      </c>
      <c r="H877" s="21" t="str">
        <f t="shared" si="29"/>
        <v>BARAMULLA</v>
      </c>
      <c r="I877" s="21" t="s">
        <v>11399</v>
      </c>
      <c r="J877" s="22">
        <v>46192</v>
      </c>
      <c r="K877" s="21">
        <v>9622847452</v>
      </c>
      <c r="L877" s="21" t="s">
        <v>7240</v>
      </c>
      <c r="M877" s="23"/>
      <c r="N877" s="22"/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11387</v>
      </c>
      <c r="C878" s="21" t="s">
        <v>11388</v>
      </c>
      <c r="D878" s="21" t="s">
        <v>11389</v>
      </c>
      <c r="E878" s="21" t="s">
        <v>11390</v>
      </c>
      <c r="F878" s="21" t="s">
        <v>98</v>
      </c>
      <c r="G878" s="21" t="s">
        <v>197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SRINAGAR</v>
      </c>
      <c r="I878" s="21" t="s">
        <v>11408</v>
      </c>
      <c r="J878" s="22">
        <v>46192</v>
      </c>
      <c r="K878" s="21">
        <v>9906594726</v>
      </c>
      <c r="L878" s="21" t="s">
        <v>68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11411</v>
      </c>
      <c r="C879" s="21" t="s">
        <v>11412</v>
      </c>
      <c r="D879" s="21" t="s">
        <v>11413</v>
      </c>
      <c r="E879" s="21" t="s">
        <v>11414</v>
      </c>
      <c r="F879" s="21" t="s">
        <v>12</v>
      </c>
      <c r="G879" s="21" t="s">
        <v>178</v>
      </c>
      <c r="H879" s="21" t="str">
        <f t="shared" si="29"/>
        <v>SRINAGAR</v>
      </c>
      <c r="I879" s="21" t="s">
        <v>11415</v>
      </c>
      <c r="J879" s="22">
        <v>46193</v>
      </c>
      <c r="K879" s="21">
        <v>8899566980</v>
      </c>
      <c r="L879" s="21" t="s">
        <v>2244</v>
      </c>
      <c r="M879" s="23"/>
      <c r="N879" s="22"/>
      <c r="O879" s="21" t="s">
        <v>23</v>
      </c>
      <c r="P879" s="24">
        <v>46193</v>
      </c>
      <c r="Q879" s="21" t="s">
        <v>6454</v>
      </c>
      <c r="R879" s="21"/>
    </row>
    <row r="880" spans="1:18" x14ac:dyDescent="0.25">
      <c r="A880" s="21">
        <f t="shared" si="26"/>
        <v>879</v>
      </c>
      <c r="B880" s="21" t="s">
        <v>11424</v>
      </c>
      <c r="C880" s="21" t="s">
        <v>11425</v>
      </c>
      <c r="D880" s="21" t="s">
        <v>11426</v>
      </c>
      <c r="E880" s="21" t="s">
        <v>1137</v>
      </c>
      <c r="F880" s="21" t="s">
        <v>36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9596384041</v>
      </c>
      <c r="L880" s="21" t="s">
        <v>8591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11429</v>
      </c>
      <c r="C881" s="21" t="s">
        <v>11430</v>
      </c>
      <c r="D881" s="21" t="s">
        <v>11431</v>
      </c>
      <c r="E881" s="21" t="s">
        <v>11432</v>
      </c>
      <c r="F881" s="21" t="s">
        <v>5</v>
      </c>
      <c r="G881" s="21" t="s">
        <v>196</v>
      </c>
      <c r="H881" s="21" t="str">
        <f t="shared" si="29"/>
        <v>PULWAMA</v>
      </c>
      <c r="I881" s="21" t="s">
        <v>11434</v>
      </c>
      <c r="J881" s="22">
        <v>46195</v>
      </c>
      <c r="K881" s="21">
        <v>9622907844</v>
      </c>
      <c r="L881" s="21" t="s">
        <v>7228</v>
      </c>
      <c r="M881" s="23" t="s">
        <v>7705</v>
      </c>
      <c r="N881" s="22">
        <v>46199</v>
      </c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11435</v>
      </c>
      <c r="C882" s="21" t="s">
        <v>11436</v>
      </c>
      <c r="D882" s="21" t="s">
        <v>11437</v>
      </c>
      <c r="E882" s="21" t="s">
        <v>11438</v>
      </c>
      <c r="F882" s="21" t="s">
        <v>12</v>
      </c>
      <c r="G882" s="21" t="s">
        <v>178</v>
      </c>
      <c r="H882" s="21" t="str">
        <f t="shared" si="29"/>
        <v>PULWAMA</v>
      </c>
      <c r="I882" s="21" t="s">
        <v>11439</v>
      </c>
      <c r="J882" s="22">
        <v>46195</v>
      </c>
      <c r="K882" s="21">
        <v>7006623287</v>
      </c>
      <c r="L882" s="21" t="s">
        <v>9902</v>
      </c>
      <c r="M882" s="23" t="s">
        <v>11329</v>
      </c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 t="s">
        <v>11440</v>
      </c>
      <c r="C883" s="21" t="s">
        <v>11441</v>
      </c>
      <c r="D883" s="21" t="s">
        <v>11442</v>
      </c>
      <c r="E883" s="21" t="s">
        <v>11443</v>
      </c>
      <c r="F883" s="21" t="s">
        <v>36</v>
      </c>
      <c r="G883" s="21" t="s">
        <v>171</v>
      </c>
      <c r="H883" s="21" t="str">
        <f t="shared" ref="H883:H888" si="30">IF(LEFT(I883,4)="JK13","PULWAMA",IF(LEFT(I883,4)="JK01","SRINAGAR",IF(LEFT(I883,4)="JK04","BUDGAM",IF(LEFT(I883,4)="JK03","ANANTNAG",IF(LEFT(I883,4)="LA01","KARGIL",IF(LEFT(I883,4)="JK05","BARAMULLA",IF(LEFT(I883,4)="26BH","BHARAT",IF(LEFT(I883,4)="25BH","BHARAT",IF(LEFT(I883,4)="JK12","POONCH",IF(LEFT(I883,4)="JK16","GANDERBAL",IF(LEFT(I883,4)="JK18","KULGAM",IF(LEFT(I883,4)="JK22","SHOPIAN",IF(LEFT(I883,4)="JK02","JAMMU",IF(LEFT(I883,4)="JK09","KUPWARA",IF(LEFT(I883,4)="JK15","BANDIPORA",IF(LEFT(I883,4)="JK17","KISHTWAR",IF(LEFT(I883,4)="LA01","KARGIL",IF(LEFT(I883,1)="T","TEMP","NEW"))))))))))))))))))</f>
        <v>PULWAMA</v>
      </c>
      <c r="I883" s="21" t="s">
        <v>11454</v>
      </c>
      <c r="J883" s="22">
        <v>46196</v>
      </c>
      <c r="K883" s="21">
        <v>9149740071</v>
      </c>
      <c r="L883" s="21" t="s">
        <v>7689</v>
      </c>
      <c r="M883" s="23"/>
      <c r="N883" s="22"/>
      <c r="O883" s="21"/>
      <c r="P883" s="24"/>
      <c r="Q883" s="21"/>
      <c r="R883" s="21"/>
    </row>
    <row r="884" spans="1:18" x14ac:dyDescent="0.25">
      <c r="A884" s="21">
        <f t="shared" si="26"/>
        <v>883</v>
      </c>
      <c r="B884" s="21" t="s">
        <v>11447</v>
      </c>
      <c r="C884" s="21" t="s">
        <v>11444</v>
      </c>
      <c r="D884" s="21" t="s">
        <v>11445</v>
      </c>
      <c r="E884" s="21" t="s">
        <v>11446</v>
      </c>
      <c r="F884" s="21" t="s">
        <v>65</v>
      </c>
      <c r="G884" s="21" t="s">
        <v>197</v>
      </c>
      <c r="H884" s="21" t="str">
        <f t="shared" si="30"/>
        <v>KUPWARA</v>
      </c>
      <c r="I884" s="21" t="s">
        <v>11453</v>
      </c>
      <c r="J884" s="22">
        <v>46196</v>
      </c>
      <c r="K884" s="21">
        <v>9797226096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11451</v>
      </c>
      <c r="C885" s="21" t="s">
        <v>11448</v>
      </c>
      <c r="D885" s="21" t="s">
        <v>11449</v>
      </c>
      <c r="E885" s="21" t="s">
        <v>11450</v>
      </c>
      <c r="F885" s="21" t="s">
        <v>36</v>
      </c>
      <c r="G885" s="21" t="s">
        <v>196</v>
      </c>
      <c r="H885" s="21" t="str">
        <f t="shared" si="30"/>
        <v>ANANTNAG</v>
      </c>
      <c r="I885" s="21" t="s">
        <v>11452</v>
      </c>
      <c r="J885" s="22">
        <v>46196</v>
      </c>
      <c r="K885" s="21">
        <v>9797131308</v>
      </c>
      <c r="L885" s="21" t="s">
        <v>26</v>
      </c>
      <c r="M885" s="23"/>
      <c r="N885" s="22"/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11458</v>
      </c>
      <c r="C886" s="21" t="s">
        <v>11459</v>
      </c>
      <c r="D886" s="21" t="s">
        <v>11460</v>
      </c>
      <c r="E886" s="21" t="s">
        <v>11461</v>
      </c>
      <c r="F886" s="21" t="s">
        <v>7391</v>
      </c>
      <c r="G886" s="21" t="s">
        <v>178</v>
      </c>
      <c r="H886" s="21" t="str">
        <f t="shared" si="30"/>
        <v>SRINAGAR</v>
      </c>
      <c r="I886" s="21" t="s">
        <v>11462</v>
      </c>
      <c r="J886" s="22">
        <v>46196</v>
      </c>
      <c r="K886" s="21">
        <v>9906522960</v>
      </c>
      <c r="L886" s="21" t="s">
        <v>73</v>
      </c>
      <c r="M886" s="23" t="s">
        <v>7883</v>
      </c>
      <c r="N886" s="22">
        <v>46197</v>
      </c>
      <c r="O886" s="21" t="s">
        <v>23</v>
      </c>
      <c r="P886" s="24">
        <v>46196</v>
      </c>
      <c r="Q886" s="21" t="s">
        <v>6454</v>
      </c>
      <c r="R886" s="21"/>
    </row>
    <row r="887" spans="1:18" x14ac:dyDescent="0.25">
      <c r="A887" s="21">
        <f t="shared" si="26"/>
        <v>886</v>
      </c>
      <c r="B887" s="21" t="s">
        <v>11379</v>
      </c>
      <c r="C887" s="21" t="s">
        <v>11378</v>
      </c>
      <c r="D887" s="21" t="s">
        <v>11381</v>
      </c>
      <c r="E887" s="21" t="s">
        <v>11377</v>
      </c>
      <c r="F887" s="21" t="s">
        <v>98</v>
      </c>
      <c r="G887" s="21" t="s">
        <v>171</v>
      </c>
      <c r="H887" s="21" t="str">
        <f>IF(LEFT(I887,4)="JK13","PULWAMA",IF(LEFT(I887,4)="JK01","SRINAGAR",IF(LEFT(I887,4)="JK04","BUDGAM",IF(LEFT(I887,4)="JK03","ANANTNAG",IF(LEFT(I887,4)="LA01","KARGIL",IF(LEFT(I887,4)="JK05","BARAMULLA",IF(LEFT(I887,4)="26BH","BHARAT",IF(LEFT(I887,4)="25BH","BHARAT",IF(LEFT(I887,4)="JK12","POONCH",IF(LEFT(I887,4)="JK16","GANDERBAL",IF(LEFT(I887,4)="JK18","KULGAM",IF(LEFT(I887,4)="JK22","SHOPIAN",IF(LEFT(I887,4)="JK02","JAMMU",IF(LEFT(I887,4)="JK09","KUPWARA",IF(LEFT(I887,4)="JK15","BANDIPORA",IF(LEFT(I887,4)="JK17","KISHTWAR",IF(LEFT(I887,4)="LA01","KARGIL",IF(LEFT(I887,1)="T","TEMP","NEW"))))))))))))))))))</f>
        <v>BHARAT</v>
      </c>
      <c r="I887" s="21" t="s">
        <v>11463</v>
      </c>
      <c r="J887" s="22">
        <v>46192</v>
      </c>
      <c r="K887" s="21">
        <v>9978492818</v>
      </c>
      <c r="L887" s="21" t="s">
        <v>26</v>
      </c>
      <c r="M887" s="23"/>
      <c r="N887" s="22"/>
      <c r="O887" s="21"/>
      <c r="P887" s="24"/>
      <c r="Q887" s="21"/>
      <c r="R887" s="21"/>
    </row>
    <row r="888" spans="1:18" x14ac:dyDescent="0.25">
      <c r="A888" s="21">
        <f t="shared" si="26"/>
        <v>887</v>
      </c>
      <c r="B888" s="21" t="s">
        <v>11464</v>
      </c>
      <c r="C888" s="21" t="s">
        <v>11465</v>
      </c>
      <c r="D888" s="21" t="s">
        <v>11466</v>
      </c>
      <c r="E888" s="21" t="s">
        <v>11467</v>
      </c>
      <c r="F888" s="21" t="s">
        <v>98</v>
      </c>
      <c r="G888" s="21" t="s">
        <v>171</v>
      </c>
      <c r="H888" s="21" t="str">
        <f t="shared" si="30"/>
        <v>SHOPIAN</v>
      </c>
      <c r="I888" s="21" t="s">
        <v>11469</v>
      </c>
      <c r="J888" s="22">
        <v>46196</v>
      </c>
      <c r="K888" s="21">
        <v>7006467400</v>
      </c>
      <c r="L888" s="21" t="s">
        <v>11468</v>
      </c>
      <c r="M888" s="23" t="s">
        <v>11604</v>
      </c>
      <c r="N888" s="22">
        <v>46202</v>
      </c>
      <c r="O888" s="21" t="s">
        <v>23</v>
      </c>
      <c r="P888" s="24">
        <v>46196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11474</v>
      </c>
      <c r="C889" s="21" t="s">
        <v>11471</v>
      </c>
      <c r="D889" s="21" t="s">
        <v>11472</v>
      </c>
      <c r="E889" s="21" t="s">
        <v>11473</v>
      </c>
      <c r="F889" s="21" t="s">
        <v>12</v>
      </c>
      <c r="G889" s="21" t="s">
        <v>197</v>
      </c>
      <c r="H889" s="21" t="str">
        <f t="shared" ref="H889:H894" si="31">IF(LEFT(I889,4)="JK13","PULWAMA",IF(LEFT(I889,4)="JK01","SRINAGAR",IF(LEFT(I889,4)="JK04","BUDGAM",IF(LEFT(I889,4)="JK03","ANANTNAG",IF(LEFT(I889,4)="LA01","KARGIL",IF(LEFT(I889,4)="JK05","BARAMULLA",IF(LEFT(I889,4)="26BH","BHARAT",IF(LEFT(I889,4)="25BH","BHARAT",IF(LEFT(I889,4)="JK12","POONCH",IF(LEFT(I889,4)="JK16","GANDERBAL",IF(LEFT(I889,4)="JK18","KULGAM",IF(LEFT(I889,4)="JK22","SHOPIAN",IF(LEFT(I889,4)="JK02","JAMMU",IF(LEFT(I889,4)="JK09","KUPWARA",IF(LEFT(I889,4)="JK15","BANDIPORA",IF(LEFT(I889,4)="JK17","KISHTWAR",IF(LEFT(I889,4)="LA01","KARGIL",IF(LEFT(I889,1)="T","TEMP","NEW"))))))))))))))))))</f>
        <v>SRINAGAR</v>
      </c>
      <c r="I889" s="21" t="s">
        <v>11489</v>
      </c>
      <c r="J889" s="22">
        <v>46196</v>
      </c>
      <c r="K889" s="21">
        <v>9419944287</v>
      </c>
      <c r="L889" s="21" t="s">
        <v>10162</v>
      </c>
      <c r="M889" s="23" t="s">
        <v>10507</v>
      </c>
      <c r="N889" s="22">
        <v>46197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11478</v>
      </c>
      <c r="C890" s="21" t="s">
        <v>11475</v>
      </c>
      <c r="D890" s="21" t="s">
        <v>11476</v>
      </c>
      <c r="E890" s="21" t="s">
        <v>11477</v>
      </c>
      <c r="F890" s="21" t="s">
        <v>12</v>
      </c>
      <c r="G890" s="21" t="s">
        <v>178</v>
      </c>
      <c r="H890" s="21" t="str">
        <f t="shared" si="31"/>
        <v>ANANTNAG</v>
      </c>
      <c r="I890" s="21" t="s">
        <v>11487</v>
      </c>
      <c r="J890" s="22">
        <v>46196</v>
      </c>
      <c r="K890" s="21">
        <v>9070193564</v>
      </c>
      <c r="L890" s="21" t="s">
        <v>26</v>
      </c>
      <c r="M890" s="23"/>
      <c r="N890" s="22"/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11482</v>
      </c>
      <c r="C891" s="21" t="s">
        <v>11479</v>
      </c>
      <c r="D891" s="21" t="s">
        <v>11480</v>
      </c>
      <c r="E891" s="21" t="s">
        <v>11481</v>
      </c>
      <c r="F891" s="21" t="s">
        <v>12</v>
      </c>
      <c r="G891" s="21" t="s">
        <v>171</v>
      </c>
      <c r="H891" s="21" t="str">
        <f t="shared" si="31"/>
        <v>SRINAGAR</v>
      </c>
      <c r="I891" s="21" t="s">
        <v>11488</v>
      </c>
      <c r="J891" s="22">
        <v>46196</v>
      </c>
      <c r="K891" s="21">
        <v>7006231817</v>
      </c>
      <c r="L891" s="21" t="s">
        <v>191</v>
      </c>
      <c r="M891" s="23" t="s">
        <v>7606</v>
      </c>
      <c r="N891" s="22">
        <v>46197</v>
      </c>
      <c r="O891" s="21" t="s">
        <v>23</v>
      </c>
      <c r="P891" s="24">
        <v>46197</v>
      </c>
      <c r="Q891" s="21" t="s">
        <v>6454</v>
      </c>
      <c r="R891" s="21"/>
    </row>
    <row r="892" spans="1:18" x14ac:dyDescent="0.25">
      <c r="A892" s="21">
        <f t="shared" si="26"/>
        <v>891</v>
      </c>
      <c r="B892" s="21" t="s">
        <v>11490</v>
      </c>
      <c r="C892" s="21" t="s">
        <v>11491</v>
      </c>
      <c r="D892" s="21" t="s">
        <v>11492</v>
      </c>
      <c r="E892" s="21" t="s">
        <v>11493</v>
      </c>
      <c r="F892" s="21" t="s">
        <v>65</v>
      </c>
      <c r="G892" s="21" t="s">
        <v>196</v>
      </c>
      <c r="H892" s="21" t="str">
        <f t="shared" si="31"/>
        <v>SRINAGAR</v>
      </c>
      <c r="I892" s="21" t="s">
        <v>11502</v>
      </c>
      <c r="J892" s="22">
        <v>46197</v>
      </c>
      <c r="K892" s="21">
        <v>9622647542</v>
      </c>
      <c r="L892" s="21" t="s">
        <v>2168</v>
      </c>
      <c r="M892" s="23" t="s">
        <v>7943</v>
      </c>
      <c r="N892" s="22">
        <v>46202</v>
      </c>
      <c r="O892" s="21" t="s">
        <v>23</v>
      </c>
      <c r="P892" s="24">
        <v>46197</v>
      </c>
      <c r="Q892" s="21" t="s">
        <v>6454</v>
      </c>
      <c r="R892" s="21" t="s">
        <v>11500</v>
      </c>
    </row>
    <row r="893" spans="1:18" x14ac:dyDescent="0.25">
      <c r="A893" s="21">
        <f t="shared" si="26"/>
        <v>892</v>
      </c>
      <c r="B893" s="21" t="s">
        <v>11497</v>
      </c>
      <c r="C893" s="21" t="s">
        <v>11494</v>
      </c>
      <c r="D893" s="21" t="s">
        <v>11495</v>
      </c>
      <c r="E893" s="21" t="s">
        <v>11496</v>
      </c>
      <c r="F893" s="21" t="s">
        <v>234</v>
      </c>
      <c r="G893" s="21" t="s">
        <v>178</v>
      </c>
      <c r="H893" s="21" t="str">
        <f t="shared" si="31"/>
        <v>SRINAGAR</v>
      </c>
      <c r="I893" s="21" t="s">
        <v>11501</v>
      </c>
      <c r="J893" s="22">
        <v>46197</v>
      </c>
      <c r="K893" s="21">
        <v>9419093820</v>
      </c>
      <c r="L893" s="21" t="s">
        <v>1513</v>
      </c>
      <c r="M893" s="23" t="s">
        <v>7768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11503</v>
      </c>
      <c r="C894" s="21" t="s">
        <v>11504</v>
      </c>
      <c r="D894" s="21" t="s">
        <v>11505</v>
      </c>
      <c r="E894" s="21" t="s">
        <v>1946</v>
      </c>
      <c r="F894" s="21" t="s">
        <v>5</v>
      </c>
      <c r="G894" s="21" t="s">
        <v>197</v>
      </c>
      <c r="H894" s="21" t="str">
        <f t="shared" si="31"/>
        <v>BANDIPORA</v>
      </c>
      <c r="I894" s="21" t="s">
        <v>11510</v>
      </c>
      <c r="J894" s="22">
        <v>46197</v>
      </c>
      <c r="K894" s="21">
        <v>7006689027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11506</v>
      </c>
      <c r="C895" s="21" t="s">
        <v>11508</v>
      </c>
      <c r="D895" s="21" t="s">
        <v>11509</v>
      </c>
      <c r="E895" s="21" t="s">
        <v>11507</v>
      </c>
      <c r="F895" s="21" t="s">
        <v>12</v>
      </c>
      <c r="G895" s="21" t="s">
        <v>178</v>
      </c>
      <c r="H895" s="21" t="str">
        <f t="shared" ref="H895:H905" si="32">IF(LEFT(I895,4)="JK13","PULWAMA",IF(LEFT(I895,4)="JK01","SRINAGAR",IF(LEFT(I895,4)="JK04","BUDGAM",IF(LEFT(I895,4)="JK03","ANANTNAG",IF(LEFT(I895,4)="LA01","KARGIL",IF(LEFT(I895,4)="JK05","BARAMULLA",IF(LEFT(I895,4)="26BH","BHARAT",IF(LEFT(I895,4)="25BH","BHARAT",IF(LEFT(I895,4)="JK12","POONCH",IF(LEFT(I895,4)="JK16","GANDERBAL",IF(LEFT(I895,4)="JK18","KULGAM",IF(LEFT(I895,4)="JK22","SHOPIAN",IF(LEFT(I895,4)="JK02","JAMMU",IF(LEFT(I895,4)="JK09","KUPWARA",IF(LEFT(I895,4)="JK15","BANDIPORA",IF(LEFT(I895,4)="JK17","KISHTWAR",IF(LEFT(I895,4)="LA01","KARGIL",IF(LEFT(I895,1)="T","TEMP","NEW"))))))))))))))))))</f>
        <v>BANDIPORA</v>
      </c>
      <c r="I895" s="21" t="s">
        <v>11511</v>
      </c>
      <c r="J895" s="22">
        <v>46197</v>
      </c>
      <c r="K895" s="21">
        <v>7889883897</v>
      </c>
      <c r="L895" s="21" t="s">
        <v>6823</v>
      </c>
      <c r="M895" s="23" t="s">
        <v>9116</v>
      </c>
      <c r="N895" s="22">
        <v>46198</v>
      </c>
      <c r="O895" s="21" t="s">
        <v>23</v>
      </c>
      <c r="P895" s="24">
        <v>46197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11514</v>
      </c>
      <c r="C896" s="21" t="s">
        <v>11512</v>
      </c>
      <c r="D896" s="21" t="s">
        <v>11513</v>
      </c>
      <c r="E896" s="21" t="s">
        <v>683</v>
      </c>
      <c r="F896" s="21" t="s">
        <v>3126</v>
      </c>
      <c r="G896" s="21" t="s">
        <v>197</v>
      </c>
      <c r="H896" s="21" t="str">
        <f t="shared" si="32"/>
        <v>BUDGAM</v>
      </c>
      <c r="I896" s="21" t="s">
        <v>11521</v>
      </c>
      <c r="J896" s="22">
        <v>46197</v>
      </c>
      <c r="K896" s="21">
        <v>7006246665</v>
      </c>
      <c r="L896" s="21" t="s">
        <v>8857</v>
      </c>
      <c r="M896" s="23" t="s">
        <v>7706</v>
      </c>
      <c r="N896" s="22">
        <v>46200</v>
      </c>
      <c r="O896" s="21" t="s">
        <v>23</v>
      </c>
      <c r="P896" s="24">
        <v>46202</v>
      </c>
      <c r="Q896" s="21" t="s">
        <v>6454</v>
      </c>
      <c r="R896" s="21"/>
    </row>
    <row r="897" spans="1:18" x14ac:dyDescent="0.25">
      <c r="A897" s="21">
        <f t="shared" si="26"/>
        <v>896</v>
      </c>
      <c r="B897" s="21" t="s">
        <v>11524</v>
      </c>
      <c r="C897" s="21" t="s">
        <v>11525</v>
      </c>
      <c r="D897" s="21" t="s">
        <v>11527</v>
      </c>
      <c r="E897" s="21" t="s">
        <v>11526</v>
      </c>
      <c r="F897" s="21" t="s">
        <v>12</v>
      </c>
      <c r="G897" s="21" t="s">
        <v>197</v>
      </c>
      <c r="H897" s="21" t="str">
        <f t="shared" si="32"/>
        <v>PULWAMA</v>
      </c>
      <c r="I897" s="21" t="s">
        <v>11528</v>
      </c>
      <c r="J897" s="22">
        <v>46198</v>
      </c>
      <c r="K897" s="21">
        <v>7889628489</v>
      </c>
      <c r="L897" s="21" t="s">
        <v>6515</v>
      </c>
      <c r="M897" s="23" t="s">
        <v>11329</v>
      </c>
      <c r="N897" s="22"/>
      <c r="O897" s="21"/>
      <c r="P897" s="24"/>
      <c r="Q897" s="21"/>
      <c r="R897" s="21"/>
    </row>
    <row r="898" spans="1:18" x14ac:dyDescent="0.25">
      <c r="A898" s="21">
        <f t="shared" ref="A898:A913" si="33">ROW()-1</f>
        <v>897</v>
      </c>
      <c r="B898" s="21" t="s">
        <v>11533</v>
      </c>
      <c r="C898" s="21" t="s">
        <v>11531</v>
      </c>
      <c r="D898" s="21" t="s">
        <v>11532</v>
      </c>
      <c r="E898" s="21" t="s">
        <v>11530</v>
      </c>
      <c r="F898" s="21" t="s">
        <v>12</v>
      </c>
      <c r="G898" s="21" t="s">
        <v>197</v>
      </c>
      <c r="H898" s="21" t="str">
        <f t="shared" si="32"/>
        <v>BUDGAM</v>
      </c>
      <c r="I898" s="21" t="s">
        <v>11529</v>
      </c>
      <c r="J898" s="22">
        <v>46198</v>
      </c>
      <c r="K898" s="21">
        <v>6006350073</v>
      </c>
      <c r="L898" s="21" t="s">
        <v>303</v>
      </c>
      <c r="M898" s="23" t="s">
        <v>8081</v>
      </c>
      <c r="N898" s="22">
        <v>46198</v>
      </c>
      <c r="O898" s="21" t="s">
        <v>23</v>
      </c>
      <c r="P898" s="24">
        <v>46199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11537</v>
      </c>
      <c r="C899" s="21" t="s">
        <v>11534</v>
      </c>
      <c r="D899" s="21" t="s">
        <v>11535</v>
      </c>
      <c r="E899" s="21" t="s">
        <v>11536</v>
      </c>
      <c r="F899" s="21" t="s">
        <v>65</v>
      </c>
      <c r="G899" s="21" t="s">
        <v>196</v>
      </c>
      <c r="H899" s="21" t="str">
        <f t="shared" si="32"/>
        <v>BUDGAM</v>
      </c>
      <c r="I899" s="21" t="s">
        <v>11538</v>
      </c>
      <c r="J899" s="22">
        <v>46198</v>
      </c>
      <c r="K899" s="21">
        <v>8899098549</v>
      </c>
      <c r="L899" s="21" t="s">
        <v>11570</v>
      </c>
      <c r="M899" s="23"/>
      <c r="N899" s="22"/>
      <c r="O899" s="21" t="s">
        <v>23</v>
      </c>
      <c r="P899" s="24">
        <v>46200</v>
      </c>
      <c r="Q899" s="21" t="s">
        <v>6454</v>
      </c>
      <c r="R899" s="21"/>
    </row>
    <row r="900" spans="1:18" x14ac:dyDescent="0.25">
      <c r="A900" s="21">
        <f t="shared" si="33"/>
        <v>899</v>
      </c>
      <c r="B900" s="21" t="s">
        <v>11543</v>
      </c>
      <c r="C900" s="21" t="s">
        <v>11541</v>
      </c>
      <c r="D900" s="21" t="s">
        <v>11542</v>
      </c>
      <c r="E900" s="21" t="s">
        <v>11540</v>
      </c>
      <c r="F900" s="21" t="s">
        <v>12</v>
      </c>
      <c r="G900" s="21" t="s">
        <v>197</v>
      </c>
      <c r="H900" s="21" t="str">
        <f t="shared" si="32"/>
        <v>SRINAGAR</v>
      </c>
      <c r="I900" s="21" t="s">
        <v>11539</v>
      </c>
      <c r="J900" s="22">
        <v>46198</v>
      </c>
      <c r="K900" s="21">
        <v>7006598384</v>
      </c>
      <c r="L900" s="21"/>
      <c r="M900" s="23"/>
      <c r="N900" s="22"/>
      <c r="O900" s="21"/>
      <c r="P900" s="24"/>
      <c r="Q900" s="21"/>
      <c r="R900" s="21"/>
    </row>
    <row r="901" spans="1:18" x14ac:dyDescent="0.25">
      <c r="A901" s="21">
        <f t="shared" si="33"/>
        <v>900</v>
      </c>
      <c r="B901" s="21" t="s">
        <v>11548</v>
      </c>
      <c r="C901" s="21" t="s">
        <v>11544</v>
      </c>
      <c r="D901" s="21" t="s">
        <v>11545</v>
      </c>
      <c r="E901" s="21" t="s">
        <v>11546</v>
      </c>
      <c r="F901" s="21" t="s">
        <v>277</v>
      </c>
      <c r="G901" s="21" t="s">
        <v>196</v>
      </c>
      <c r="H901" s="21" t="str">
        <f t="shared" si="32"/>
        <v>TEMP</v>
      </c>
      <c r="I901" s="21" t="s">
        <v>11547</v>
      </c>
      <c r="J901" s="22">
        <v>46198</v>
      </c>
      <c r="K901" s="21">
        <v>7889410951</v>
      </c>
      <c r="L901" s="21" t="s">
        <v>11562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11549</v>
      </c>
      <c r="C902" s="21" t="s">
        <v>11556</v>
      </c>
      <c r="D902" s="21" t="s">
        <v>11557</v>
      </c>
      <c r="E902" s="21" t="s">
        <v>11555</v>
      </c>
      <c r="F902" s="21" t="s">
        <v>5</v>
      </c>
      <c r="G902" s="21" t="s">
        <v>196</v>
      </c>
      <c r="H902" s="21" t="str">
        <f t="shared" si="32"/>
        <v>TEMP</v>
      </c>
      <c r="I902" s="21" t="s">
        <v>11554</v>
      </c>
      <c r="J902" s="22">
        <v>46199</v>
      </c>
      <c r="K902" s="21">
        <v>8082335039</v>
      </c>
      <c r="L902" s="21" t="s">
        <v>26</v>
      </c>
      <c r="M902" s="23"/>
      <c r="N902" s="22"/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11553</v>
      </c>
      <c r="C903" s="21" t="s">
        <v>11551</v>
      </c>
      <c r="D903" s="21" t="s">
        <v>11550</v>
      </c>
      <c r="E903" s="21" t="s">
        <v>11552</v>
      </c>
      <c r="F903" s="21" t="s">
        <v>5</v>
      </c>
      <c r="G903" s="21" t="s">
        <v>196</v>
      </c>
      <c r="H903" s="21" t="str">
        <f t="shared" si="32"/>
        <v>SRINAGAR</v>
      </c>
      <c r="I903" s="21" t="s">
        <v>11569</v>
      </c>
      <c r="J903" s="22">
        <v>46199</v>
      </c>
      <c r="K903" s="21">
        <v>7006321067</v>
      </c>
      <c r="L903" s="21" t="s">
        <v>18</v>
      </c>
      <c r="M903" s="23" t="s">
        <v>7604</v>
      </c>
      <c r="N903" s="22">
        <v>46202</v>
      </c>
      <c r="O903" s="21"/>
      <c r="P903" s="24"/>
      <c r="Q903" s="21"/>
      <c r="R903" s="21"/>
    </row>
    <row r="904" spans="1:18" x14ac:dyDescent="0.25">
      <c r="A904" s="21">
        <f t="shared" si="33"/>
        <v>903</v>
      </c>
      <c r="B904" s="21" t="s">
        <v>11559</v>
      </c>
      <c r="C904" s="21" t="s">
        <v>11560</v>
      </c>
      <c r="D904" s="21" t="s">
        <v>11561</v>
      </c>
      <c r="E904" s="21" t="s">
        <v>2595</v>
      </c>
      <c r="F904" s="21" t="s">
        <v>940</v>
      </c>
      <c r="G904" s="21" t="s">
        <v>171</v>
      </c>
      <c r="H904" s="21" t="str">
        <f t="shared" si="32"/>
        <v>SRINAGAR</v>
      </c>
      <c r="I904" s="21" t="s">
        <v>11567</v>
      </c>
      <c r="J904" s="22">
        <v>46199</v>
      </c>
      <c r="K904" s="21">
        <v>9419023705</v>
      </c>
      <c r="L904" s="21" t="s">
        <v>26</v>
      </c>
      <c r="M904" s="23" t="s">
        <v>7606</v>
      </c>
      <c r="N904" s="22">
        <v>46202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11566</v>
      </c>
      <c r="C905" s="21" t="s">
        <v>11563</v>
      </c>
      <c r="D905" s="21" t="s">
        <v>11564</v>
      </c>
      <c r="E905" s="21" t="s">
        <v>11565</v>
      </c>
      <c r="F905" s="21" t="s">
        <v>3126</v>
      </c>
      <c r="G905" s="21" t="s">
        <v>6469</v>
      </c>
      <c r="H905" s="21" t="str">
        <f t="shared" si="32"/>
        <v>SRINAGAR</v>
      </c>
      <c r="I905" s="21" t="s">
        <v>11568</v>
      </c>
      <c r="J905" s="22">
        <v>46199</v>
      </c>
      <c r="K905" s="21">
        <v>9596191449</v>
      </c>
      <c r="L905" s="21" t="s">
        <v>547</v>
      </c>
      <c r="M905" s="23"/>
      <c r="N905" s="22"/>
      <c r="O905" s="21" t="s">
        <v>23</v>
      </c>
      <c r="P905" s="24">
        <v>46200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11574</v>
      </c>
      <c r="C906" s="21" t="s">
        <v>11575</v>
      </c>
      <c r="D906" s="21" t="s">
        <v>11576</v>
      </c>
      <c r="E906" s="21" t="s">
        <v>11577</v>
      </c>
      <c r="F906" s="21" t="s">
        <v>5</v>
      </c>
      <c r="G906" s="21" t="s">
        <v>196</v>
      </c>
      <c r="H906" s="21" t="str">
        <f t="shared" ref="H906:H913" si="34">IF(LEFT(I906,4)="JK13","PULWAMA",IF(LEFT(I906,4)="JK01","SRINAGAR",IF(LEFT(I906,4)="JK04","BUDGAM",IF(LEFT(I906,4)="JK03","ANANTNAG",IF(LEFT(I906,4)="LA01","KARGIL",IF(LEFT(I906,4)="JK05","BARAMULLA",IF(LEFT(I906,4)="26BH","BHARAT",IF(LEFT(I906,4)="25BH","BHARAT",IF(LEFT(I906,4)="JK12","POONCH",IF(LEFT(I906,4)="JK16","GANDERBAL",IF(LEFT(I906,4)="JK18","KULGAM",IF(LEFT(I906,4)="JK22","SHOPIAN",IF(LEFT(I906,4)="JK02","JAMMU",IF(LEFT(I906,4)="JK09","KUPWARA",IF(LEFT(I906,4)="JK15","BANDIPORA",IF(LEFT(I906,4)="JK17","KISHTWAR",IF(LEFT(I906,4)="LA01","KARGIL",IF(LEFT(I906,1)="T","TEMP","NEW"))))))))))))))))))</f>
        <v>GANDERBAL</v>
      </c>
      <c r="I906" s="21" t="s">
        <v>11582</v>
      </c>
      <c r="J906" s="22">
        <v>46202</v>
      </c>
      <c r="K906" s="21">
        <v>9622773989</v>
      </c>
      <c r="L906" s="21" t="s">
        <v>6534</v>
      </c>
      <c r="M906" s="23"/>
      <c r="N906" s="22"/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11581</v>
      </c>
      <c r="C907" s="21" t="s">
        <v>11578</v>
      </c>
      <c r="D907" s="21" t="s">
        <v>11579</v>
      </c>
      <c r="E907" s="21" t="s">
        <v>11580</v>
      </c>
      <c r="F907" s="21" t="s">
        <v>12</v>
      </c>
      <c r="G907" s="21" t="s">
        <v>197</v>
      </c>
      <c r="H907" s="21" t="str">
        <f t="shared" si="34"/>
        <v>SRINAGAR</v>
      </c>
      <c r="I907" s="21" t="s">
        <v>11583</v>
      </c>
      <c r="J907" s="22">
        <v>46202</v>
      </c>
      <c r="K907" s="21">
        <v>7006560058</v>
      </c>
      <c r="L907" s="21" t="s">
        <v>26</v>
      </c>
      <c r="M907" s="23"/>
      <c r="N907" s="22"/>
      <c r="O907" s="21" t="s">
        <v>23</v>
      </c>
      <c r="P907" s="24">
        <v>46202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11595</v>
      </c>
      <c r="C908" s="21" t="s">
        <v>11596</v>
      </c>
      <c r="D908" s="21" t="s">
        <v>11597</v>
      </c>
      <c r="E908" s="21" t="s">
        <v>11598</v>
      </c>
      <c r="F908" s="21" t="s">
        <v>98</v>
      </c>
      <c r="G908" s="21" t="s">
        <v>171</v>
      </c>
      <c r="H908" s="21" t="str">
        <f t="shared" si="34"/>
        <v>BUDGAM</v>
      </c>
      <c r="I908" s="21" t="s">
        <v>11599</v>
      </c>
      <c r="J908" s="22">
        <v>46202</v>
      </c>
      <c r="K908" s="21">
        <v>9086419987</v>
      </c>
      <c r="L908" s="21" t="s">
        <v>173</v>
      </c>
      <c r="M908" s="23"/>
      <c r="N908" s="22"/>
      <c r="O908" s="21"/>
      <c r="P908" s="24"/>
      <c r="Q908" s="21"/>
      <c r="R908" s="21"/>
    </row>
    <row r="909" spans="1:18" x14ac:dyDescent="0.25">
      <c r="A909" s="21">
        <f t="shared" si="33"/>
        <v>908</v>
      </c>
      <c r="B909" s="21" t="s">
        <v>11603</v>
      </c>
      <c r="C909" s="21" t="s">
        <v>11600</v>
      </c>
      <c r="D909" s="21" t="s">
        <v>11601</v>
      </c>
      <c r="E909" s="21" t="s">
        <v>11602</v>
      </c>
      <c r="F909" s="21" t="s">
        <v>5</v>
      </c>
      <c r="G909" s="21" t="s">
        <v>196</v>
      </c>
      <c r="H909" s="21" t="str">
        <f t="shared" si="34"/>
        <v>KUPWARA</v>
      </c>
      <c r="I909" s="21" t="s">
        <v>11610</v>
      </c>
      <c r="J909" s="22">
        <v>46202</v>
      </c>
      <c r="K909" s="21">
        <v>7006438844</v>
      </c>
      <c r="L909" s="21" t="s">
        <v>10242</v>
      </c>
      <c r="M909" s="23"/>
      <c r="N909" s="22"/>
      <c r="O909" s="21"/>
      <c r="P909" s="24"/>
      <c r="Q909" s="21"/>
      <c r="R909" s="21"/>
    </row>
    <row r="910" spans="1:18" x14ac:dyDescent="0.25">
      <c r="A910" s="21">
        <f t="shared" si="33"/>
        <v>909</v>
      </c>
      <c r="B910" s="21" t="s">
        <v>11608</v>
      </c>
      <c r="C910" s="21" t="s">
        <v>11605</v>
      </c>
      <c r="D910" s="21" t="s">
        <v>11606</v>
      </c>
      <c r="E910" s="21" t="s">
        <v>11607</v>
      </c>
      <c r="F910" s="21" t="s">
        <v>36</v>
      </c>
      <c r="G910" s="21" t="s">
        <v>196</v>
      </c>
      <c r="H910" s="21" t="str">
        <f t="shared" si="34"/>
        <v>BARAMULLA</v>
      </c>
      <c r="I910" s="21" t="s">
        <v>11609</v>
      </c>
      <c r="J910" s="22">
        <v>46202</v>
      </c>
      <c r="K910" s="21">
        <v>8491965615</v>
      </c>
      <c r="L910" s="21" t="s">
        <v>11309</v>
      </c>
      <c r="M910" s="23"/>
      <c r="N910" s="22"/>
      <c r="O910" s="21"/>
      <c r="P910" s="24"/>
      <c r="Q910" s="21"/>
      <c r="R910" s="21"/>
    </row>
    <row r="911" spans="1:18" x14ac:dyDescent="0.25">
      <c r="A911" s="21">
        <f t="shared" si="33"/>
        <v>910</v>
      </c>
      <c r="B911" s="21" t="s">
        <v>11587</v>
      </c>
      <c r="C911" s="21" t="s">
        <v>11588</v>
      </c>
      <c r="D911" s="21" t="s">
        <v>11590</v>
      </c>
      <c r="E911" s="21" t="s">
        <v>11589</v>
      </c>
      <c r="F911" s="21" t="s">
        <v>5</v>
      </c>
      <c r="G911" s="21" t="s">
        <v>196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KUPWARA</v>
      </c>
      <c r="I911" s="21" t="s">
        <v>11611</v>
      </c>
      <c r="J911" s="22">
        <v>46202</v>
      </c>
      <c r="K911" s="21">
        <v>8899914722</v>
      </c>
      <c r="L911" s="21" t="s">
        <v>6823</v>
      </c>
      <c r="M911" s="23"/>
      <c r="N911" s="22"/>
      <c r="O911" s="21"/>
      <c r="P911" s="24"/>
      <c r="Q911" s="21"/>
      <c r="R911" s="21"/>
    </row>
    <row r="912" spans="1:18" x14ac:dyDescent="0.25">
      <c r="A912" s="21">
        <f t="shared" si="33"/>
        <v>911</v>
      </c>
      <c r="B912" s="21"/>
      <c r="C912" s="21"/>
      <c r="D912" s="21"/>
      <c r="E912" s="21"/>
      <c r="F912" s="21"/>
      <c r="G912" s="21"/>
      <c r="H912" s="21" t="str">
        <f t="shared" si="34"/>
        <v>NEW</v>
      </c>
      <c r="I912" s="21"/>
      <c r="J912" s="22"/>
      <c r="K912" s="21"/>
      <c r="L912" s="21"/>
      <c r="M912" s="23"/>
      <c r="N912" s="22"/>
      <c r="O912" s="21"/>
      <c r="P912" s="24"/>
      <c r="Q912" s="21"/>
      <c r="R912" s="21"/>
    </row>
    <row r="913" spans="1:18" x14ac:dyDescent="0.25">
      <c r="A913" s="21">
        <f t="shared" si="33"/>
        <v>912</v>
      </c>
      <c r="B913" s="21"/>
      <c r="C913" s="21"/>
      <c r="D913" s="21"/>
      <c r="E913" s="21"/>
      <c r="F913" s="21"/>
      <c r="G913" s="21"/>
      <c r="H913" s="21" t="str">
        <f t="shared" si="34"/>
        <v>NEW</v>
      </c>
      <c r="I913" s="21"/>
      <c r="J913" s="22"/>
      <c r="K913" s="21"/>
      <c r="L913" s="21"/>
      <c r="M913" s="23"/>
      <c r="N913" s="22"/>
      <c r="O913" s="21"/>
      <c r="P913" s="24"/>
      <c r="Q913" s="21"/>
      <c r="R913" s="21"/>
    </row>
    <row r="914" spans="1:18" ht="15.75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12"/>
      <c r="K914" s="21"/>
      <c r="L914" s="21"/>
      <c r="M914" t="s">
        <v>43</v>
      </c>
    </row>
    <row r="915" spans="1:18" ht="15.75" x14ac:dyDescent="0.25">
      <c r="A915" s="21"/>
      <c r="B915" s="21"/>
      <c r="C915" s="21"/>
      <c r="D915" s="21"/>
      <c r="E915" s="21"/>
      <c r="F915" s="21"/>
      <c r="G915" s="21"/>
      <c r="H915" s="1"/>
      <c r="I915" s="13"/>
      <c r="K915" s="21"/>
      <c r="L915" s="21"/>
    </row>
    <row r="916" spans="1:18" x14ac:dyDescent="0.25">
      <c r="K916" s="21"/>
    </row>
    <row r="917" spans="1:18" x14ac:dyDescent="0.25">
      <c r="K917" s="21"/>
    </row>
    <row r="918" spans="1:18" x14ac:dyDescent="0.25">
      <c r="K918" s="21"/>
    </row>
    <row r="919" spans="1:18" x14ac:dyDescent="0.25">
      <c r="K919" s="21"/>
    </row>
    <row r="920" spans="1:18" x14ac:dyDescent="0.25">
      <c r="K920" s="21"/>
    </row>
    <row r="922" spans="1:18" x14ac:dyDescent="0.25">
      <c r="K922" s="21"/>
    </row>
    <row r="923" spans="1:18" x14ac:dyDescent="0.25">
      <c r="K923" s="21"/>
    </row>
    <row r="924" spans="1:18" x14ac:dyDescent="0.25">
      <c r="K924" s="21"/>
    </row>
    <row r="925" spans="1:18" x14ac:dyDescent="0.25">
      <c r="K925" s="21"/>
    </row>
    <row r="926" spans="1:18" x14ac:dyDescent="0.25">
      <c r="K926" s="21"/>
    </row>
    <row r="927" spans="1:18" x14ac:dyDescent="0.25">
      <c r="K927" s="21"/>
    </row>
    <row r="928" spans="1:18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x14ac:dyDescent="0.25">
      <c r="K1043" s="20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H830 J830:J835 B830:F839 G831:H831 B832:H834 K832:K836 L833:R834 K835:R835 B835:G839 A838:J838 K838:R852 G839:J839 I839:I845 J840:J845 B840:H846 B843:G849 I846:J846 B847:J850 A850:R850 I851:J858 A851:H863 K852:K869 L853:R876 I858:I863 J859:J863 A864:J864 B865:J865 I866:J868 B866:H874 J869 I869:I874 J870:K874 B875:K876 B877:R881 J882:R882 B882:I888 J883:J886 L883:R890 B886:G894 J887:R887 J888 G889:J892 M891:R895 B893:J893 I893:I894 B894:H894 J894:J905 B895:I898 H899:I900 I900:I905 H901:H905 L914:L915 H837:R837 H835:H836 J836:R836 I829:I836 M909:R911 H906:J907 L896:R907 A865:A907 B897:G907 A908:G910 K892:K907 H908:R908 A912:R913 G909:H910 J909:J910 A911:H911 J911:R911">
    <cfRule type="expression" dxfId="20" priority="27">
      <formula>CELL("row")=ROW()</formula>
    </cfRule>
  </conditionalFormatting>
  <conditionalFormatting sqref="B257:G290 B291:B300 C291:G301">
    <cfRule type="expression" dxfId="19" priority="25">
      <formula>CELL("row")=ROW()</formula>
    </cfRule>
  </conditionalFormatting>
  <conditionalFormatting sqref="B772:G772">
    <cfRule type="expression" dxfId="18" priority="8">
      <formula>CELL("row")=ROW()</formula>
    </cfRule>
  </conditionalFormatting>
  <conditionalFormatting sqref="F398">
    <cfRule type="expression" dxfId="17" priority="20">
      <formula>CELL("row")=ROW()</formula>
    </cfRule>
  </conditionalFormatting>
  <conditionalFormatting sqref="F420">
    <cfRule type="expression" dxfId="16" priority="19">
      <formula>CELL("row")=ROW()</formula>
    </cfRule>
  </conditionalFormatting>
  <conditionalFormatting sqref="F326:G326">
    <cfRule type="expression" dxfId="15" priority="22">
      <formula>CELL("row")=ROW()</formula>
    </cfRule>
  </conditionalFormatting>
  <conditionalFormatting sqref="G266">
    <cfRule type="expression" dxfId="14" priority="24">
      <formula>CELL("row")=ROW()</formula>
    </cfRule>
  </conditionalFormatting>
  <conditionalFormatting sqref="I558">
    <cfRule type="expression" dxfId="13" priority="15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14:I914 K914:K920 A915:G915 K922:K993">
    <cfRule type="expression" dxfId="12" priority="13">
      <formula>CELL("row")=ROW()</formula>
    </cfRule>
  </conditionalFormatting>
  <conditionalFormatting sqref="K672:K697 K698:L700 L701">
    <cfRule type="expression" dxfId="11" priority="12">
      <formula>CELL("row")=ROW()</formula>
    </cfRule>
  </conditionalFormatting>
  <conditionalFormatting sqref="K883:K890 K891:L893 L894:L895 K909:L911">
    <cfRule type="expression" dxfId="10" priority="4">
      <formula>CELL("row")=ROW()</formula>
    </cfRule>
  </conditionalFormatting>
  <conditionalFormatting sqref="L532:L535">
    <cfRule type="expression" dxfId="9" priority="17">
      <formula>CELL("row")=ROW()</formula>
    </cfRule>
  </conditionalFormatting>
  <conditionalFormatting sqref="M718 M730 M733 M738:M739">
    <cfRule type="expression" dxfId="8" priority="7">
      <formula>CELL("row")=ROW()</formula>
    </cfRule>
  </conditionalFormatting>
  <conditionalFormatting sqref="M763:M764 M774">
    <cfRule type="expression" dxfId="7" priority="6">
      <formula>CELL("row")=ROW()</formula>
    </cfRule>
  </conditionalFormatting>
  <conditionalFormatting sqref="M914:O915">
    <cfRule type="expression" dxfId="6" priority="36">
      <formula>ROW(O93)=HighlightRow</formula>
    </cfRule>
  </conditionalFormatting>
  <conditionalFormatting sqref="N698">
    <cfRule type="expression" dxfId="5" priority="10">
      <formula>CELL("row")=ROW()</formula>
    </cfRule>
  </conditionalFormatting>
  <conditionalFormatting sqref="P914:Q915">
    <cfRule type="expression" dxfId="4" priority="40">
      <formula>ROW(S93)=HighlightRow</formula>
    </cfRule>
  </conditionalFormatting>
  <conditionalFormatting sqref="S105:XFD105">
    <cfRule type="expression" dxfId="3" priority="41">
      <formula>ROW(T94)=HighlightRow</formula>
    </cfRule>
  </conditionalFormatting>
  <conditionalFormatting sqref="S106:XFD114">
    <cfRule type="expression" dxfId="2" priority="38">
      <formula>ROW(T96)=HighlightRow</formula>
    </cfRule>
  </conditionalFormatting>
  <conditionalFormatting sqref="I909:I911">
    <cfRule type="expression" dxfId="0" priority="1">
      <formula>CELL("row")=ROW()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464" zoomScaleNormal="100" workbookViewId="0">
      <selection activeCell="A1473" sqref="A14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I17" sqref="I1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11417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11417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11417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11417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11417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11417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11417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11333</v>
      </c>
      <c r="D15" s="21" t="s">
        <v>337</v>
      </c>
      <c r="E15" s="21" t="s">
        <v>11417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06"/>
  <sheetViews>
    <sheetView topLeftCell="A588" zoomScaleNormal="100" workbookViewId="0">
      <selection activeCell="D612" sqref="D61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11340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11362</v>
      </c>
      <c r="C573" s="21">
        <v>9149654809</v>
      </c>
      <c r="D573" s="21" t="s">
        <v>11396</v>
      </c>
      <c r="E573" s="21" t="s">
        <v>11368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11367</v>
      </c>
      <c r="C574" s="21">
        <v>6006939791</v>
      </c>
      <c r="D574" s="21" t="s">
        <v>11397</v>
      </c>
      <c r="E574" s="21" t="s">
        <v>11369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11359</v>
      </c>
      <c r="C575" s="21">
        <v>9811039202</v>
      </c>
      <c r="D575" s="21" t="s">
        <v>11398</v>
      </c>
      <c r="E575" s="21" t="s">
        <v>11370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11344</v>
      </c>
      <c r="C576" s="21">
        <v>8082196159</v>
      </c>
      <c r="D576" s="21" t="s">
        <v>11400</v>
      </c>
      <c r="E576" s="21" t="s">
        <v>11346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11406</v>
      </c>
      <c r="C577" s="21">
        <v>6005461613</v>
      </c>
      <c r="D577" s="21" t="s">
        <v>11407</v>
      </c>
      <c r="E577" s="21" t="s">
        <v>11371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11409</v>
      </c>
      <c r="C578" s="21">
        <v>7006079082</v>
      </c>
      <c r="D578" s="21" t="s">
        <v>11410</v>
      </c>
      <c r="E578" s="21" t="s">
        <v>11380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11384</v>
      </c>
      <c r="C579" s="21">
        <v>9469765393</v>
      </c>
      <c r="D579" s="21" t="s">
        <v>11416</v>
      </c>
      <c r="E579" s="21" t="s">
        <v>11386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11414</v>
      </c>
      <c r="C580" s="21">
        <v>8899566980</v>
      </c>
      <c r="D580" s="21" t="s">
        <v>11418</v>
      </c>
      <c r="E580" s="21" t="s">
        <v>11415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11419</v>
      </c>
      <c r="C581" s="21">
        <v>7006789699</v>
      </c>
      <c r="D581" s="21" t="s">
        <v>11420</v>
      </c>
      <c r="E581" s="21" t="s">
        <v>11408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11395</v>
      </c>
      <c r="C582" s="21">
        <v>9622847452</v>
      </c>
      <c r="D582" s="21" t="s">
        <v>11422</v>
      </c>
      <c r="E582" s="21" t="s">
        <v>11399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11428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06" si="9">ROW()-2</f>
        <v>582</v>
      </c>
      <c r="B584" s="21" t="s">
        <v>11338</v>
      </c>
      <c r="C584" s="21">
        <v>9718916222</v>
      </c>
      <c r="D584" s="21" t="s">
        <v>11456</v>
      </c>
      <c r="E584" s="21" t="s">
        <v>11339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11457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11467</v>
      </c>
      <c r="C586" s="21">
        <v>7006467400</v>
      </c>
      <c r="D586" s="21" t="s">
        <v>11483</v>
      </c>
      <c r="E586" s="21" t="s">
        <v>11469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11450</v>
      </c>
      <c r="C587" s="21">
        <v>9797131308</v>
      </c>
      <c r="D587" s="21" t="s">
        <v>11484</v>
      </c>
      <c r="E587" s="21" t="s">
        <v>11452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11461</v>
      </c>
      <c r="C588" s="21">
        <v>9906377896</v>
      </c>
      <c r="D588" s="21" t="s">
        <v>11485</v>
      </c>
      <c r="E588" s="21" t="s">
        <v>11462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11446</v>
      </c>
      <c r="C589" s="21">
        <v>9622600868</v>
      </c>
      <c r="D589" s="21" t="s">
        <v>11486</v>
      </c>
      <c r="E589" s="21" t="s">
        <v>11453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11498</v>
      </c>
      <c r="E590" s="21" t="s">
        <v>11499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11477</v>
      </c>
      <c r="C591" s="21">
        <v>8899528913</v>
      </c>
      <c r="D591" s="21" t="s">
        <v>11515</v>
      </c>
      <c r="E591" s="21" t="s">
        <v>11487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11481</v>
      </c>
      <c r="C592" s="21">
        <v>7006231817</v>
      </c>
      <c r="D592" s="21" t="s">
        <v>11517</v>
      </c>
      <c r="E592" s="21" t="s">
        <v>11488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11496</v>
      </c>
      <c r="C593" s="21">
        <v>9419093820</v>
      </c>
      <c r="D593" s="21" t="s">
        <v>11518</v>
      </c>
      <c r="E593" s="21" t="s">
        <v>11501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11519</v>
      </c>
      <c r="E594" s="21" t="s">
        <v>11510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11507</v>
      </c>
      <c r="C595" s="21">
        <v>9622701314</v>
      </c>
      <c r="D595" s="21" t="s">
        <v>11520</v>
      </c>
      <c r="E595" s="21" t="s">
        <v>11511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11493</v>
      </c>
      <c r="C596" s="21">
        <v>9622647542</v>
      </c>
      <c r="D596" s="21" t="s">
        <v>11522</v>
      </c>
      <c r="E596" s="21" t="s">
        <v>11502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11473</v>
      </c>
      <c r="C597" s="21">
        <v>7889705631</v>
      </c>
      <c r="D597" s="21" t="s">
        <v>11523</v>
      </c>
      <c r="E597" s="21" t="s">
        <v>11489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11530</v>
      </c>
      <c r="C598" s="21">
        <v>6006350073</v>
      </c>
      <c r="D598" s="21" t="s">
        <v>11558</v>
      </c>
      <c r="E598" s="21" t="s">
        <v>11529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11536</v>
      </c>
      <c r="C599" s="21">
        <v>8899098549</v>
      </c>
      <c r="D599" s="21" t="s">
        <v>11571</v>
      </c>
      <c r="E599" s="21" t="s">
        <v>11538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11572</v>
      </c>
      <c r="C600" s="21">
        <v>7006246665</v>
      </c>
      <c r="D600" s="21" t="s">
        <v>11573</v>
      </c>
      <c r="E600" s="21" t="s">
        <v>11521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11585</v>
      </c>
      <c r="E601" s="21" t="s">
        <v>11567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11577</v>
      </c>
      <c r="C602" s="21">
        <v>9622773989</v>
      </c>
      <c r="D602" s="21" t="s">
        <v>11586</v>
      </c>
      <c r="E602" s="21" t="s">
        <v>11582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11591</v>
      </c>
      <c r="C603" s="21">
        <v>6006567480</v>
      </c>
      <c r="D603" s="21" t="s">
        <v>11592</v>
      </c>
      <c r="E603" s="21" t="s">
        <v>11593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11580</v>
      </c>
      <c r="C604" s="21">
        <v>7006560058</v>
      </c>
      <c r="D604" s="21" t="s">
        <v>11594</v>
      </c>
      <c r="E604" s="21" t="s">
        <v>11583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/>
      <c r="C605" s="21"/>
      <c r="D605" s="21"/>
      <c r="E605" s="21"/>
      <c r="F605" s="14"/>
      <c r="G605" s="14"/>
      <c r="H605" s="12"/>
    </row>
    <row r="606" spans="1:8" ht="15.75" x14ac:dyDescent="0.25">
      <c r="A606" s="12">
        <f t="shared" si="9"/>
        <v>604</v>
      </c>
      <c r="B606" s="12"/>
      <c r="C606" s="12"/>
      <c r="D606" s="12"/>
      <c r="E606" s="12"/>
      <c r="F606" s="14"/>
      <c r="G606" s="14"/>
      <c r="H606" s="12"/>
    </row>
  </sheetData>
  <mergeCells count="1">
    <mergeCell ref="A1:H1"/>
  </mergeCells>
  <phoneticPr fontId="26" type="noConversion"/>
  <conditionalFormatting sqref="B568:E587 C586:E590 B588 B589:E595 E595:E597 B596:D597 B598:E605">
    <cfRule type="expression" dxfId="1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2026-06-29T12:49:26Z</dcterms:modified>
</cp:coreProperties>
</file>