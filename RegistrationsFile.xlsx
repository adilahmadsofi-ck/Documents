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22643BF-3DDD-468B-AADD-923FDE0ED5E5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<sst xmlns="http://schemas.openxmlformats.org/spreadsheetml/2006/main" count="23322" uniqueCount="9207">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</sst>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15" fontId="30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3" dataDxfId="92">
  <autoFilter ref="A1:R553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8" dataDxfId="47">
  <autoFilter ref="A2:H305" xr:uid="{B21CDF53-EB04-406A-8D52-FCF5CCB609E9}"/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7"/>
    <tableColumn id="2" xr3:uid="{1E57C5CE-907A-4DF0-BCA2-BBCD2651216C}" name="APPLICATION NO." dataDxfId="36"/>
    <tableColumn id="3" xr3:uid="{F626713A-3C61-423D-BD37-451203C3E29C}" name="CHASSIS" dataDxfId="35"/>
    <tableColumn id="4" xr3:uid="{32C5A048-ADD8-4648-8106-9F20D6757D66}" name="NAME" dataDxfId="34"/>
    <tableColumn id="5" xr3:uid="{BA1FDE8E-99ED-4918-A545-B2E041B306D6}" name="MODEL" dataDxfId="33"/>
    <tableColumn id="6" xr3:uid="{872ECA2D-515D-4EDE-B60A-82A8BDEFEDCC}" name="COLOR" dataDxfId="32"/>
    <tableColumn id="7" xr3:uid="{C729A2AA-8F61-4959-9BE7-9F1BD3A49990}" name="RTO" dataDxfId="31"/>
    <tableColumn id="8" xr3:uid="{49CDED17-8118-4E4F-BBF5-6407D0788647}" name="REG NUM" dataDxfId="30"/>
    <tableColumn id="9" xr3:uid="{6E044422-F791-464A-944A-0668F0C8112F}" name="DATE OF REG" dataDxfId="29"/>
    <tableColumn id="11" xr3:uid="{942D52E6-8B19-4B1A-ADDF-6D959D8E7BE1}" name="DSE" dataDxfId="28"/>
    <tableColumn id="12" xr3:uid="{04B58679-3282-4D6D-BF3E-2233E3C4DC81}" name="RC RECEIVED B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6" tableBorderDxfId="25" totalsRowBorderDxfId="24">
  <autoFilter ref="B27:E32" xr:uid="{859DCBAE-920B-4469-9E0B-BF5ADC0248E9}"/>
  <tableColumns count="4">
    <tableColumn id="1" xr3:uid="{898528DA-B3AC-435C-B00C-9234887E5F11}" name="REG NUM" dataDxfId="23"/>
    <tableColumn id="2" xr3:uid="{89440296-A536-440E-A74B-186B5A98AE6C}" name="DATE OF REG" dataDxfId="22"/>
    <tableColumn id="3" xr3:uid="{7A04E3EB-93DA-4428-AB0C-3D251E144655}" name="RC RECEIVED BY" dataDxfId="21"/>
    <tableColumn id="4" xr3:uid="{0D350352-EB5F-413B-8CE6-3B46D80C3172}" name="DAT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G496" zoomScaleNormal="100" workbookViewId="0">
      <selection activeCell="N509" sqref="N50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56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ref="A57:A120" si="2">ROW()-1</f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2"/>
        <v>57</v>
      </c>
      <c r="B58" s="43" t="s">
        <v>6422</v>
      </c>
      <c r="C58" s="43" t="s">
        <v>6424</v>
      </c>
      <c r="D58" s="43"/>
      <c r="E58" s="43" t="s">
        <v>6423</v>
      </c>
      <c r="F58" s="43" t="s">
        <v>5</v>
      </c>
      <c r="G58" s="43" t="s">
        <v>200</v>
      </c>
      <c r="H58" s="43" t="str">
        <f t="shared" si="1"/>
        <v>POONCH</v>
      </c>
      <c r="I58" s="43" t="s">
        <v>6427</v>
      </c>
      <c r="J58" s="44">
        <v>45973</v>
      </c>
      <c r="K58" s="43"/>
      <c r="L58" s="43" t="s">
        <v>6426</v>
      </c>
      <c r="M58" s="45" t="s">
        <v>6446</v>
      </c>
      <c r="N58" s="44">
        <v>45975</v>
      </c>
      <c r="O58" s="43" t="s">
        <v>23</v>
      </c>
      <c r="P58" s="46">
        <v>45976</v>
      </c>
      <c r="Q58" s="43"/>
      <c r="R58" s="43"/>
    </row>
    <row r="59" spans="1:18" x14ac:dyDescent="0.25">
      <c r="A59" s="43">
        <f t="shared" si="2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2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2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2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2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2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2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si="2"/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si="1"/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256</v>
      </c>
      <c r="C76" s="43" t="s">
        <v>257</v>
      </c>
      <c r="D76" s="43"/>
      <c r="E76" s="43" t="s">
        <v>258</v>
      </c>
      <c r="F76" s="43" t="s">
        <v>31</v>
      </c>
      <c r="G76" s="43" t="s">
        <v>174</v>
      </c>
      <c r="H76" s="43" t="str">
        <f t="shared" si="3"/>
        <v>POONCH</v>
      </c>
      <c r="I76" s="43" t="s">
        <v>259</v>
      </c>
      <c r="J76" s="44">
        <v>45968</v>
      </c>
      <c r="K76" s="43"/>
      <c r="L76" s="43"/>
      <c r="M76" s="45" t="s">
        <v>9092</v>
      </c>
      <c r="N76" s="44">
        <v>45983</v>
      </c>
      <c r="O76" s="43"/>
      <c r="P76" s="46"/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 t="s">
        <v>9091</v>
      </c>
      <c r="N87" s="44">
        <v>46008</v>
      </c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>ROW()-1</f>
        <v>93</v>
      </c>
      <c r="B94" s="43" t="s">
        <v>7777</v>
      </c>
      <c r="C94" s="43" t="s">
        <v>7778</v>
      </c>
      <c r="D94" s="43" t="s">
        <v>7779</v>
      </c>
      <c r="E94" s="43" t="s">
        <v>7780</v>
      </c>
      <c r="F94" s="43" t="s">
        <v>119</v>
      </c>
      <c r="G94" s="43" t="s">
        <v>175</v>
      </c>
      <c r="H94" s="43" t="str">
        <f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43" t="s">
        <v>7781</v>
      </c>
      <c r="J94" s="44">
        <v>46021</v>
      </c>
      <c r="K94" s="43">
        <v>6006052436</v>
      </c>
      <c r="L94" s="43" t="s">
        <v>6520</v>
      </c>
      <c r="M94" s="45" t="s">
        <v>8215</v>
      </c>
      <c r="N94" s="44">
        <v>46030</v>
      </c>
      <c r="O94" s="43" t="s">
        <v>23</v>
      </c>
      <c r="P94" s="46">
        <v>46030</v>
      </c>
      <c r="Q94" s="43" t="s">
        <v>6459</v>
      </c>
      <c r="R94" s="43" t="s">
        <v>7806</v>
      </c>
    </row>
    <row r="95" spans="1:18" x14ac:dyDescent="0.25">
      <c r="A95" s="43">
        <f>ROW()-1</f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>IF(LEFT(I95,4)="JK13","PULWAMA",IF(LEFT(I95,4)="JK01","SRINAGAR",IF(LEFT(I95,4)="JK04","BUDGAM",IF(LEFT(I95,4)="JK03","ANANTNAG",IF(LEFT(I95,4)="JK05","BARAMULLA",IF(LEFT(I95,4)="26BH","BHARAT",IF(LEFT(I95,4)="25BH","BHARAT",IF(LEFT(I95,4)="JK12","POONCH",IF(LEFT(I95,4)="JK16","GANDERBAL",IF(LEFT(I95,4)="JK18","KULGAM",IF(LEFT(I95,4)="JK22","SHOPIAN",IF(LEFT(I95,4)="JK02","JAMMU",IF(LEFT(I95,4)="JK09","KUPWARA",IF(LEFT(I95,4)="JK15","BANDIPORA",IF(LEFT(I95,4)="JK17","KISHTWAR",IF(LEFT(I95,4)="LA01","KARGIL",IF(LEFT(I95,1)="T","TEMP","NEW")))))))))))))))))</f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>ROW()-1</f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>IF(LEFT(I96,4)="JK13","PULWAMA",IF(LEFT(I96,4)="JK01","SRINAGAR",IF(LEFT(I96,4)="JK04","BUDGAM",IF(LEFT(I96,4)="JK03","ANANTNAG",IF(LEFT(I96,4)="JK05","BARAMULLA",IF(LEFT(I96,4)="26BH","BHARAT",IF(LEFT(I96,4)="25BH","BHARAT",IF(LEFT(I96,4)="JK12","POONCH",IF(LEFT(I96,4)="JK16","GANDERBAL",IF(LEFT(I96,4)="JK18","KULGAM",IF(LEFT(I96,4)="JK22","SHOPIAN",IF(LEFT(I96,4)="JK02","JAMMU",IF(LEFT(I96,4)="JK09","KUPWARA",IF(LEFT(I96,4)="JK15","BANDIPORA",IF(LEFT(I96,4)="JK17","KISHTWAR",IF(LEFT(I96,4)="LA01","KARGIL",IF(LEFT(I96,1)="T","TEMP","NEW")))))))))))))))))</f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>ROW()-1</f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>IF(LEFT(I97,4)="JK13","PULWAMA",IF(LEFT(I97,4)="JK01","SRINAGAR",IF(LEFT(I97,4)="JK04","BUDGAM",IF(LEFT(I97,4)="JK03","ANANTNAG",IF(LEFT(I97,4)="JK05","BARAMULLA",IF(LEFT(I97,4)="26BH","BHARAT",IF(LEFT(I97,4)="25BH","BHARAT",IF(LEFT(I97,4)="JK12","POONCH",IF(LEFT(I97,4)="JK16","GANDERBAL",IF(LEFT(I97,4)="JK18","KULGAM",IF(LEFT(I97,4)="JK22","SHOPIAN",IF(LEFT(I97,4)="JK02","JAMMU",IF(LEFT(I97,4)="JK09","KUPWARA",IF(LEFT(I97,4)="JK15","BANDIPORA",IF(LEFT(I97,4)="JK17","KISHTWAR",IF(LEFT(I97,4)="LA01","KARGIL",IF(LEFT(I97,1)="T","TEMP","NEW")))))))))))))))))</f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>ROW()-1</f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>IF(LEFT(I98,4)="JK13","PULWAMA",IF(LEFT(I98,4)="JK01","SRINAGAR",IF(LEFT(I98,4)="JK04","BUDGAM",IF(LEFT(I98,4)="JK03","ANANTNAG",IF(LEFT(I98,4)="JK05","BARAMULLA",IF(LEFT(I98,4)="26BH","BHARAT",IF(LEFT(I98,4)="25BH","BHARAT",IF(LEFT(I98,4)="JK12","POONCH",IF(LEFT(I98,4)="JK16","GANDERBAL",IF(LEFT(I98,4)="JK18","KULGAM",IF(LEFT(I98,4)="JK22","SHOPIAN",IF(LEFT(I98,4)="JK02","JAMMU",IF(LEFT(I98,4)="JK09","KUPWARA",IF(LEFT(I98,4)="JK15","BANDIPORA",IF(LEFT(I98,4)="JK17","KISHTWAR",IF(LEFT(I98,4)="LA01","KARGIL",IF(LEFT(I98,1)="T","TEMP","NEW")))))))))))))))))</f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>ROW()-1</f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>IF(LEFT(I99,4)="JK13","PULWAMA",IF(LEFT(I99,4)="JK01","SRINAGAR",IF(LEFT(I99,4)="JK04","BUDGAM",IF(LEFT(I99,4)="JK03","ANANTNAG",IF(LEFT(I99,4)="JK05","BARAMULLA",IF(LEFT(I99,4)="26BH","BHARAT",IF(LEFT(I99,4)="25BH","BHARAT",IF(LEFT(I99,4)="JK12","POONCH",IF(LEFT(I99,4)="JK16","GANDERBAL",IF(LEFT(I99,4)="JK18","KULGAM",IF(LEFT(I99,4)="JK22","SHOPIAN",IF(LEFT(I99,4)="JK02","JAMMU",IF(LEFT(I99,4)="JK09","KUPWARA",IF(LEFT(I99,4)="JK15","BANDIPORA",IF(LEFT(I99,4)="JK17","KISHTWAR",IF(LEFT(I99,4)="LA01","KARGIL",IF(LEFT(I99,1)="T","TEMP","NEW")))))))))))))))))</f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>ROW()-1</f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>IF(LEFT(I100,4)="JK13","PULWAMA",IF(LEFT(I100,4)="JK01","SRINAGAR",IF(LEFT(I100,4)="JK04","BUDGAM",IF(LEFT(I100,4)="JK03","ANANTNAG",IF(LEFT(I100,4)="JK05","BARAMULLA",IF(LEFT(I100,4)="26BH","BHARAT",IF(LEFT(I100,4)="25BH","BHARAT",IF(LEFT(I100,4)="JK12","POONCH",IF(LEFT(I100,4)="JK16","GANDERBAL",IF(LEFT(I100,4)="JK18","KULGAM",IF(LEFT(I100,4)="JK22","SHOPIAN",IF(LEFT(I100,4)="JK02","JAMMU",IF(LEFT(I100,4)="JK09","KUPWARA",IF(LEFT(I100,4)="JK15","BANDIPORA",IF(LEFT(I100,4)="JK17","KISHTWAR",IF(LEFT(I100,4)="LA01","KARGIL",IF(LEFT(I100,1)="T","TEMP","NEW")))))))))))))))))</f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>ROW()-1</f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>IF(LEFT(I101,4)="JK13","PULWAMA",IF(LEFT(I101,4)="JK01","SRINAGAR",IF(LEFT(I101,4)="JK04","BUDGAM",IF(LEFT(I101,4)="JK03","ANANTNAG",IF(LEFT(I101,4)="JK05","BARAMULLA",IF(LEFT(I101,4)="26BH","BHARAT",IF(LEFT(I101,4)="25BH","BHARAT",IF(LEFT(I101,4)="JK12","POONCH",IF(LEFT(I101,4)="JK16","GANDERBAL",IF(LEFT(I101,4)="JK18","KULGAM",IF(LEFT(I101,4)="JK22","SHOPIAN",IF(LEFT(I101,4)="JK02","JAMMU",IF(LEFT(I101,4)="JK09","KUPWARA",IF(LEFT(I101,4)="JK15","BANDIPORA",IF(LEFT(I101,4)="JK17","KISHTWAR",IF(LEFT(I101,4)="LA01","KARGIL",IF(LEFT(I101,1)="T","TEMP","NEW")))))))))))))))))</f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44"/>
      <c r="P101" s="2"/>
      <c r="Q101" s="43"/>
      <c r="R101" s="43"/>
    </row>
    <row r="102" spans="1:23" x14ac:dyDescent="0.25">
      <c r="A102" s="43">
        <f>ROW()-1</f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>IF(LEFT(I102,4)="JK13","PULWAMA",IF(LEFT(I102,4)="JK01","SRINAGAR",IF(LEFT(I102,4)="JK04","BUDGAM",IF(LEFT(I102,4)="JK03","ANANTNAG",IF(LEFT(I102,4)="JK05","BARAMULLA",IF(LEFT(I102,4)="26BH","BHARAT",IF(LEFT(I102,4)="25BH","BHARAT",IF(LEFT(I102,4)="JK12","POONCH",IF(LEFT(I102,4)="JK16","GANDERBAL",IF(LEFT(I102,4)="JK18","KULGAM",IF(LEFT(I102,4)="JK22","SHOPIAN",IF(LEFT(I102,4)="JK02","JAMMU",IF(LEFT(I102,4)="JK09","KUPWARA",IF(LEFT(I102,4)="JK15","BANDIPORA",IF(LEFT(I102,4)="JK17","KISHTWAR",IF(LEFT(I102,4)="LA01","KARGIL",IF(LEFT(I102,1)="T","TEMP","NEW")))))))))))))))))</f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>ROW()-1</f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>IF(LEFT(I103,4)="JK13","PULWAMA",IF(LEFT(I103,4)="JK01","SRINAGAR",IF(LEFT(I103,4)="JK04","BUDGAM",IF(LEFT(I103,4)="JK03","ANANTNAG",IF(LEFT(I103,4)="JK05","BARAMULLA",IF(LEFT(I103,4)="26BH","BHARAT",IF(LEFT(I103,4)="25BH","BHARAT",IF(LEFT(I103,4)="JK12","POONCH",IF(LEFT(I103,4)="JK16","GANDERBAL",IF(LEFT(I103,4)="JK18","KULGAM",IF(LEFT(I103,4)="JK22","SHOPIAN",IF(LEFT(I103,4)="JK02","JAMMU",IF(LEFT(I103,4)="JK09","KUPWARA",IF(LEFT(I103,4)="JK15","BANDIPORA",IF(LEFT(I103,4)="JK17","KISHTWAR",IF(LEFT(I103,4)="LA01","KARGIL",IF(LEFT(I103,1)="T","TEMP","NEW")))))))))))))))))</f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>ROW()-1</f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>IF(LEFT(I104,4)="JK13","PULWAMA",IF(LEFT(I104,4)="JK01","SRINAGAR",IF(LEFT(I104,4)="JK04","BUDGAM",IF(LEFT(I104,4)="JK03","ANANTNAG",IF(LEFT(I104,4)="JK05","BARAMULLA",IF(LEFT(I104,4)="26BH","BHARAT",IF(LEFT(I104,4)="25BH","BHARAT",IF(LEFT(I104,4)="JK12","POONCH",IF(LEFT(I104,4)="JK16","GANDERBAL",IF(LEFT(I104,4)="JK18","KULGAM",IF(LEFT(I104,4)="JK22","SHOPIAN",IF(LEFT(I104,4)="JK02","JAMMU",IF(LEFT(I104,4)="JK09","KUPWARA",IF(LEFT(I104,4)="JK15","BANDIPORA",IF(LEFT(I104,4)="JK17","KISHTWAR",IF(LEFT(I104,4)="LA01","KARGIL",IF(LEFT(I104,1)="T","TEMP","NEW")))))))))))))))))</f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>ROW()-1</f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>IF(LEFT(I105,4)="JK13","PULWAMA",IF(LEFT(I105,4)="JK01","SRINAGAR",IF(LEFT(I105,4)="JK04","BUDGAM",IF(LEFT(I105,4)="JK03","ANANTNAG",IF(LEFT(I105,4)="JK05","BARAMULLA",IF(LEFT(I105,4)="26BH","BHARAT",IF(LEFT(I105,4)="25BH","BHARAT",IF(LEFT(I105,4)="JK12","POONCH",IF(LEFT(I105,4)="JK16","GANDERBAL",IF(LEFT(I105,4)="JK18","KULGAM",IF(LEFT(I105,4)="JK22","SHOPIAN",IF(LEFT(I105,4)="JK02","JAMMU",IF(LEFT(I105,4)="JK09","KUPWARA",IF(LEFT(I105,4)="JK15","BANDIPORA",IF(LEFT(I105,4)="JK17","KISHTWAR",IF(LEFT(I105,4)="LA01","KARGIL",IF(LEFT(I105,1)="T","TEMP","NEW")))))))))))))))))</f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>ROW()-1</f>
        <v>105</v>
      </c>
      <c r="B106" s="43" t="s">
        <v>8708</v>
      </c>
      <c r="C106" s="43" t="s">
        <v>8704</v>
      </c>
      <c r="D106" s="43" t="s">
        <v>8705</v>
      </c>
      <c r="E106" s="43" t="s">
        <v>8706</v>
      </c>
      <c r="F106" s="43" t="s">
        <v>101</v>
      </c>
      <c r="G106" s="43" t="s">
        <v>200</v>
      </c>
      <c r="H106" s="43" t="str">
        <f>IF(LEFT(I106,4)="JK13","PULWAMA",IF(LEFT(I106,4)="JK01","SRINAGAR",IF(LEFT(I106,4)="JK04","BUDGAM",IF(LEFT(I106,4)="JK03","ANANTNAG",IF(LEFT(I106,4)="JK05","BARAMULLA",IF(LEFT(I106,4)="26BH","BHARAT",IF(LEFT(I106,4)="25BH","BHARAT",IF(LEFT(I106,4)="JK12","POONCH",IF(LEFT(I106,4)="JK16","GANDERBAL",IF(LEFT(I106,4)="JK18","KULGAM",IF(LEFT(I106,4)="JK22","SHOPIAN",IF(LEFT(I106,4)="JK02","JAMMU",IF(LEFT(I106,4)="JK09","KUPWARA",IF(LEFT(I106,4)="JK15","BANDIPORA",IF(LEFT(I106,4)="JK17","KISHTWAR",IF(LEFT(I106,4)="LA01","KARGIL",IF(LEFT(I106,1)="T","TEMP","NEW")))))))))))))))))</f>
        <v>BHARAT</v>
      </c>
      <c r="I106" s="43" t="s">
        <v>8761</v>
      </c>
      <c r="J106" s="44">
        <v>46062</v>
      </c>
      <c r="K106" s="43">
        <v>9458289998</v>
      </c>
      <c r="L106" s="43" t="s">
        <v>8707</v>
      </c>
      <c r="M106" s="45" t="s">
        <v>7773</v>
      </c>
      <c r="N106" s="44">
        <v>46065</v>
      </c>
      <c r="O106" s="43"/>
      <c r="P106" s="46"/>
      <c r="Q106" s="43"/>
      <c r="R106" s="43"/>
    </row>
    <row r="107" spans="1:23" x14ac:dyDescent="0.25">
      <c r="A107" s="43">
        <f>ROW()-1</f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>IF(LEFT(I107,4)="JK13","PULWAMA",IF(LEFT(I107,4)="JK01","SRINAGAR",IF(LEFT(I107,4)="JK04","BUDGAM",IF(LEFT(I107,4)="JK03","ANANTNAG",IF(LEFT(I107,4)="JK05","BARAMULLA",IF(LEFT(I107,4)="26BH","BHARAT",IF(LEFT(I107,4)="25BH","BHARAT",IF(LEFT(I107,4)="JK12","POONCH",IF(LEFT(I107,4)="JK16","GANDERBAL",IF(LEFT(I107,4)="JK18","KULGAM",IF(LEFT(I107,4)="JK22","SHOPIAN",IF(LEFT(I107,4)="JK02","JAMMU",IF(LEFT(I107,4)="JK09","KUPWARA",IF(LEFT(I107,4)="JK15","BANDIPORA",IF(LEFT(I107,4)="JK17","KISHTWAR",IF(LEFT(I107,4)="LA01","KARGIL",IF(LEFT(I107,1)="T","TEMP","NEW")))))))))))))))))</f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>ROW()-1</f>
        <v>107</v>
      </c>
      <c r="B108" s="43" t="s">
        <v>8821</v>
      </c>
      <c r="C108" s="43" t="s">
        <v>8822</v>
      </c>
      <c r="D108" s="43" t="s">
        <v>8823</v>
      </c>
      <c r="E108" s="43" t="s">
        <v>8824</v>
      </c>
      <c r="F108" s="43" t="s">
        <v>100</v>
      </c>
      <c r="G108" s="43" t="s">
        <v>200</v>
      </c>
      <c r="H108" s="43" t="str">
        <f>IF(LEFT(I108,4)="JK13","PULWAMA",IF(LEFT(I108,4)="JK01","SRINAGAR",IF(LEFT(I108,4)="JK04","BUDGAM",IF(LEFT(I108,4)="JK03","ANANTNAG",IF(LEFT(I108,4)="JK05","BARAMULLA",IF(LEFT(I108,4)="26BH","BHARAT",IF(LEFT(I108,4)="25BH","BHARAT",IF(LEFT(I108,4)="JK12","POONCH",IF(LEFT(I108,4)="JK16","GANDERBAL",IF(LEFT(I108,4)="JK18","KULGAM",IF(LEFT(I108,4)="JK22","SHOPIAN",IF(LEFT(I108,4)="JK02","JAMMU",IF(LEFT(I108,4)="JK09","KUPWARA",IF(LEFT(I108,4)="JK15","BANDIPORA",IF(LEFT(I108,4)="JK17","KISHTWAR",IF(LEFT(I108,4)="LA01","KARGIL",IF(LEFT(I108,1)="T","TEMP","NEW")))))))))))))))))</f>
        <v>PULWAMA</v>
      </c>
      <c r="I108" s="43" t="s">
        <v>8825</v>
      </c>
      <c r="J108" s="44">
        <v>46066</v>
      </c>
      <c r="K108" s="43">
        <v>7780958146</v>
      </c>
      <c r="L108" s="43" t="s">
        <v>8673</v>
      </c>
      <c r="M108" s="45" t="s">
        <v>8224</v>
      </c>
      <c r="N108" s="44">
        <v>46071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>ROW()-1</f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>IF(LEFT(I109,4)="JK13","PULWAMA",IF(LEFT(I109,4)="JK01","SRINAGAR",IF(LEFT(I109,4)="JK04","BUDGAM",IF(LEFT(I109,4)="JK03","ANANTNAG",IF(LEFT(I109,4)="JK05","BARAMULLA",IF(LEFT(I109,4)="26BH","BHARAT",IF(LEFT(I109,4)="25BH","BHARAT",IF(LEFT(I109,4)="JK12","POONCH",IF(LEFT(I109,4)="JK16","GANDERBAL",IF(LEFT(I109,4)="JK18","KULGAM",IF(LEFT(I109,4)="JK22","SHOPIAN",IF(LEFT(I109,4)="JK02","JAMMU",IF(LEFT(I109,4)="JK09","KUPWARA",IF(LEFT(I109,4)="JK15","BANDIPORA",IF(LEFT(I109,4)="JK17","KISHTWAR",IF(LEFT(I109,4)="LA01","KARGIL",IF(LEFT(I109,1)="T","TEMP","NEW")))))))))))))))))</f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>ROW()-1</f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>IF(LEFT(I110,4)="JK13","PULWAMA",IF(LEFT(I110,4)="JK01","SRINAGAR",IF(LEFT(I110,4)="JK04","BUDGAM",IF(LEFT(I110,4)="JK03","ANANTNAG",IF(LEFT(I110,4)="JK05","BARAMULLA",IF(LEFT(I110,4)="26BH","BHARAT",IF(LEFT(I110,4)="25BH","BHARAT",IF(LEFT(I110,4)="JK12","POONCH",IF(LEFT(I110,4)="JK16","GANDERBAL",IF(LEFT(I110,4)="JK18","KULGAM",IF(LEFT(I110,4)="JK22","SHOPIAN",IF(LEFT(I110,4)="JK02","JAMMU",IF(LEFT(I110,4)="JK09","KUPWARA",IF(LEFT(I110,4)="JK15","BANDIPORA",IF(LEFT(I110,4)="JK17","KISHTWAR",IF(LEFT(I110,4)="LA01","KARGIL",IF(LEFT(I110,1)="T","TEMP","NEW")))))))))))))))))</f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>ROW()-1</f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>IF(LEFT(I111,4)="JK13","PULWAMA",IF(LEFT(I111,4)="JK01","SRINAGAR",IF(LEFT(I111,4)="JK04","BUDGAM",IF(LEFT(I111,4)="JK03","ANANTNAG",IF(LEFT(I111,4)="JK05","BARAMULLA",IF(LEFT(I111,4)="26BH","BHARAT",IF(LEFT(I111,4)="25BH","BHARAT",IF(LEFT(I111,4)="JK12","POONCH",IF(LEFT(I111,4)="JK16","GANDERBAL",IF(LEFT(I111,4)="JK18","KULGAM",IF(LEFT(I111,4)="JK22","SHOPIAN",IF(LEFT(I111,4)="JK02","JAMMU",IF(LEFT(I111,4)="JK09","KUPWARA",IF(LEFT(I111,4)="JK15","BANDIPORA",IF(LEFT(I111,4)="JK17","KISHTWAR",IF(LEFT(I111,4)="LA01","KARGIL",IF(LEFT(I111,1)="T","TEMP","NEW")))))))))))))))))</f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>ROW()-1</f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>IF(LEFT(I112,4)="JK13","PULWAMA",IF(LEFT(I112,4)="JK01","SRINAGAR",IF(LEFT(I112,4)="JK04","BUDGAM",IF(LEFT(I112,4)="JK03","ANANTNAG",IF(LEFT(I112,4)="JK05","BARAMULLA",IF(LEFT(I112,4)="26BH","BHARAT",IF(LEFT(I112,4)="25BH","BHARAT",IF(LEFT(I112,4)="JK12","POONCH",IF(LEFT(I112,4)="JK16","GANDERBAL",IF(LEFT(I112,4)="JK18","KULGAM",IF(LEFT(I112,4)="JK22","SHOPIAN",IF(LEFT(I112,4)="JK02","JAMMU",IF(LEFT(I112,4)="JK09","KUPWARA",IF(LEFT(I112,4)="JK15","BANDIPORA",IF(LEFT(I112,4)="JK17","KISHTWAR",IF(LEFT(I112,4)="LA01","KARGIL",IF(LEFT(I112,1)="T","TEMP","NEW")))))))))))))))))</f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>ROW()-1</f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>IF(LEFT(I113,4)="JK13","PULWAMA",IF(LEFT(I113,4)="JK01","SRINAGAR",IF(LEFT(I113,4)="JK04","BUDGAM",IF(LEFT(I113,4)="JK03","ANANTNAG",IF(LEFT(I113,4)="JK05","BARAMULLA",IF(LEFT(I113,4)="26BH","BHARAT",IF(LEFT(I113,4)="25BH","BHARAT",IF(LEFT(I113,4)="JK12","POONCH",IF(LEFT(I113,4)="JK16","GANDERBAL",IF(LEFT(I113,4)="JK18","KULGAM",IF(LEFT(I113,4)="JK22","SHOPIAN",IF(LEFT(I113,4)="JK02","JAMMU",IF(LEFT(I113,4)="JK09","KUPWARA",IF(LEFT(I113,4)="JK15","BANDIPORA",IF(LEFT(I113,4)="JK17","KISHTWAR",IF(LEFT(I113,4)="LA01","KARGIL",IF(LEFT(I113,1)="T","TEMP","NEW")))))))))))))))))</f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>ROW()-1</f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>IF(LEFT(I114,4)="JK13","PULWAMA",IF(LEFT(I114,4)="JK01","SRINAGAR",IF(LEFT(I114,4)="JK04","BUDGAM",IF(LEFT(I114,4)="JK03","ANANTNAG",IF(LEFT(I114,4)="JK05","BARAMULLA",IF(LEFT(I114,4)="26BH","BHARAT",IF(LEFT(I114,4)="25BH","BHARAT",IF(LEFT(I114,4)="JK12","POONCH",IF(LEFT(I114,4)="JK16","GANDERBAL",IF(LEFT(I114,4)="JK18","KULGAM",IF(LEFT(I114,4)="JK22","SHOPIAN",IF(LEFT(I114,4)="JK02","JAMMU",IF(LEFT(I114,4)="JK09","KUPWARA",IF(LEFT(I114,4)="JK15","BANDIPORA",IF(LEFT(I114,4)="JK17","KISHTWAR",IF(LEFT(I114,4)="LA01","KARGIL",IF(LEFT(I114,1)="T","TEMP","NEW")))))))))))))))))</f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>ROW()-1</f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>IF(LEFT(I115,4)="JK13","PULWAMA",IF(LEFT(I115,4)="JK01","SRINAGAR",IF(LEFT(I115,4)="JK04","BUDGAM",IF(LEFT(I115,4)="JK03","ANANTNAG",IF(LEFT(I115,4)="JK05","BARAMULLA",IF(LEFT(I115,4)="26BH","BHARAT",IF(LEFT(I115,4)="25BH","BHARAT",IF(LEFT(I115,4)="JK12","POONCH",IF(LEFT(I115,4)="JK16","GANDERBAL",IF(LEFT(I115,4)="JK18","KULGAM",IF(LEFT(I115,4)="JK22","SHOPIAN",IF(LEFT(I115,4)="JK02","JAMMU",IF(LEFT(I115,4)="JK09","KUPWARA",IF(LEFT(I115,4)="JK15","BANDIPORA",IF(LEFT(I115,4)="JK17","KISHTWAR",IF(LEFT(I115,4)="LA01","KARGIL",IF(LEFT(I115,1)="T","TEMP","NEW")))))))))))))))))</f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>ROW()-1</f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>IF(LEFT(I116,4)="JK13","PULWAMA",IF(LEFT(I116,4)="JK01","SRINAGAR",IF(LEFT(I116,4)="JK04","BUDGAM",IF(LEFT(I116,4)="JK03","ANANTNAG",IF(LEFT(I116,4)="JK05","BARAMULLA",IF(LEFT(I116,4)="26BH","BHARAT",IF(LEFT(I116,4)="25BH","BHARAT",IF(LEFT(I116,4)="JK12","POONCH",IF(LEFT(I116,4)="JK16","GANDERBAL",IF(LEFT(I116,4)="JK18","KULGAM",IF(LEFT(I116,4)="JK22","SHOPIAN",IF(LEFT(I116,4)="JK02","JAMMU",IF(LEFT(I116,4)="JK09","KUPWARA",IF(LEFT(I116,4)="JK15","BANDIPORA",IF(LEFT(I116,4)="JK17","KISHTWAR",IF(LEFT(I116,4)="LA01","KARGIL",IF(LEFT(I116,1)="T","TEMP","NEW")))))))))))))))))</f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>ROW()-1</f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>IF(LEFT(I117,4)="JK13","PULWAMA",IF(LEFT(I117,4)="JK01","SRINAGAR",IF(LEFT(I117,4)="JK04","BUDGAM",IF(LEFT(I117,4)="JK03","ANANTNAG",IF(LEFT(I117,4)="JK05","BARAMULLA",IF(LEFT(I117,4)="26BH","BHARAT",IF(LEFT(I117,4)="25BH","BHARAT",IF(LEFT(I117,4)="JK12","POONCH",IF(LEFT(I117,4)="JK16","GANDERBAL",IF(LEFT(I117,4)="JK18","KULGAM",IF(LEFT(I117,4)="JK22","SHOPIAN",IF(LEFT(I117,4)="JK02","JAMMU",IF(LEFT(I117,4)="JK09","KUPWARA",IF(LEFT(I117,4)="JK15","BANDIPORA",IF(LEFT(I117,4)="JK17","KISHTWAR",IF(LEFT(I117,4)="LA01","KARGIL",IF(LEFT(I117,1)="T","TEMP","NEW")))))))))))))))))</f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>ROW()-1</f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>IF(LEFT(I118,4)="JK13","PULWAMA",IF(LEFT(I118,4)="JK01","SRINAGAR",IF(LEFT(I118,4)="JK04","BUDGAM",IF(LEFT(I118,4)="JK03","ANANTNAG",IF(LEFT(I118,4)="JK05","BARAMULLA",IF(LEFT(I118,4)="26BH","BHARAT",IF(LEFT(I118,4)="25BH","BHARAT",IF(LEFT(I118,4)="JK12","POONCH",IF(LEFT(I118,4)="JK16","GANDERBAL",IF(LEFT(I118,4)="JK18","KULGAM",IF(LEFT(I118,4)="JK22","SHOPIAN",IF(LEFT(I118,4)="JK02","JAMMU",IF(LEFT(I118,4)="JK09","KUPWARA",IF(LEFT(I118,4)="JK15","BANDIPORA",IF(LEFT(I118,4)="JK17","KISHTWAR",IF(LEFT(I118,4)="LA01","KARGIL",IF(LEFT(I118,1)="T","TEMP","NEW")))))))))))))))))</f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>ROW()-1</f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>IF(LEFT(I119,4)="JK13","PULWAMA",IF(LEFT(I119,4)="JK01","SRINAGAR",IF(LEFT(I119,4)="JK04","BUDGAM",IF(LEFT(I119,4)="JK03","ANANTNAG",IF(LEFT(I119,4)="JK05","BARAMULLA",IF(LEFT(I119,4)="26BH","BHARAT",IF(LEFT(I119,4)="25BH","BHARAT",IF(LEFT(I119,4)="JK12","POONCH",IF(LEFT(I119,4)="JK16","GANDERBAL",IF(LEFT(I119,4)="JK18","KULGAM",IF(LEFT(I119,4)="JK22","SHOPIAN",IF(LEFT(I119,4)="JK02","JAMMU",IF(LEFT(I119,4)="JK09","KUPWARA",IF(LEFT(I119,4)="JK15","BANDIPORA",IF(LEFT(I119,4)="JK17","KISHTWAR",IF(LEFT(I119,4)="LA01","KARGIL",IF(LEFT(I119,1)="T","TEMP","NEW")))))))))))))))))</f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>ROW()-1</f>
        <v>119</v>
      </c>
      <c r="B120" s="43" t="s">
        <v>6924</v>
      </c>
      <c r="C120" s="43" t="s">
        <v>6922</v>
      </c>
      <c r="D120" s="43" t="s">
        <v>6923</v>
      </c>
      <c r="E120" s="43" t="s">
        <v>3420</v>
      </c>
      <c r="F120" s="43" t="s">
        <v>31</v>
      </c>
      <c r="G120" s="43" t="s">
        <v>174</v>
      </c>
      <c r="H120" s="43" t="str">
        <f>IF(LEFT(I120,4)="JK13","PULWAMA",IF(LEFT(I120,4)="JK01","SRINAGAR",IF(LEFT(I120,4)="JK04","BUDGAM",IF(LEFT(I120,4)="JK03","ANANTNAG",IF(LEFT(I120,4)="JK05","BARAMULLA",IF(LEFT(I120,4)="26BH","BHARAT",IF(LEFT(I120,4)="25BH","BHARAT",IF(LEFT(I120,4)="JK12","POONCH",IF(LEFT(I120,4)="JK16","GANDERBAL",IF(LEFT(I120,4)="JK18","KULGAM",IF(LEFT(I120,4)="JK22","SHOPIAN",IF(LEFT(I120,4)="JK02","JAMMU",IF(LEFT(I120,4)="JK09","KUPWARA",IF(LEFT(I120,4)="JK15","BANDIPORA",IF(LEFT(I120,4)="JK17","KISHTWAR",IF(LEFT(I120,4)="LA01","KARGIL",IF(LEFT(I120,1)="T","TEMP","NEW")))))))))))))))))</f>
        <v>PULWAMA</v>
      </c>
      <c r="I120" s="43" t="s">
        <v>6926</v>
      </c>
      <c r="J120" s="44">
        <v>46000</v>
      </c>
      <c r="K120" s="43">
        <v>9622432608</v>
      </c>
      <c r="L120" s="43" t="s">
        <v>6520</v>
      </c>
      <c r="M120" s="45" t="s">
        <v>7162</v>
      </c>
      <c r="N120" s="44">
        <v>46007</v>
      </c>
      <c r="O120" s="43"/>
      <c r="P120" s="46"/>
      <c r="Q120" s="43"/>
      <c r="R120" s="43"/>
    </row>
    <row r="121" spans="1:18" x14ac:dyDescent="0.25">
      <c r="A121" s="43">
        <f>ROW()-1</f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>IF(LEFT(I121,4)="JK13","PULWAMA",IF(LEFT(I121,4)="JK01","SRINAGAR",IF(LEFT(I121,4)="JK04","BUDGAM",IF(LEFT(I121,4)="JK03","ANANTNAG",IF(LEFT(I121,4)="JK05","BARAMULLA",IF(LEFT(I121,4)="26BH","BHARAT",IF(LEFT(I121,4)="25BH","BHARAT",IF(LEFT(I121,4)="JK12","POONCH",IF(LEFT(I121,4)="JK16","GANDERBAL",IF(LEFT(I121,4)="JK18","KULGAM",IF(LEFT(I121,4)="JK22","SHOPIAN",IF(LEFT(I121,4)="JK02","JAMMU",IF(LEFT(I121,4)="JK09","KUPWARA",IF(LEFT(I121,4)="JK15","BANDIPORA",IF(LEFT(I121,4)="JK17","KISHTWAR",IF(LEFT(I121,4)="LA01","KARGIL",IF(LEFT(I121,1)="T","TEMP","NEW")))))))))))))))))</f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>ROW()-1</f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>IF(LEFT(I122,4)="JK13","PULWAMA",IF(LEFT(I122,4)="JK01","SRINAGAR",IF(LEFT(I122,4)="JK04","BUDGAM",IF(LEFT(I122,4)="JK03","ANANTNAG",IF(LEFT(I122,4)="JK05","BARAMULLA",IF(LEFT(I122,4)="26BH","BHARAT",IF(LEFT(I122,4)="25BH","BHARAT",IF(LEFT(I122,4)="JK12","POONCH",IF(LEFT(I122,4)="JK16","GANDERBAL",IF(LEFT(I122,4)="JK18","KULGAM",IF(LEFT(I122,4)="JK22","SHOPIAN",IF(LEFT(I122,4)="JK02","JAMMU",IF(LEFT(I122,4)="JK09","KUPWARA",IF(LEFT(I122,4)="JK15","BANDIPORA",IF(LEFT(I122,4)="JK17","KISHTWAR",IF(LEFT(I122,4)="LA01","KARGIL",IF(LEFT(I122,1)="T","TEMP","NEW")))))))))))))))))</f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>ROW()-1</f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>IF(LEFT(I123,4)="JK13","PULWAMA",IF(LEFT(I123,4)="JK01","SRINAGAR",IF(LEFT(I123,4)="JK04","BUDGAM",IF(LEFT(I123,4)="JK03","ANANTNAG",IF(LEFT(I123,4)="JK05","BARAMULLA",IF(LEFT(I123,4)="26BH","BHARAT",IF(LEFT(I123,4)="25BH","BHARAT",IF(LEFT(I123,4)="JK12","POONCH",IF(LEFT(I123,4)="JK16","GANDERBAL",IF(LEFT(I123,4)="JK18","KULGAM",IF(LEFT(I123,4)="JK22","SHOPIAN",IF(LEFT(I123,4)="JK02","JAMMU",IF(LEFT(I123,4)="JK09","KUPWARA",IF(LEFT(I123,4)="JK15","BANDIPORA",IF(LEFT(I123,4)="JK17","KISHTWAR",IF(LEFT(I123,4)="LA01","KARGIL",IF(LEFT(I123,1)="T","TEMP","NEW")))))))))))))))))</f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>ROW()-1</f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>IF(LEFT(I124,4)="JK13","PULWAMA",IF(LEFT(I124,4)="JK01","SRINAGAR",IF(LEFT(I124,4)="JK04","BUDGAM",IF(LEFT(I124,4)="JK03","ANANTNAG",IF(LEFT(I124,4)="JK05","BARAMULLA",IF(LEFT(I124,4)="26BH","BHARAT",IF(LEFT(I124,4)="25BH","BHARAT",IF(LEFT(I124,4)="JK12","POONCH",IF(LEFT(I124,4)="JK16","GANDERBAL",IF(LEFT(I124,4)="JK18","KULGAM",IF(LEFT(I124,4)="JK22","SHOPIAN",IF(LEFT(I124,4)="JK02","JAMMU",IF(LEFT(I124,4)="JK09","KUPWARA",IF(LEFT(I124,4)="JK15","BANDIPORA",IF(LEFT(I124,4)="JK17","KISHTWAR",IF(LEFT(I124,4)="LA01","KARGIL",IF(LEFT(I124,1)="T","TEMP","NEW")))))))))))))))))</f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>ROW()-1</f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>IF(LEFT(I125,4)="JK13","PULWAMA",IF(LEFT(I125,4)="JK01","SRINAGAR",IF(LEFT(I125,4)="JK04","BUDGAM",IF(LEFT(I125,4)="JK03","ANANTNAG",IF(LEFT(I125,4)="JK05","BARAMULLA",IF(LEFT(I125,4)="26BH","BHARAT",IF(LEFT(I125,4)="25BH","BHARAT",IF(LEFT(I125,4)="JK12","POONCH",IF(LEFT(I125,4)="JK16","GANDERBAL",IF(LEFT(I125,4)="JK18","KULGAM",IF(LEFT(I125,4)="JK22","SHOPIAN",IF(LEFT(I125,4)="JK02","JAMMU",IF(LEFT(I125,4)="JK09","KUPWARA",IF(LEFT(I125,4)="JK15","BANDIPORA",IF(LEFT(I125,4)="JK17","KISHTWAR",IF(LEFT(I125,4)="LA01","KARGIL",IF(LEFT(I125,1)="T","TEMP","NEW")))))))))))))))))</f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>ROW()-1</f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>IF(LEFT(I126,4)="JK13","PULWAMA",IF(LEFT(I126,4)="JK01","SRINAGAR",IF(LEFT(I126,4)="JK04","BUDGAM",IF(LEFT(I126,4)="JK03","ANANTNAG",IF(LEFT(I126,4)="JK05","BARAMULLA",IF(LEFT(I126,4)="26BH","BHARAT",IF(LEFT(I126,4)="25BH","BHARAT",IF(LEFT(I126,4)="JK12","POONCH",IF(LEFT(I126,4)="JK16","GANDERBAL",IF(LEFT(I126,4)="JK18","KULGAM",IF(LEFT(I126,4)="JK22","SHOPIAN",IF(LEFT(I126,4)="JK02","JAMMU",IF(LEFT(I126,4)="JK09","KUPWARA",IF(LEFT(I126,4)="JK15","BANDIPORA",IF(LEFT(I126,4)="JK17","KISHTWAR",IF(LEFT(I126,4)="LA01","KARGIL",IF(LEFT(I126,1)="T","TEMP","NEW")))))))))))))))))</f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>ROW()-1</f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>IF(LEFT(I127,4)="JK13","PULWAMA",IF(LEFT(I127,4)="JK01","SRINAGAR",IF(LEFT(I127,4)="JK04","BUDGAM",IF(LEFT(I127,4)="JK03","ANANTNAG",IF(LEFT(I127,4)="JK05","BARAMULLA",IF(LEFT(I127,4)="26BH","BHARAT",IF(LEFT(I127,4)="25BH","BHARAT",IF(LEFT(I127,4)="JK12","POONCH",IF(LEFT(I127,4)="JK16","GANDERBAL",IF(LEFT(I127,4)="JK18","KULGAM",IF(LEFT(I127,4)="JK22","SHOPIAN",IF(LEFT(I127,4)="JK02","JAMMU",IF(LEFT(I127,4)="JK09","KUPWARA",IF(LEFT(I127,4)="JK15","BANDIPORA",IF(LEFT(I127,4)="JK17","KISHTWAR",IF(LEFT(I127,4)="LA01","KARGIL",IF(LEFT(I127,1)="T","TEMP","NEW")))))))))))))))))</f>
        <v>BARAMULLA</v>
      </c>
      <c r="I127" s="43" t="s">
        <v>6681</v>
      </c>
      <c r="J127" s="44">
        <v>45989</v>
      </c>
      <c r="K127" s="43">
        <v>9622199980</v>
      </c>
      <c r="L127" s="43" t="s">
        <v>8960</v>
      </c>
      <c r="M127" s="45"/>
      <c r="N127" s="44"/>
      <c r="O127" s="43"/>
      <c r="P127" s="46"/>
      <c r="Q127" s="43"/>
      <c r="R127" s="43"/>
    </row>
    <row r="128" spans="1:18" x14ac:dyDescent="0.25">
      <c r="A128" s="43">
        <f>ROW()-1</f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>IF(LEFT(I128,4)="JK13","PULWAMA",IF(LEFT(I128,4)="JK01","SRINAGAR",IF(LEFT(I128,4)="JK04","BUDGAM",IF(LEFT(I128,4)="JK03","ANANTNAG",IF(LEFT(I128,4)="JK05","BARAMULLA",IF(LEFT(I128,4)="26BH","BHARAT",IF(LEFT(I128,4)="25BH","BHARAT",IF(LEFT(I128,4)="JK12","POONCH",IF(LEFT(I128,4)="JK16","GANDERBAL",IF(LEFT(I128,4)="JK18","KULGAM",IF(LEFT(I128,4)="JK22","SHOPIAN",IF(LEFT(I128,4)="JK02","JAMMU",IF(LEFT(I128,4)="JK09","KUPWARA",IF(LEFT(I128,4)="JK15","BANDIPORA",IF(LEFT(I128,4)="JK17","KISHTWAR",IF(LEFT(I128,4)="LA01","KARGIL",IF(LEFT(I128,1)="T","TEMP","NEW")))))))))))))))))</f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>ROW()-1</f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>IF(LEFT(I129,4)="JK13","PULWAMA",IF(LEFT(I129,4)="JK01","SRINAGAR",IF(LEFT(I129,4)="JK04","BUDGAM",IF(LEFT(I129,4)="JK03","ANANTNAG",IF(LEFT(I129,4)="JK05","BARAMULLA",IF(LEFT(I129,4)="26BH","BHARAT",IF(LEFT(I129,4)="25BH","BHARAT",IF(LEFT(I129,4)="JK12","POONCH",IF(LEFT(I129,4)="JK16","GANDERBAL",IF(LEFT(I129,4)="JK18","KULGAM",IF(LEFT(I129,4)="JK22","SHOPIAN",IF(LEFT(I129,4)="JK02","JAMMU",IF(LEFT(I129,4)="JK09","KUPWARA",IF(LEFT(I129,4)="JK15","BANDIPORA",IF(LEFT(I129,4)="JK17","KISHTWAR",IF(LEFT(I129,4)="LA01","KARGIL",IF(LEFT(I129,1)="T","TEMP","NEW")))))))))))))))))</f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>ROW()-1</f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>ROW()-1</f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16","GANDERBAL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</f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>ROW()-1</f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>IF(LEFT(I132,4)="JK13","PULWAMA",IF(LEFT(I132,4)="JK01","SRINAGAR",IF(LEFT(I132,4)="JK04","BUDGAM",IF(LEFT(I132,4)="JK03","ANANTNAG",IF(LEFT(I132,4)="JK05","BARAMULLA",IF(LEFT(I132,4)="26BH","BHARAT",IF(LEFT(I132,4)="25BH","BHARAT",IF(LEFT(I132,4)="JK12","POONCH",IF(LEFT(I132,4)="JK16","GANDERBAL",IF(LEFT(I132,4)="JK18","KULGAM",IF(LEFT(I132,4)="JK22","SHOPIAN",IF(LEFT(I132,4)="JK02","JAMMU",IF(LEFT(I132,4)="JK09","KUPWARA",IF(LEFT(I132,4)="JK15","BANDIPORA",IF(LEFT(I132,4)="JK17","KISHTWAR",IF(LEFT(I132,4)="LA01","KARGIL",IF(LEFT(I132,1)="T","TEMP","NEW")))))))))))))))))</f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>ROW()-1</f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>IF(LEFT(I133,4)="JK13","PULWAMA",IF(LEFT(I133,4)="JK01","SRINAGAR",IF(LEFT(I133,4)="JK04","BUDGAM",IF(LEFT(I133,4)="JK03","ANANTNAG",IF(LEFT(I133,4)="JK05","BARAMULLA",IF(LEFT(I133,4)="26BH","BHARAT",IF(LEFT(I133,4)="25BH","BHARAT",IF(LEFT(I133,4)="JK12","POONCH",IF(LEFT(I133,4)="JK16","GANDERBAL",IF(LEFT(I133,4)="JK18","KULGAM",IF(LEFT(I133,4)="JK22","SHOPIAN",IF(LEFT(I133,4)="JK02","JAMMU",IF(LEFT(I133,4)="JK09","KUPWARA",IF(LEFT(I133,4)="JK15","BANDIPORA",IF(LEFT(I133,4)="JK17","KISHTWAR",IF(LEFT(I133,4)="LA01","KARGIL",IF(LEFT(I133,1)="T","TEMP","NEW")))))))))))))))))</f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>ROW()-1</f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>IF(LEFT(I134,4)="JK13","PULWAMA",IF(LEFT(I134,4)="JK01","SRINAGAR",IF(LEFT(I134,4)="JK04","BUDGAM",IF(LEFT(I134,4)="JK03","ANANTNAG",IF(LEFT(I134,4)="JK05","BARAMULLA",IF(LEFT(I134,4)="26BH","BHARAT",IF(LEFT(I134,4)="25BH","BHARAT",IF(LEFT(I134,4)="JK12","POONCH",IF(LEFT(I134,4)="JK16","GANDERBAL",IF(LEFT(I134,4)="JK18","KULGAM",IF(LEFT(I134,4)="JK22","SHOPIAN",IF(LEFT(I134,4)="JK02","JAMMU",IF(LEFT(I134,4)="JK09","KUPWARA",IF(LEFT(I134,4)="JK15","BANDIPORA",IF(LEFT(I134,4)="JK17","KISHTWAR",IF(LEFT(I134,4)="LA01","KARGIL",IF(LEFT(I134,1)="T","TEMP","NEW")))))))))))))))))</f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>ROW()-1</f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>IF(LEFT(I135,4)="JK13","PULWAMA",IF(LEFT(I135,4)="JK01","SRINAGAR",IF(LEFT(I135,4)="JK04","BUDGAM",IF(LEFT(I135,4)="JK03","ANANTNAG",IF(LEFT(I135,4)="JK05","BARAMULLA",IF(LEFT(I135,4)="26BH","BHARAT",IF(LEFT(I135,4)="25BH","BHARAT",IF(LEFT(I135,4)="JK12","POONCH",IF(LEFT(I135,4)="JK16","GANDERBAL",IF(LEFT(I135,4)="JK18","KULGAM",IF(LEFT(I135,4)="JK22","SHOPIAN",IF(LEFT(I135,4)="JK02","JAMMU",IF(LEFT(I135,4)="JK09","KUPWARA",IF(LEFT(I135,4)="JK15","BANDIPORA",IF(LEFT(I135,4)="JK17","KISHTWAR",IF(LEFT(I135,4)="LA01","KARGIL",IF(LEFT(I135,1)="T","TEMP","NEW")))))))))))))))))</f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>ROW()-1</f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16","GANDERBAL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)</f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>ROW()-1</f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>IF(LEFT(I137,4)="JK13","PULWAMA",IF(LEFT(I137,4)="JK01","SRINAGAR",IF(LEFT(I137,4)="JK04","BUDGAM",IF(LEFT(I137,4)="JK03","ANANTNAG",IF(LEFT(I137,4)="JK05","BARAMULLA",IF(LEFT(I137,4)="26BH","BHARAT",IF(LEFT(I137,4)="25BH","BHARAT",IF(LEFT(I137,4)="JK12","POONCH",IF(LEFT(I137,4)="JK16","GANDERBAL",IF(LEFT(I137,4)="JK18","KULGAM",IF(LEFT(I137,4)="JK22","SHOPIAN",IF(LEFT(I137,4)="JK02","JAMMU",IF(LEFT(I137,4)="JK09","KUPWARA",IF(LEFT(I137,4)="JK15","BANDIPORA",IF(LEFT(I137,4)="JK17","KISHTWAR",IF(LEFT(I137,4)="LA01","KARGIL",IF(LEFT(I137,1)="T","TEMP","NEW")))))))))))))))))</f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>ROW()-1</f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>IF(LEFT(I138,4)="JK13","PULWAMA",IF(LEFT(I138,4)="JK01","SRINAGAR",IF(LEFT(I138,4)="JK04","BUDGAM",IF(LEFT(I138,4)="JK03","ANANTNAG",IF(LEFT(I138,4)="JK05","BARAMULLA",IF(LEFT(I138,4)="26BH","BHARAT",IF(LEFT(I138,4)="25BH","BHARAT",IF(LEFT(I138,4)="JK12","POONCH",IF(LEFT(I138,4)="JK16","GANDERBAL",IF(LEFT(I138,4)="JK18","KULGAM",IF(LEFT(I138,4)="JK22","SHOPIAN",IF(LEFT(I138,4)="JK02","JAMMU",IF(LEFT(I138,4)="JK09","KUPWARA",IF(LEFT(I138,4)="JK15","BANDIPORA",IF(LEFT(I138,4)="JK17","KISHTWAR",IF(LEFT(I138,4)="LA01","KARGIL",IF(LEFT(I138,1)="T","TEMP","NEW")))))))))))))))))</f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>ROW()-1</f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>IF(LEFT(I139,4)="JK13","PULWAMA",IF(LEFT(I139,4)="JK01","SRINAGAR",IF(LEFT(I139,4)="JK04","BUDGAM",IF(LEFT(I139,4)="JK03","ANANTNAG",IF(LEFT(I139,4)="JK05","BARAMULLA",IF(LEFT(I139,4)="26BH","BHARAT",IF(LEFT(I139,4)="25BH","BHARAT",IF(LEFT(I139,4)="JK12","POONCH",IF(LEFT(I139,4)="JK16","GANDERBAL",IF(LEFT(I139,4)="JK18","KULGAM",IF(LEFT(I139,4)="JK22","SHOPIAN",IF(LEFT(I139,4)="JK02","JAMMU",IF(LEFT(I139,4)="JK09","KUPWARA",IF(LEFT(I139,4)="JK15","BANDIPORA",IF(LEFT(I139,4)="JK17","KISHTWAR",IF(LEFT(I139,4)="LA01","KARGIL",IF(LEFT(I139,1)="T","TEMP","NEW")))))))))))))))))</f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>ROW()-1</f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>IF(LEFT(I140,4)="JK13","PULWAMA",IF(LEFT(I140,4)="JK01","SRINAGAR",IF(LEFT(I140,4)="JK04","BUDGAM",IF(LEFT(I140,4)="JK03","ANANTNAG",IF(LEFT(I140,4)="JK05","BARAMULLA",IF(LEFT(I140,4)="26BH","BHARAT",IF(LEFT(I140,4)="25BH","BHARAT",IF(LEFT(I140,4)="JK12","POONCH",IF(LEFT(I140,4)="JK16","GANDERBAL",IF(LEFT(I140,4)="JK18","KULGAM",IF(LEFT(I140,4)="JK22","SHOPIAN",IF(LEFT(I140,4)="JK02","JAMMU",IF(LEFT(I140,4)="JK09","KUPWARA",IF(LEFT(I140,4)="JK15","BANDIPORA",IF(LEFT(I140,4)="JK17","KISHTWAR",IF(LEFT(I140,4)="LA01","KARGIL",IF(LEFT(I140,1)="T","TEMP","NEW")))))))))))))))))</f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>ROW()-1</f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>IF(LEFT(I141,4)="JK13","PULWAMA",IF(LEFT(I141,4)="JK01","SRINAGAR",IF(LEFT(I141,4)="JK04","BUDGAM",IF(LEFT(I141,4)="JK03","ANANTNAG",IF(LEFT(I141,4)="JK05","BARAMULLA",IF(LEFT(I141,4)="26BH","BHARAT",IF(LEFT(I141,4)="25BH","BHARAT",IF(LEFT(I141,4)="JK12","POONCH",IF(LEFT(I141,4)="JK16","GANDERBAL",IF(LEFT(I141,4)="JK18","KULGAM",IF(LEFT(I141,4)="JK22","SHOPIAN",IF(LEFT(I141,4)="JK02","JAMMU",IF(LEFT(I141,4)="JK09","KUPWARA",IF(LEFT(I141,4)="JK15","BANDIPORA",IF(LEFT(I141,4)="JK17","KISHTWAR",IF(LEFT(I141,4)="LA01","KARGIL",IF(LEFT(I141,1)="T","TEMP","NEW")))))))))))))))))</f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>ROW()-1</f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>IF(LEFT(I142,4)="JK13","PULWAMA",IF(LEFT(I142,4)="JK01","SRINAGAR",IF(LEFT(I142,4)="JK04","BUDGAM",IF(LEFT(I142,4)="JK03","ANANTNAG",IF(LEFT(I142,4)="JK05","BARAMULLA",IF(LEFT(I142,4)="26BH","BHARAT",IF(LEFT(I142,4)="25BH","BHARAT",IF(LEFT(I142,4)="JK12","POONCH",IF(LEFT(I142,4)="JK16","GANDERBAL",IF(LEFT(I142,4)="JK18","KULGAM",IF(LEFT(I142,4)="JK22","SHOPIAN",IF(LEFT(I142,4)="JK02","JAMMU",IF(LEFT(I142,4)="JK09","KUPWARA",IF(LEFT(I142,4)="JK15","BANDIPORA",IF(LEFT(I142,4)="JK17","KISHTWAR",IF(LEFT(I142,4)="LA01","KARGIL",IF(LEFT(I142,1)="T","TEMP","NEW")))))))))))))))))</f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>ROW()-1</f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>IF(LEFT(I143,4)="JK13","PULWAMA",IF(LEFT(I143,4)="JK01","SRINAGAR",IF(LEFT(I143,4)="JK04","BUDGAM",IF(LEFT(I143,4)="JK03","ANANTNAG",IF(LEFT(I143,4)="JK05","BARAMULLA",IF(LEFT(I143,4)="26BH","BHARAT",IF(LEFT(I143,4)="25BH","BHARAT",IF(LEFT(I143,4)="JK12","POONCH",IF(LEFT(I143,4)="JK16","GANDERBAL",IF(LEFT(I143,4)="JK18","KULGAM",IF(LEFT(I143,4)="JK22","SHOPIAN",IF(LEFT(I143,4)="JK02","JAMMU",IF(LEFT(I143,4)="JK09","KUPWARA",IF(LEFT(I143,4)="JK15","BANDIPORA",IF(LEFT(I143,4)="JK17","KISHTWAR",IF(LEFT(I143,4)="LA01","KARGIL",IF(LEFT(I143,1)="T","TEMP","NEW")))))))))))))))))</f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>ROW()-1</f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>IF(LEFT(I144,4)="JK13","PULWAMA",IF(LEFT(I144,4)="JK01","SRINAGAR",IF(LEFT(I144,4)="JK04","BUDGAM",IF(LEFT(I144,4)="JK03","ANANTNAG",IF(LEFT(I144,4)="JK05","BARAMULLA",IF(LEFT(I144,4)="26BH","BHARAT",IF(LEFT(I144,4)="25BH","BHARAT",IF(LEFT(I144,4)="JK12","POONCH",IF(LEFT(I144,4)="JK16","GANDERBAL",IF(LEFT(I144,4)="JK18","KULGAM",IF(LEFT(I144,4)="JK22","SHOPIAN",IF(LEFT(I144,4)="JK02","JAMMU",IF(LEFT(I144,4)="JK09","KUPWARA",IF(LEFT(I144,4)="JK15","BANDIPORA",IF(LEFT(I144,4)="JK17","KISHTWAR",IF(LEFT(I144,4)="LA01","KARGIL",IF(LEFT(I144,1)="T","TEMP","NEW")))))))))))))))))</f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>ROW()-1</f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>IF(LEFT(I145,4)="JK13","PULWAMA",IF(LEFT(I145,4)="JK01","SRINAGAR",IF(LEFT(I145,4)="JK04","BUDGAM",IF(LEFT(I145,4)="JK03","ANANTNAG",IF(LEFT(I145,4)="JK05","BARAMULLA",IF(LEFT(I145,4)="26BH","BHARAT",IF(LEFT(I145,4)="25BH","BHARAT",IF(LEFT(I145,4)="JK12","POONCH",IF(LEFT(I145,4)="JK16","GANDERBAL",IF(LEFT(I145,4)="JK18","KULGAM",IF(LEFT(I145,4)="JK22","SHOPIAN",IF(LEFT(I145,4)="JK02","JAMMU",IF(LEFT(I145,4)="JK09","KUPWARA",IF(LEFT(I145,4)="JK15","BANDIPORA",IF(LEFT(I145,4)="JK17","KISHTWAR",IF(LEFT(I145,4)="LA01","KARGIL",IF(LEFT(I145,1)="T","TEMP","NEW")))))))))))))))))</f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>ROW()-1</f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>IF(LEFT(I146,4)="JK13","PULWAMA",IF(LEFT(I146,4)="JK01","SRINAGAR",IF(LEFT(I146,4)="JK04","BUDGAM",IF(LEFT(I146,4)="JK03","ANANTNAG",IF(LEFT(I146,4)="JK05","BARAMULLA",IF(LEFT(I146,4)="26BH","BHARAT",IF(LEFT(I146,4)="25BH","BHARAT",IF(LEFT(I146,4)="JK12","POONCH",IF(LEFT(I146,4)="JK16","GANDERBAL",IF(LEFT(I146,4)="JK18","KULGAM",IF(LEFT(I146,4)="JK22","SHOPIAN",IF(LEFT(I146,4)="JK02","JAMMU",IF(LEFT(I146,4)="JK09","KUPWARA",IF(LEFT(I146,4)="JK15","BANDIPORA",IF(LEFT(I146,4)="JK17","KISHTWAR",IF(LEFT(I146,4)="LA01","KARGIL",IF(LEFT(I146,1)="T","TEMP","NEW")))))))))))))))))</f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>ROW()-1</f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>IF(LEFT(I147,4)="JK13","PULWAMA",IF(LEFT(I147,4)="JK01","SRINAGAR",IF(LEFT(I147,4)="JK04","BUDGAM",IF(LEFT(I147,4)="JK03","ANANTNAG",IF(LEFT(I147,4)="JK05","BARAMULLA",IF(LEFT(I147,4)="26BH","BHARAT",IF(LEFT(I147,4)="25BH","BHARAT",IF(LEFT(I147,4)="JK12","POONCH",IF(LEFT(I147,4)="JK16","GANDERBAL",IF(LEFT(I147,4)="JK18","KULGAM",IF(LEFT(I147,4)="JK22","SHOPIAN",IF(LEFT(I147,4)="JK02","JAMMU",IF(LEFT(I147,4)="JK09","KUPWARA",IF(LEFT(I147,4)="JK15","BANDIPORA",IF(LEFT(I147,4)="JK17","KISHTWAR",IF(LEFT(I147,4)="LA01","KARGIL",IF(LEFT(I147,1)="T","TEMP","NEW")))))))))))))))))</f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>ROW()-1</f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>IF(LEFT(I148,4)="JK13","PULWAMA",IF(LEFT(I148,4)="JK01","SRINAGAR",IF(LEFT(I148,4)="JK04","BUDGAM",IF(LEFT(I148,4)="JK03","ANANTNAG",IF(LEFT(I148,4)="JK05","BARAMULLA",IF(LEFT(I148,4)="26BH","BHARAT",IF(LEFT(I148,4)="25BH","BHARAT",IF(LEFT(I148,4)="JK12","POONCH",IF(LEFT(I148,4)="JK16","GANDERBAL",IF(LEFT(I148,4)="JK18","KULGAM",IF(LEFT(I148,4)="JK22","SHOPIAN",IF(LEFT(I148,4)="JK02","JAMMU",IF(LEFT(I148,4)="JK09","KUPWARA",IF(LEFT(I148,4)="JK15","BANDIPORA",IF(LEFT(I148,4)="JK17","KISHTWAR",IF(LEFT(I148,4)="LA01","KARGIL",IF(LEFT(I148,1)="T","TEMP","NEW")))))))))))))))))</f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>ROW()-1</f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>IF(LEFT(I149,4)="JK13","PULWAMA",IF(LEFT(I149,4)="JK01","SRINAGAR",IF(LEFT(I149,4)="JK04","BUDGAM",IF(LEFT(I149,4)="JK03","ANANTNAG",IF(LEFT(I149,4)="JK05","BARAMULLA",IF(LEFT(I149,4)="26BH","BHARAT",IF(LEFT(I149,4)="25BH","BHARAT",IF(LEFT(I149,4)="JK12","POONCH",IF(LEFT(I149,4)="JK16","GANDERBAL",IF(LEFT(I149,4)="JK18","KULGAM",IF(LEFT(I149,4)="JK22","SHOPIAN",IF(LEFT(I149,4)="JK02","JAMMU",IF(LEFT(I149,4)="JK09","KUPWARA",IF(LEFT(I149,4)="JK15","BANDIPORA",IF(LEFT(I149,4)="JK17","KISHTWAR",IF(LEFT(I149,4)="LA01","KARGIL",IF(LEFT(I149,1)="T","TEMP","NEW")))))))))))))))))</f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>ROW()-1</f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>IF(LEFT(I150,4)="JK13","PULWAMA",IF(LEFT(I150,4)="JK01","SRINAGAR",IF(LEFT(I150,4)="JK04","BUDGAM",IF(LEFT(I150,4)="JK03","ANANTNAG",IF(LEFT(I150,4)="JK05","BARAMULLA",IF(LEFT(I150,4)="26BH","BHARAT",IF(LEFT(I150,4)="25BH","BHARAT",IF(LEFT(I150,4)="JK12","POONCH",IF(LEFT(I150,4)="JK16","GANDERBAL",IF(LEFT(I150,4)="JK18","KULGAM",IF(LEFT(I150,4)="JK22","SHOPIAN",IF(LEFT(I150,4)="JK02","JAMMU",IF(LEFT(I150,4)="JK09","KUPWARA",IF(LEFT(I150,4)="JK15","BANDIPORA",IF(LEFT(I150,4)="JK17","KISHTWAR",IF(LEFT(I150,4)="LA01","KARGIL",IF(LEFT(I150,1)="T","TEMP","NEW")))))))))))))))))</f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>ROW()-1</f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>IF(LEFT(I151,4)="JK13","PULWAMA",IF(LEFT(I151,4)="JK01","SRINAGAR",IF(LEFT(I151,4)="JK04","BUDGAM",IF(LEFT(I151,4)="JK03","ANANTNAG",IF(LEFT(I151,4)="JK05","BARAMULLA",IF(LEFT(I151,4)="26BH","BHARAT",IF(LEFT(I151,4)="25BH","BHARAT",IF(LEFT(I151,4)="JK12","POONCH",IF(LEFT(I151,4)="JK16","GANDERBAL",IF(LEFT(I151,4)="JK18","KULGAM",IF(LEFT(I151,4)="JK22","SHOPIAN",IF(LEFT(I151,4)="JK02","JAMMU",IF(LEFT(I151,4)="JK09","KUPWARA",IF(LEFT(I151,4)="JK15","BANDIPORA",IF(LEFT(I151,4)="JK17","KISHTWAR",IF(LEFT(I151,4)="LA01","KARGIL",IF(LEFT(I151,1)="T","TEMP","NEW")))))))))))))))))</f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>ROW()-1</f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>IF(LEFT(I152,4)="JK13","PULWAMA",IF(LEFT(I152,4)="JK01","SRINAGAR",IF(LEFT(I152,4)="JK04","BUDGAM",IF(LEFT(I152,4)="JK03","ANANTNAG",IF(LEFT(I152,4)="JK05","BARAMULLA",IF(LEFT(I152,4)="26BH","BHARAT",IF(LEFT(I152,4)="25BH","BHARAT",IF(LEFT(I152,4)="JK12","POONCH",IF(LEFT(I152,4)="JK16","GANDERBAL",IF(LEFT(I152,4)="JK18","KULGAM",IF(LEFT(I152,4)="JK22","SHOPIAN",IF(LEFT(I152,4)="JK02","JAMMU",IF(LEFT(I152,4)="JK09","KUPWARA",IF(LEFT(I152,4)="JK15","BANDIPORA",IF(LEFT(I152,4)="JK17","KISHTWAR",IF(LEFT(I152,4)="LA01","KARGIL",IF(LEFT(I152,1)="T","TEMP","NEW")))))))))))))))))</f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>ROW()-1</f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>IF(LEFT(I153,4)="JK13","PULWAMA",IF(LEFT(I153,4)="JK01","SRINAGAR",IF(LEFT(I153,4)="JK04","BUDGAM",IF(LEFT(I153,4)="JK03","ANANTNAG",IF(LEFT(I153,4)="JK05","BARAMULLA",IF(LEFT(I153,4)="26BH","BHARAT",IF(LEFT(I153,4)="25BH","BHARAT",IF(LEFT(I153,4)="JK12","POONCH",IF(LEFT(I153,4)="JK16","GANDERBAL",IF(LEFT(I153,4)="JK18","KULGAM",IF(LEFT(I153,4)="JK22","SHOPIAN",IF(LEFT(I153,4)="JK02","JAMMU",IF(LEFT(I153,4)="JK09","KUPWARA",IF(LEFT(I153,4)="JK15","BANDIPORA",IF(LEFT(I153,4)="JK17","KISHTWAR",IF(LEFT(I153,4)="LA01","KARGIL",IF(LEFT(I153,1)="T","TEMP","NEW")))))))))))))))))</f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>ROW()-1</f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>IF(LEFT(I154,4)="JK13","PULWAMA",IF(LEFT(I154,4)="JK01","SRINAGAR",IF(LEFT(I154,4)="JK04","BUDGAM",IF(LEFT(I154,4)="JK03","ANANTNAG",IF(LEFT(I154,4)="JK05","BARAMULLA",IF(LEFT(I154,4)="26BH","BHARAT",IF(LEFT(I154,4)="25BH","BHARAT",IF(LEFT(I154,4)="JK12","POONCH",IF(LEFT(I154,4)="JK16","GANDERBAL",IF(LEFT(I154,4)="JK18","KULGAM",IF(LEFT(I154,4)="JK22","SHOPIAN",IF(LEFT(I154,4)="JK02","JAMMU",IF(LEFT(I154,4)="JK09","KUPWARA",IF(LEFT(I154,4)="JK15","BANDIPORA",IF(LEFT(I154,4)="JK17","KISHTWAR",IF(LEFT(I154,4)="LA01","KARGIL",IF(LEFT(I154,1)="T","TEMP","NEW")))))))))))))))))</f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>ROW()-1</f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>IF(LEFT(I155,4)="JK13","PULWAMA",IF(LEFT(I155,4)="JK01","SRINAGAR",IF(LEFT(I155,4)="JK04","BUDGAM",IF(LEFT(I155,4)="JK03","ANANTNAG",IF(LEFT(I155,4)="JK05","BARAMULLA",IF(LEFT(I155,4)="26BH","BHARAT",IF(LEFT(I155,4)="25BH","BHARAT",IF(LEFT(I155,4)="JK12","POONCH",IF(LEFT(I155,4)="JK16","GANDERBAL",IF(LEFT(I155,4)="JK18","KULGAM",IF(LEFT(I155,4)="JK22","SHOPIAN",IF(LEFT(I155,4)="JK02","JAMMU",IF(LEFT(I155,4)="JK09","KUPWARA",IF(LEFT(I155,4)="JK15","BANDIPORA",IF(LEFT(I155,4)="JK17","KISHTWAR",IF(LEFT(I155,4)="LA01","KARGIL",IF(LEFT(I155,1)="T","TEMP","NEW")))))))))))))))))</f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>ROW()-1</f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>IF(LEFT(I156,4)="JK13","PULWAMA",IF(LEFT(I156,4)="JK01","SRINAGAR",IF(LEFT(I156,4)="JK04","BUDGAM",IF(LEFT(I156,4)="JK03","ANANTNAG",IF(LEFT(I156,4)="JK05","BARAMULLA",IF(LEFT(I156,4)="26BH","BHARAT",IF(LEFT(I156,4)="25BH","BHARAT",IF(LEFT(I156,4)="JK12","POONCH",IF(LEFT(I156,4)="JK16","GANDERBAL",IF(LEFT(I156,4)="JK18","KULGAM",IF(LEFT(I156,4)="JK22","SHOPIAN",IF(LEFT(I156,4)="JK02","JAMMU",IF(LEFT(I156,4)="JK09","KUPWARA",IF(LEFT(I156,4)="JK15","BANDIPORA",IF(LEFT(I156,4)="JK17","KISHTWAR",IF(LEFT(I156,4)="LA01","KARGIL",IF(LEFT(I156,1)="T","TEMP","NEW")))))))))))))))))</f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>ROW()-1</f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>IF(LEFT(I157,4)="JK13","PULWAMA",IF(LEFT(I157,4)="JK01","SRINAGAR",IF(LEFT(I157,4)="JK04","BUDGAM",IF(LEFT(I157,4)="JK03","ANANTNAG",IF(LEFT(I157,4)="JK05","BARAMULLA",IF(LEFT(I157,4)="26BH","BHARAT",IF(LEFT(I157,4)="25BH","BHARAT",IF(LEFT(I157,4)="JK12","POONCH",IF(LEFT(I157,4)="JK16","GANDERBAL",IF(LEFT(I157,4)="JK18","KULGAM",IF(LEFT(I157,4)="JK22","SHOPIAN",IF(LEFT(I157,4)="JK02","JAMMU",IF(LEFT(I157,4)="JK09","KUPWARA",IF(LEFT(I157,4)="JK15","BANDIPORA",IF(LEFT(I157,4)="JK17","KISHTWAR",IF(LEFT(I157,4)="LA01","KARGIL",IF(LEFT(I157,1)="T","TEMP","NEW")))))))))))))))))</f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>ROW()-1</f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>ROW()-1</f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>IF(LEFT(I159,4)="JK13","PULWAMA",IF(LEFT(I159,4)="JK01","SRINAGAR",IF(LEFT(I159,4)="JK04","BUDGAM",IF(LEFT(I159,4)="JK03","ANANTNAG",IF(LEFT(I159,4)="JK05","BARAMULLA",IF(LEFT(I159,4)="26BH","BHARAT",IF(LEFT(I159,4)="25BH","BHARAT",IF(LEFT(I159,4)="JK12","POONCH",IF(LEFT(I159,4)="JK16","GANDERBAL",IF(LEFT(I159,4)="JK18","KULGAM",IF(LEFT(I159,4)="JK22","SHOPIAN",IF(LEFT(I159,4)="JK02","JAMMU",IF(LEFT(I159,4)="JK09","KUPWARA",IF(LEFT(I159,4)="JK15","BANDIPORA",IF(LEFT(I159,4)="JK17","KISHTWAR",IF(LEFT(I159,4)="LA01","KARGIL",IF(LEFT(I159,1)="T","TEMP","NEW")))))))))))))))))</f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>ROW()-1</f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>IF(LEFT(I160,4)="JK13","PULWAMA",IF(LEFT(I160,4)="JK01","SRINAGAR",IF(LEFT(I160,4)="JK04","BUDGAM",IF(LEFT(I160,4)="JK03","ANANTNAG",IF(LEFT(I160,4)="JK05","BARAMULLA",IF(LEFT(I160,4)="26BH","BHARAT",IF(LEFT(I160,4)="25BH","BHARAT",IF(LEFT(I160,4)="JK12","POONCH",IF(LEFT(I160,4)="JK16","GANDERBAL",IF(LEFT(I160,4)="JK18","KULGAM",IF(LEFT(I160,4)="JK22","SHOPIAN",IF(LEFT(I160,4)="JK02","JAMMU",IF(LEFT(I160,4)="JK09","KUPWARA",IF(LEFT(I160,4)="JK15","BANDIPORA",IF(LEFT(I160,4)="JK17","KISHTWAR",IF(LEFT(I160,4)="LA01","KARGIL",IF(LEFT(I160,1)="T","TEMP","NEW")))))))))))))))))</f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>ROW()-1</f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>IF(LEFT(I161,4)="JK13","PULWAMA",IF(LEFT(I161,4)="JK01","SRINAGAR",IF(LEFT(I161,4)="JK04","BUDGAM",IF(LEFT(I161,4)="JK03","ANANTNAG",IF(LEFT(I161,4)="JK05","BARAMULLA",IF(LEFT(I161,4)="26BH","BHARAT",IF(LEFT(I161,4)="25BH","BHARAT",IF(LEFT(I161,4)="JK12","POONCH",IF(LEFT(I161,4)="JK16","GANDERBAL",IF(LEFT(I161,4)="JK18","KULGAM",IF(LEFT(I161,4)="JK22","SHOPIAN",IF(LEFT(I161,4)="JK02","JAMMU",IF(LEFT(I161,4)="JK09","KUPWARA",IF(LEFT(I161,4)="JK15","BANDIPORA",IF(LEFT(I161,4)="JK17","KISHTWAR",IF(LEFT(I161,4)="LA01","KARGIL",IF(LEFT(I161,1)="T","TEMP","NEW")))))))))))))))))</f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>ROW()-1</f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>IF(LEFT(I162,4)="JK13","PULWAMA",IF(LEFT(I162,4)="JK01","SRINAGAR",IF(LEFT(I162,4)="JK04","BUDGAM",IF(LEFT(I162,4)="JK03","ANANTNAG",IF(LEFT(I162,4)="JK05","BARAMULLA",IF(LEFT(I162,4)="26BH","BHARAT",IF(LEFT(I162,4)="25BH","BHARAT",IF(LEFT(I162,4)="JK12","POONCH",IF(LEFT(I162,4)="JK16","GANDERBAL",IF(LEFT(I162,4)="JK18","KULGAM",IF(LEFT(I162,4)="JK22","SHOPIAN",IF(LEFT(I162,4)="JK02","JAMMU",IF(LEFT(I162,4)="JK09","KUPWARA",IF(LEFT(I162,4)="JK15","BANDIPORA",IF(LEFT(I162,4)="JK17","KISHTWAR",IF(LEFT(I162,4)="LA01","KARGIL",IF(LEFT(I162,1)="T","TEMP","NEW")))))))))))))))))</f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>ROW()-1</f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>IF(LEFT(I163,4)="JK13","PULWAMA",IF(LEFT(I163,4)="JK01","SRINAGAR",IF(LEFT(I163,4)="JK04","BUDGAM",IF(LEFT(I163,4)="JK03","ANANTNAG",IF(LEFT(I163,4)="JK05","BARAMULLA",IF(LEFT(I163,4)="26BH","BHARAT",IF(LEFT(I163,4)="25BH","BHARAT",IF(LEFT(I163,4)="JK12","POONCH",IF(LEFT(I163,4)="JK16","GANDERBAL",IF(LEFT(I163,4)="JK18","KULGAM",IF(LEFT(I163,4)="JK22","SHOPIAN",IF(LEFT(I163,4)="JK02","JAMMU",IF(LEFT(I163,4)="JK09","KUPWARA",IF(LEFT(I163,4)="JK15","BANDIPORA",IF(LEFT(I163,4)="JK17","KISHTWAR",IF(LEFT(I163,4)="LA01","KARGIL",IF(LEFT(I163,1)="T","TEMP","NEW")))))))))))))))))</f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>ROW()-1</f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>IF(LEFT(I164,4)="JK13","PULWAMA",IF(LEFT(I164,4)="JK01","SRINAGAR",IF(LEFT(I164,4)="JK04","BUDGAM",IF(LEFT(I164,4)="JK03","ANANTNAG",IF(LEFT(I164,4)="JK05","BARAMULLA",IF(LEFT(I164,4)="26BH","BHARAT",IF(LEFT(I164,4)="25BH","BHARAT",IF(LEFT(I164,4)="JK12","POONCH",IF(LEFT(I164,4)="JK16","GANDERBAL",IF(LEFT(I164,4)="JK18","KULGAM",IF(LEFT(I164,4)="JK22","SHOPIAN",IF(LEFT(I164,4)="JK02","JAMMU",IF(LEFT(I164,4)="JK09","KUPWARA",IF(LEFT(I164,4)="JK15","BANDIPORA",IF(LEFT(I164,4)="JK17","KISHTWAR",IF(LEFT(I164,4)="LA01","KARGIL",IF(LEFT(I164,1)="T","TEMP","NEW")))))))))))))))))</f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>ROW()-1</f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>IF(LEFT(I165,4)="JK13","PULWAMA",IF(LEFT(I165,4)="JK01","SRINAGAR",IF(LEFT(I165,4)="JK04","BUDGAM",IF(LEFT(I165,4)="JK03","ANANTNAG",IF(LEFT(I165,4)="JK05","BARAMULLA",IF(LEFT(I165,4)="26BH","BHARAT",IF(LEFT(I165,4)="25BH","BHARAT",IF(LEFT(I165,4)="JK12","POONCH",IF(LEFT(I165,4)="JK16","GANDERBAL",IF(LEFT(I165,4)="JK18","KULGAM",IF(LEFT(I165,4)="JK22","SHOPIAN",IF(LEFT(I165,4)="JK02","JAMMU",IF(LEFT(I165,4)="JK09","KUPWARA",IF(LEFT(I165,4)="JK15","BANDIPORA",IF(LEFT(I165,4)="JK17","KISHTWAR",IF(LEFT(I165,4)="LA01","KARGIL",IF(LEFT(I165,1)="T","TEMP","NEW")))))))))))))))))</f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>ROW()-1</f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>IF(LEFT(I166,4)="JK13","PULWAMA",IF(LEFT(I166,4)="JK01","SRINAGAR",IF(LEFT(I166,4)="JK04","BUDGAM",IF(LEFT(I166,4)="JK03","ANANTNAG",IF(LEFT(I166,4)="JK05","BARAMULLA",IF(LEFT(I166,4)="26BH","BHARAT",IF(LEFT(I166,4)="25BH","BHARAT",IF(LEFT(I166,4)="JK12","POONCH",IF(LEFT(I166,4)="JK16","GANDERBAL",IF(LEFT(I166,4)="JK18","KULGAM",IF(LEFT(I166,4)="JK22","SHOPIAN",IF(LEFT(I166,4)="JK02","JAMMU",IF(LEFT(I166,4)="JK09","KUPWARA",IF(LEFT(I166,4)="JK15","BANDIPORA",IF(LEFT(I166,4)="JK17","KISHTWAR",IF(LEFT(I166,4)="LA01","KARGIL",IF(LEFT(I166,1)="T","TEMP","NEW")))))))))))))))))</f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>ROW()-1</f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>IF(LEFT(I167,4)="JK13","PULWAMA",IF(LEFT(I167,4)="JK01","SRINAGAR",IF(LEFT(I167,4)="JK04","BUDGAM",IF(LEFT(I167,4)="JK03","ANANTNAG",IF(LEFT(I167,4)="JK05","BARAMULLA",IF(LEFT(I167,4)="26BH","BHARAT",IF(LEFT(I167,4)="25BH","BHARAT",IF(LEFT(I167,4)="JK12","POONCH",IF(LEFT(I167,4)="JK16","GANDERBAL",IF(LEFT(I167,4)="JK18","KULGAM",IF(LEFT(I167,4)="JK22","SHOPIAN",IF(LEFT(I167,4)="JK02","JAMMU",IF(LEFT(I167,4)="JK09","KUPWARA",IF(LEFT(I167,4)="JK15","BANDIPORA",IF(LEFT(I167,4)="JK17","KISHTWAR",IF(LEFT(I167,4)="LA01","KARGIL",IF(LEFT(I167,1)="T","TEMP","NEW")))))))))))))))))</f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>ROW()-1</f>
        <v>167</v>
      </c>
      <c r="B168" s="43" t="s">
        <v>7157</v>
      </c>
      <c r="C168" s="43" t="s">
        <v>7154</v>
      </c>
      <c r="D168" s="43" t="s">
        <v>7155</v>
      </c>
      <c r="E168" s="43" t="s">
        <v>7156</v>
      </c>
      <c r="F168" s="43" t="s">
        <v>119</v>
      </c>
      <c r="G168" s="43" t="s">
        <v>175</v>
      </c>
      <c r="H168" s="43" t="str">
        <f>IF(LEFT(I168,4)="JK13","PULWAMA",IF(LEFT(I168,4)="JK01","SRINAGAR",IF(LEFT(I168,4)="JK04","BUDGAM",IF(LEFT(I168,4)="JK03","ANANTNAG",IF(LEFT(I168,4)="JK05","BARAMULLA",IF(LEFT(I168,4)="26BH","BHARAT",IF(LEFT(I168,4)="25BH","BHARAT",IF(LEFT(I168,4)="JK12","POONCH",IF(LEFT(I168,4)="JK16","GANDERBAL",IF(LEFT(I168,4)="JK18","KULGAM",IF(LEFT(I168,4)="JK22","SHOPIAN",IF(LEFT(I168,4)="JK02","JAMMU",IF(LEFT(I168,4)="JK09","KUPWARA",IF(LEFT(I168,4)="JK15","BANDIPORA",IF(LEFT(I168,4)="JK17","KISHTWAR",IF(LEFT(I168,4)="LA01","KARGIL",IF(LEFT(I168,1)="T","TEMP","NEW")))))))))))))))))</f>
        <v>PULWAMA</v>
      </c>
      <c r="I168" s="43" t="s">
        <v>7168</v>
      </c>
      <c r="J168" s="44">
        <v>46007</v>
      </c>
      <c r="K168" s="43">
        <v>7889354231</v>
      </c>
      <c r="L168" s="43" t="s">
        <v>6520</v>
      </c>
      <c r="M168" s="45" t="s">
        <v>7670</v>
      </c>
      <c r="N168" s="44">
        <v>46021</v>
      </c>
      <c r="O168" s="43"/>
      <c r="P168" s="46"/>
      <c r="Q168" s="43"/>
      <c r="R168" s="43" t="s">
        <v>7192</v>
      </c>
    </row>
    <row r="169" spans="1:18" x14ac:dyDescent="0.25">
      <c r="A169" s="43">
        <f>ROW()-1</f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>IF(LEFT(I169,4)="JK13","PULWAMA",IF(LEFT(I169,4)="JK01","SRINAGAR",IF(LEFT(I169,4)="JK04","BUDGAM",IF(LEFT(I169,4)="JK03","ANANTNAG",IF(LEFT(I169,4)="JK05","BARAMULLA",IF(LEFT(I169,4)="26BH","BHARAT",IF(LEFT(I169,4)="25BH","BHARAT",IF(LEFT(I169,4)="JK12","POONCH",IF(LEFT(I169,4)="JK16","GANDERBAL",IF(LEFT(I169,4)="JK18","KULGAM",IF(LEFT(I169,4)="JK22","SHOPIAN",IF(LEFT(I169,4)="JK02","JAMMU",IF(LEFT(I169,4)="JK09","KUPWARA",IF(LEFT(I169,4)="JK15","BANDIPORA",IF(LEFT(I169,4)="JK17","KISHTWAR",IF(LEFT(I169,4)="LA01","KARGIL",IF(LEFT(I169,1)="T","TEMP","NEW")))))))))))))))))</f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>ROW()-1</f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>IF(LEFT(I170,4)="JK13","PULWAMA",IF(LEFT(I170,4)="JK01","SRINAGAR",IF(LEFT(I170,4)="JK04","BUDGAM",IF(LEFT(I170,4)="JK03","ANANTNAG",IF(LEFT(I170,4)="JK05","BARAMULLA",IF(LEFT(I170,4)="26BH","BHARAT",IF(LEFT(I170,4)="25BH","BHARAT",IF(LEFT(I170,4)="JK12","POONCH",IF(LEFT(I170,4)="JK16","GANDERBAL",IF(LEFT(I170,4)="JK18","KULGAM",IF(LEFT(I170,4)="JK22","SHOPIAN",IF(LEFT(I170,4)="JK02","JAMMU",IF(LEFT(I170,4)="JK09","KUPWARA",IF(LEFT(I170,4)="JK15","BANDIPORA",IF(LEFT(I170,4)="JK17","KISHTWAR",IF(LEFT(I170,4)="LA01","KARGIL",IF(LEFT(I170,1)="T","TEMP","NEW")))))))))))))))))</f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>ROW()-1</f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>IF(LEFT(I171,4)="JK13","PULWAMA",IF(LEFT(I171,4)="JK01","SRINAGAR",IF(LEFT(I171,4)="JK04","BUDGAM",IF(LEFT(I171,4)="JK03","ANANTNAG",IF(LEFT(I171,4)="JK05","BARAMULLA",IF(LEFT(I171,4)="26BH","BHARAT",IF(LEFT(I171,4)="25BH","BHARAT",IF(LEFT(I171,4)="JK12","POONCH",IF(LEFT(I171,4)="JK16","GANDERBAL",IF(LEFT(I171,4)="JK18","KULGAM",IF(LEFT(I171,4)="JK22","SHOPIAN",IF(LEFT(I171,4)="JK02","JAMMU",IF(LEFT(I171,4)="JK09","KUPWARA",IF(LEFT(I171,4)="JK15","BANDIPORA",IF(LEFT(I171,4)="JK17","KISHTWAR",IF(LEFT(I171,4)="LA01","KARGIL",IF(LEFT(I171,1)="T","TEMP","NEW")))))))))))))))))</f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>ROW()-1</f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>IF(LEFT(I172,4)="JK13","PULWAMA",IF(LEFT(I172,4)="JK01","SRINAGAR",IF(LEFT(I172,4)="JK04","BUDGAM",IF(LEFT(I172,4)="JK03","ANANTNAG",IF(LEFT(I172,4)="JK05","BARAMULLA",IF(LEFT(I172,4)="26BH","BHARAT",IF(LEFT(I172,4)="25BH","BHARAT",IF(LEFT(I172,4)="JK12","POONCH",IF(LEFT(I172,4)="JK16","GANDERBAL",IF(LEFT(I172,4)="JK18","KULGAM",IF(LEFT(I172,4)="JK22","SHOPIAN",IF(LEFT(I172,4)="JK02","JAMMU",IF(LEFT(I172,4)="JK09","KUPWARA",IF(LEFT(I172,4)="JK15","BANDIPORA",IF(LEFT(I172,4)="JK17","KISHTWAR",IF(LEFT(I172,4)="LA01","KARGIL",IF(LEFT(I172,1)="T","TEMP","NEW")))))))))))))))))</f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>ROW()-1</f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>IF(LEFT(I173,4)="JK13","PULWAMA",IF(LEFT(I173,4)="JK01","SRINAGAR",IF(LEFT(I173,4)="JK04","BUDGAM",IF(LEFT(I173,4)="JK03","ANANTNAG",IF(LEFT(I173,4)="JK05","BARAMULLA",IF(LEFT(I173,4)="26BH","BHARAT",IF(LEFT(I173,4)="25BH","BHARAT",IF(LEFT(I173,4)="JK12","POONCH",IF(LEFT(I173,4)="JK16","GANDERBAL",IF(LEFT(I173,4)="JK18","KULGAM",IF(LEFT(I173,4)="JK22","SHOPIAN",IF(LEFT(I173,4)="JK02","JAMMU",IF(LEFT(I173,4)="JK09","KUPWARA",IF(LEFT(I173,4)="JK15","BANDIPORA",IF(LEFT(I173,4)="JK17","KISHTWAR",IF(LEFT(I173,4)="LA01","KARGIL",IF(LEFT(I173,1)="T","TEMP","NEW")))))))))))))))))</f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>ROW()-1</f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>IF(LEFT(I174,4)="JK13","PULWAMA",IF(LEFT(I174,4)="JK01","SRINAGAR",IF(LEFT(I174,4)="JK04","BUDGAM",IF(LEFT(I174,4)="JK03","ANANTNAG",IF(LEFT(I174,4)="JK05","BARAMULLA",IF(LEFT(I174,4)="26BH","BHARAT",IF(LEFT(I174,4)="25BH","BHARAT",IF(LEFT(I174,4)="JK12","POONCH",IF(LEFT(I174,4)="JK16","GANDERBAL",IF(LEFT(I174,4)="JK18","KULGAM",IF(LEFT(I174,4)="JK22","SHOPIAN",IF(LEFT(I174,4)="JK02","JAMMU",IF(LEFT(I174,4)="JK09","KUPWARA",IF(LEFT(I174,4)="JK15","BANDIPORA",IF(LEFT(I174,4)="JK17","KISHTWAR",IF(LEFT(I174,4)="LA01","KARGIL",IF(LEFT(I174,1)="T","TEMP","NEW")))))))))))))))))</f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>ROW()-1</f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>IF(LEFT(I175,4)="JK13","PULWAMA",IF(LEFT(I175,4)="JK01","SRINAGAR",IF(LEFT(I175,4)="JK04","BUDGAM",IF(LEFT(I175,4)="JK03","ANANTNAG",IF(LEFT(I175,4)="JK05","BARAMULLA",IF(LEFT(I175,4)="26BH","BHARAT",IF(LEFT(I175,4)="25BH","BHARAT",IF(LEFT(I175,4)="JK12","POONCH",IF(LEFT(I175,4)="JK16","GANDERBAL",IF(LEFT(I175,4)="JK18","KULGAM",IF(LEFT(I175,4)="JK22","SHOPIAN",IF(LEFT(I175,4)="JK02","JAMMU",IF(LEFT(I175,4)="JK09","KUPWARA",IF(LEFT(I175,4)="JK15","BANDIPORA",IF(LEFT(I175,4)="JK17","KISHTWAR",IF(LEFT(I175,4)="LA01","KARGIL",IF(LEFT(I175,1)="T","TEMP","NEW")))))))))))))))))</f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>ROW()-1</f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>IF(LEFT(I176,4)="JK13","PULWAMA",IF(LEFT(I176,4)="JK01","SRINAGAR",IF(LEFT(I176,4)="JK04","BUDGAM",IF(LEFT(I176,4)="JK03","ANANTNAG",IF(LEFT(I176,4)="JK05","BARAMULLA",IF(LEFT(I176,4)="26BH","BHARAT",IF(LEFT(I176,4)="25BH","BHARAT",IF(LEFT(I176,4)="JK12","POONCH",IF(LEFT(I176,4)="JK16","GANDERBAL",IF(LEFT(I176,4)="JK18","KULGAM",IF(LEFT(I176,4)="JK22","SHOPIAN",IF(LEFT(I176,4)="JK02","JAMMU",IF(LEFT(I176,4)="JK09","KUPWARA",IF(LEFT(I176,4)="JK15","BANDIPORA",IF(LEFT(I176,4)="JK17","KISHTWAR",IF(LEFT(I176,4)="LA01","KARGIL",IF(LEFT(I176,1)="T","TEMP","NEW")))))))))))))))))</f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>ROW()-1</f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>IF(LEFT(I177,4)="JK13","PULWAMA",IF(LEFT(I177,4)="JK01","SRINAGAR",IF(LEFT(I177,4)="JK04","BUDGAM",IF(LEFT(I177,4)="JK03","ANANTNAG",IF(LEFT(I177,4)="JK05","BARAMULLA",IF(LEFT(I177,4)="26BH","BHARAT",IF(LEFT(I177,4)="25BH","BHARAT",IF(LEFT(I177,4)="JK12","POONCH",IF(LEFT(I177,4)="JK16","GANDERBAL",IF(LEFT(I177,4)="JK18","KULGAM",IF(LEFT(I177,4)="JK22","SHOPIAN",IF(LEFT(I177,4)="JK02","JAMMU",IF(LEFT(I177,4)="JK09","KUPWARA",IF(LEFT(I177,4)="JK15","BANDIPORA",IF(LEFT(I177,4)="JK17","KISHTWAR",IF(LEFT(I177,4)="LA01","KARGIL",IF(LEFT(I177,1)="T","TEMP","NEW")))))))))))))))))</f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>ROW()-1</f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>IF(LEFT(I178,4)="JK13","PULWAMA",IF(LEFT(I178,4)="JK01","SRINAGAR",IF(LEFT(I178,4)="JK04","BUDGAM",IF(LEFT(I178,4)="JK03","ANANTNAG",IF(LEFT(I178,4)="JK05","BARAMULLA",IF(LEFT(I178,4)="26BH","BHARAT",IF(LEFT(I178,4)="25BH","BHARAT",IF(LEFT(I178,4)="JK12","POONCH",IF(LEFT(I178,4)="JK16","GANDERBAL",IF(LEFT(I178,4)="JK18","KULGAM",IF(LEFT(I178,4)="JK22","SHOPIAN",IF(LEFT(I178,4)="JK02","JAMMU",IF(LEFT(I178,4)="JK09","KUPWARA",IF(LEFT(I178,4)="JK15","BANDIPORA",IF(LEFT(I178,4)="JK17","KISHTWAR",IF(LEFT(I178,4)="LA01","KARGIL",IF(LEFT(I178,1)="T","TEMP","NEW")))))))))))))))))</f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>ROW()-1</f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>IF(LEFT(I179,4)="JK13","PULWAMA",IF(LEFT(I179,4)="JK01","SRINAGAR",IF(LEFT(I179,4)="JK04","BUDGAM",IF(LEFT(I179,4)="JK03","ANANTNAG",IF(LEFT(I179,4)="JK05","BARAMULLA",IF(LEFT(I179,4)="26BH","BHARAT",IF(LEFT(I179,4)="25BH","BHARAT",IF(LEFT(I179,4)="JK12","POONCH",IF(LEFT(I179,4)="JK16","GANDERBAL",IF(LEFT(I179,4)="JK18","KULGAM",IF(LEFT(I179,4)="JK22","SHOPIAN",IF(LEFT(I179,4)="JK02","JAMMU",IF(LEFT(I179,4)="JK09","KUPWARA",IF(LEFT(I179,4)="JK15","BANDIPORA",IF(LEFT(I179,4)="JK17","KISHTWAR",IF(LEFT(I179,4)="LA01","KARGIL",IF(LEFT(I179,1)="T","TEMP","NEW")))))))))))))))))</f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>ROW()-1</f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>IF(LEFT(I180,4)="JK13","PULWAMA",IF(LEFT(I180,4)="JK01","SRINAGAR",IF(LEFT(I180,4)="JK04","BUDGAM",IF(LEFT(I180,4)="JK03","ANANTNAG",IF(LEFT(I180,4)="JK05","BARAMULLA",IF(LEFT(I180,4)="26BH","BHARAT",IF(LEFT(I180,4)="25BH","BHARAT",IF(LEFT(I180,4)="JK12","POONCH",IF(LEFT(I180,4)="JK16","GANDERBAL",IF(LEFT(I180,4)="JK18","KULGAM",IF(LEFT(I180,4)="JK22","SHOPIAN",IF(LEFT(I180,4)="JK02","JAMMU",IF(LEFT(I180,4)="JK09","KUPWARA",IF(LEFT(I180,4)="JK15","BANDIPORA",IF(LEFT(I180,4)="JK17","KISHTWAR",IF(LEFT(I180,4)="LA01","KARGIL",IF(LEFT(I180,1)="T","TEMP","NEW")))))))))))))))))</f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>ROW()-1</f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>IF(LEFT(I181,4)="JK13","PULWAMA",IF(LEFT(I181,4)="JK01","SRINAGAR",IF(LEFT(I181,4)="JK04","BUDGAM",IF(LEFT(I181,4)="JK03","ANANTNAG",IF(LEFT(I181,4)="JK05","BARAMULLA",IF(LEFT(I181,4)="26BH","BHARAT",IF(LEFT(I181,4)="25BH","BHARAT",IF(LEFT(I181,4)="JK12","POONCH",IF(LEFT(I181,4)="JK16","GANDERBAL",IF(LEFT(I181,4)="JK18","KULGAM",IF(LEFT(I181,4)="JK22","SHOPIAN",IF(LEFT(I181,4)="JK02","JAMMU",IF(LEFT(I181,4)="JK09","KUPWARA",IF(LEFT(I181,4)="JK15","BANDIPORA",IF(LEFT(I181,4)="JK17","KISHTWAR",IF(LEFT(I181,4)="LA01","KARGIL",IF(LEFT(I181,1)="T","TEMP","NEW")))))))))))))))))</f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>ROW()-1</f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>IF(LEFT(I182,4)="JK13","PULWAMA",IF(LEFT(I182,4)="JK01","SRINAGAR",IF(LEFT(I182,4)="JK04","BUDGAM",IF(LEFT(I182,4)="JK03","ANANTNAG",IF(LEFT(I182,4)="JK05","BARAMULLA",IF(LEFT(I182,4)="26BH","BHARAT",IF(LEFT(I182,4)="25BH","BHARAT",IF(LEFT(I182,4)="JK12","POONCH",IF(LEFT(I182,4)="JK16","GANDERBAL",IF(LEFT(I182,4)="JK18","KULGAM",IF(LEFT(I182,4)="JK22","SHOPIAN",IF(LEFT(I182,4)="JK02","JAMMU",IF(LEFT(I182,4)="JK09","KUPWARA",IF(LEFT(I182,4)="JK15","BANDIPORA",IF(LEFT(I182,4)="JK17","KISHTWAR",IF(LEFT(I182,4)="LA01","KARGIL",IF(LEFT(I182,1)="T","TEMP","NEW")))))))))))))))))</f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>ROW()-1</f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>IF(LEFT(I183,4)="JK13","PULWAMA",IF(LEFT(I183,4)="JK01","SRINAGAR",IF(LEFT(I183,4)="JK04","BUDGAM",IF(LEFT(I183,4)="JK03","ANANTNAG",IF(LEFT(I183,4)="JK05","BARAMULLA",IF(LEFT(I183,4)="26BH","BHARAT",IF(LEFT(I183,4)="25BH","BHARAT",IF(LEFT(I183,4)="JK12","POONCH",IF(LEFT(I183,4)="JK16","GANDERBAL",IF(LEFT(I183,4)="JK18","KULGAM",IF(LEFT(I183,4)="JK22","SHOPIAN",IF(LEFT(I183,4)="JK02","JAMMU",IF(LEFT(I183,4)="JK09","KUPWARA",IF(LEFT(I183,4)="JK15","BANDIPORA",IF(LEFT(I183,4)="JK17","KISHTWAR",IF(LEFT(I183,4)="LA01","KARGIL",IF(LEFT(I183,1)="T","TEMP","NEW")))))))))))))))))</f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>ROW()-1</f>
        <v>183</v>
      </c>
      <c r="B184" s="43" t="s">
        <v>7233</v>
      </c>
      <c r="C184" s="43" t="s">
        <v>7234</v>
      </c>
      <c r="D184" s="43" t="s">
        <v>7235</v>
      </c>
      <c r="E184" s="43" t="s">
        <v>6770</v>
      </c>
      <c r="F184" s="43" t="s">
        <v>31</v>
      </c>
      <c r="G184" s="43" t="s">
        <v>200</v>
      </c>
      <c r="H184" s="43" t="str">
        <f>IF(LEFT(I184,4)="JK13","PULWAMA",IF(LEFT(I184,4)="JK01","SRINAGAR",IF(LEFT(I184,4)="JK04","BUDGAM",IF(LEFT(I184,4)="JK03","ANANTNAG",IF(LEFT(I184,4)="JK05","BARAMULLA",IF(LEFT(I184,4)="26BH","BHARAT",IF(LEFT(I184,4)="25BH","BHARAT",IF(LEFT(I184,4)="JK12","POONCH",IF(LEFT(I184,4)="JK16","GANDERBAL",IF(LEFT(I184,4)="JK18","KULGAM",IF(LEFT(I184,4)="JK22","SHOPIAN",IF(LEFT(I184,4)="JK02","JAMMU",IF(LEFT(I184,4)="JK09","KUPWARA",IF(LEFT(I184,4)="JK15","BANDIPORA",IF(LEFT(I184,4)="JK17","KISHTWAR",IF(LEFT(I184,4)="LA01","KARGIL",IF(LEFT(I184,1)="T","TEMP","NEW")))))))))))))))))</f>
        <v>PULWAMA</v>
      </c>
      <c r="I184" s="43" t="s">
        <v>7256</v>
      </c>
      <c r="J184" s="44">
        <v>46009</v>
      </c>
      <c r="K184" s="43">
        <v>9906698557</v>
      </c>
      <c r="L184" s="43" t="s">
        <v>7236</v>
      </c>
      <c r="M184" s="45" t="s">
        <v>7670</v>
      </c>
      <c r="N184" s="44">
        <v>46018</v>
      </c>
      <c r="O184" s="43"/>
      <c r="P184" s="46"/>
      <c r="Q184" s="43"/>
      <c r="R184" s="43"/>
    </row>
    <row r="185" spans="1:18" x14ac:dyDescent="0.25">
      <c r="A185" s="43">
        <f>ROW()-1</f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>IF(LEFT(I185,4)="JK13","PULWAMA",IF(LEFT(I185,4)="JK01","SRINAGAR",IF(LEFT(I185,4)="JK04","BUDGAM",IF(LEFT(I185,4)="JK03","ANANTNAG",IF(LEFT(I185,4)="JK05","BARAMULLA",IF(LEFT(I185,4)="26BH","BHARAT",IF(LEFT(I185,4)="25BH","BHARAT",IF(LEFT(I185,4)="JK12","POONCH",IF(LEFT(I185,4)="JK16","GANDERBAL",IF(LEFT(I185,4)="JK18","KULGAM",IF(LEFT(I185,4)="JK22","SHOPIAN",IF(LEFT(I185,4)="JK02","JAMMU",IF(LEFT(I185,4)="JK09","KUPWARA",IF(LEFT(I185,4)="JK15","BANDIPORA",IF(LEFT(I185,4)="JK17","KISHTWAR",IF(LEFT(I185,4)="LA01","KARGIL",IF(LEFT(I185,1)="T","TEMP","NEW")))))))))))))))))</f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>ROW()-1</f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>IF(LEFT(I186,4)="JK13","PULWAMA",IF(LEFT(I186,4)="JK01","SRINAGAR",IF(LEFT(I186,4)="JK04","BUDGAM",IF(LEFT(I186,4)="JK03","ANANTNAG",IF(LEFT(I186,4)="JK05","BARAMULLA",IF(LEFT(I186,4)="26BH","BHARAT",IF(LEFT(I186,4)="25BH","BHARAT",IF(LEFT(I186,4)="JK12","POONCH",IF(LEFT(I186,4)="JK16","GANDERBAL",IF(LEFT(I186,4)="JK18","KULGAM",IF(LEFT(I186,4)="JK22","SHOPIAN",IF(LEFT(I186,4)="JK02","JAMMU",IF(LEFT(I186,4)="JK09","KUPWARA",IF(LEFT(I186,4)="JK15","BANDIPORA",IF(LEFT(I186,4)="JK17","KISHTWAR",IF(LEFT(I186,4)="LA01","KARGIL",IF(LEFT(I186,1)="T","TEMP","NEW")))))))))))))))))</f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>ROW()-1</f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>IF(LEFT(I187,4)="JK13","PULWAMA",IF(LEFT(I187,4)="JK01","SRINAGAR",IF(LEFT(I187,4)="JK04","BUDGAM",IF(LEFT(I187,4)="JK03","ANANTNAG",IF(LEFT(I187,4)="JK05","BARAMULLA",IF(LEFT(I187,4)="26BH","BHARAT",IF(LEFT(I187,4)="25BH","BHARAT",IF(LEFT(I187,4)="JK12","POONCH",IF(LEFT(I187,4)="JK16","GANDERBAL",IF(LEFT(I187,4)="JK18","KULGAM",IF(LEFT(I187,4)="JK22","SHOPIAN",IF(LEFT(I187,4)="JK02","JAMMU",IF(LEFT(I187,4)="JK09","KUPWARA",IF(LEFT(I187,4)="JK15","BANDIPORA",IF(LEFT(I187,4)="JK17","KISHTWAR",IF(LEFT(I187,4)="LA01","KARGIL",IF(LEFT(I187,1)="T","TEMP","NEW")))))))))))))))))</f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>ROW()-1</f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>IF(LEFT(I188,4)="JK13","PULWAMA",IF(LEFT(I188,4)="JK01","SRINAGAR",IF(LEFT(I188,4)="JK04","BUDGAM",IF(LEFT(I188,4)="JK03","ANANTNAG",IF(LEFT(I188,4)="JK05","BARAMULLA",IF(LEFT(I188,4)="26BH","BHARAT",IF(LEFT(I188,4)="25BH","BHARAT",IF(LEFT(I188,4)="JK12","POONCH",IF(LEFT(I188,4)="JK16","GANDERBAL",IF(LEFT(I188,4)="JK18","KULGAM",IF(LEFT(I188,4)="JK22","SHOPIAN",IF(LEFT(I188,4)="JK02","JAMMU",IF(LEFT(I188,4)="JK09","KUPWARA",IF(LEFT(I188,4)="JK15","BANDIPORA",IF(LEFT(I188,4)="JK17","KISHTWAR",IF(LEFT(I188,4)="LA01","KARGIL",IF(LEFT(I188,1)="T","TEMP","NEW")))))))))))))))))</f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>ROW()-1</f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>IF(LEFT(I189,4)="JK13","PULWAMA",IF(LEFT(I189,4)="JK01","SRINAGAR",IF(LEFT(I189,4)="JK04","BUDGAM",IF(LEFT(I189,4)="JK03","ANANTNAG",IF(LEFT(I189,4)="JK05","BARAMULLA",IF(LEFT(I189,4)="26BH","BHARAT",IF(LEFT(I189,4)="25BH","BHARAT",IF(LEFT(I189,4)="JK12","POONCH",IF(LEFT(I189,4)="JK16","GANDERBAL",IF(LEFT(I189,4)="JK18","KULGAM",IF(LEFT(I189,4)="JK22","SHOPIAN",IF(LEFT(I189,4)="JK02","JAMMU",IF(LEFT(I189,4)="JK09","KUPWARA",IF(LEFT(I189,4)="JK15","BANDIPORA",IF(LEFT(I189,4)="JK17","KISHTWAR",IF(LEFT(I189,4)="LA01","KARGIL",IF(LEFT(I189,1)="T","TEMP","NEW")))))))))))))))))</f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>ROW()-1</f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>IF(LEFT(I190,4)="JK13","PULWAMA",IF(LEFT(I190,4)="JK01","SRINAGAR",IF(LEFT(I190,4)="JK04","BUDGAM",IF(LEFT(I190,4)="JK03","ANANTNAG",IF(LEFT(I190,4)="JK05","BARAMULLA",IF(LEFT(I190,4)="26BH","BHARAT",IF(LEFT(I190,4)="25BH","BHARAT",IF(LEFT(I190,4)="JK12","POONCH",IF(LEFT(I190,4)="JK16","GANDERBAL",IF(LEFT(I190,4)="JK18","KULGAM",IF(LEFT(I190,4)="JK22","SHOPIAN",IF(LEFT(I190,4)="JK02","JAMMU",IF(LEFT(I190,4)="JK09","KUPWARA",IF(LEFT(I190,4)="JK15","BANDIPORA",IF(LEFT(I190,4)="JK17","KISHTWAR",IF(LEFT(I190,4)="LA01","KARGIL",IF(LEFT(I190,1)="T","TEMP","NEW")))))))))))))))))</f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>ROW()-1</f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>IF(LEFT(I191,4)="JK13","PULWAMA",IF(LEFT(I191,4)="JK01","SRINAGAR",IF(LEFT(I191,4)="JK04","BUDGAM",IF(LEFT(I191,4)="JK03","ANANTNAG",IF(LEFT(I191,4)="JK05","BARAMULLA",IF(LEFT(I191,4)="26BH","BHARAT",IF(LEFT(I191,4)="25BH","BHARAT",IF(LEFT(I191,4)="JK12","POONCH",IF(LEFT(I191,4)="JK16","GANDERBAL",IF(LEFT(I191,4)="JK18","KULGAM",IF(LEFT(I191,4)="JK22","SHOPIAN",IF(LEFT(I191,4)="JK02","JAMMU",IF(LEFT(I191,4)="JK09","KUPWARA",IF(LEFT(I191,4)="JK15","BANDIPORA",IF(LEFT(I191,4)="JK17","KISHTWAR",IF(LEFT(I191,4)="LA01","KARGIL",IF(LEFT(I191,1)="T","TEMP","NEW")))))))))))))))))</f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>ROW()-1</f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>IF(LEFT(I192,4)="JK13","PULWAMA",IF(LEFT(I192,4)="JK01","SRINAGAR",IF(LEFT(I192,4)="JK04","BUDGAM",IF(LEFT(I192,4)="JK03","ANANTNAG",IF(LEFT(I192,4)="JK05","BARAMULLA",IF(LEFT(I192,4)="26BH","BHARAT",IF(LEFT(I192,4)="25BH","BHARAT",IF(LEFT(I192,4)="JK12","POONCH",IF(LEFT(I192,4)="JK16","GANDERBAL",IF(LEFT(I192,4)="JK18","KULGAM",IF(LEFT(I192,4)="JK22","SHOPIAN",IF(LEFT(I192,4)="JK02","JAMMU",IF(LEFT(I192,4)="JK09","KUPWARA",IF(LEFT(I192,4)="JK15","BANDIPORA",IF(LEFT(I192,4)="JK17","KISHTWAR",IF(LEFT(I192,4)="LA01","KARGIL",IF(LEFT(I192,1)="T","TEMP","NEW")))))))))))))))))</f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>ROW()-1</f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>IF(LEFT(I193,4)="JK13","PULWAMA",IF(LEFT(I193,4)="JK01","SRINAGAR",IF(LEFT(I193,4)="JK04","BUDGAM",IF(LEFT(I193,4)="JK03","ANANTNAG",IF(LEFT(I193,4)="JK05","BARAMULLA",IF(LEFT(I193,4)="26BH","BHARAT",IF(LEFT(I193,4)="25BH","BHARAT",IF(LEFT(I193,4)="JK12","POONCH",IF(LEFT(I193,4)="JK16","GANDERBAL",IF(LEFT(I193,4)="JK18","KULGAM",IF(LEFT(I193,4)="JK22","SHOPIAN",IF(LEFT(I193,4)="JK02","JAMMU",IF(LEFT(I193,4)="JK09","KUPWARA",IF(LEFT(I193,4)="JK15","BANDIPORA",IF(LEFT(I193,4)="JK17","KISHTWAR",IF(LEFT(I193,4)="LA01","KARGIL",IF(LEFT(I193,1)="T","TEMP","NEW")))))))))))))))))</f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>ROW()-1</f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>ROW()-1</f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16","GANDERBAL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</f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>ROW()-1</f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>IF(LEFT(I196,4)="JK13","PULWAMA",IF(LEFT(I196,4)="JK01","SRINAGAR",IF(LEFT(I196,4)="JK04","BUDGAM",IF(LEFT(I196,4)="JK03","ANANTNAG",IF(LEFT(I196,4)="JK05","BARAMULLA",IF(LEFT(I196,4)="26BH","BHARAT",IF(LEFT(I196,4)="25BH","BHARAT",IF(LEFT(I196,4)="JK12","POONCH",IF(LEFT(I196,4)="JK16","GANDERBAL",IF(LEFT(I196,4)="JK18","KULGAM",IF(LEFT(I196,4)="JK22","SHOPIAN",IF(LEFT(I196,4)="JK02","JAMMU",IF(LEFT(I196,4)="JK09","KUPWARA",IF(LEFT(I196,4)="JK15","BANDIPORA",IF(LEFT(I196,4)="JK17","KISHTWAR",IF(LEFT(I196,4)="LA01","KARGIL",IF(LEFT(I196,1)="T","TEMP","NEW")))))))))))))))))</f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>ROW()-1</f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>IF(LEFT(I197,4)="JK13","PULWAMA",IF(LEFT(I197,4)="JK01","SRINAGAR",IF(LEFT(I197,4)="JK04","BUDGAM",IF(LEFT(I197,4)="JK03","ANANTNAG",IF(LEFT(I197,4)="JK05","BARAMULLA",IF(LEFT(I197,4)="26BH","BHARAT",IF(LEFT(I197,4)="25BH","BHARAT",IF(LEFT(I197,4)="JK12","POONCH",IF(LEFT(I197,4)="JK16","GANDERBAL",IF(LEFT(I197,4)="JK18","KULGAM",IF(LEFT(I197,4)="JK22","SHOPIAN",IF(LEFT(I197,4)="JK02","JAMMU",IF(LEFT(I197,4)="JK09","KUPWARA",IF(LEFT(I197,4)="JK15","BANDIPORA",IF(LEFT(I197,4)="JK17","KISHTWAR",IF(LEFT(I197,4)="LA01","KARGIL",IF(LEFT(I197,1)="T","TEMP","NEW")))))))))))))))))</f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>ROW()-1</f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>IF(LEFT(I198,4)="JK13","PULWAMA",IF(LEFT(I198,4)="JK01","SRINAGAR",IF(LEFT(I198,4)="JK04","BUDGAM",IF(LEFT(I198,4)="JK03","ANANTNAG",IF(LEFT(I198,4)="JK05","BARAMULLA",IF(LEFT(I198,4)="26BH","BHARAT",IF(LEFT(I198,4)="25BH","BHARAT",IF(LEFT(I198,4)="JK12","POONCH",IF(LEFT(I198,4)="JK16","GANDERBAL",IF(LEFT(I198,4)="JK18","KULGAM",IF(LEFT(I198,4)="JK22","SHOPIAN",IF(LEFT(I198,4)="JK02","JAMMU",IF(LEFT(I198,4)="JK09","KUPWARA",IF(LEFT(I198,4)="JK15","BANDIPORA",IF(LEFT(I198,4)="JK17","KISHTWAR",IF(LEFT(I198,4)="LA01","KARGIL",IF(LEFT(I198,1)="T","TEMP","NEW")))))))))))))))))</f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>ROW()-1</f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>IF(LEFT(I199,4)="JK13","PULWAMA",IF(LEFT(I199,4)="JK01","SRINAGAR",IF(LEFT(I199,4)="JK04","BUDGAM",IF(LEFT(I199,4)="JK03","ANANTNAG",IF(LEFT(I199,4)="JK05","BARAMULLA",IF(LEFT(I199,4)="26BH","BHARAT",IF(LEFT(I199,4)="25BH","BHARAT",IF(LEFT(I199,4)="JK12","POONCH",IF(LEFT(I199,4)="JK16","GANDERBAL",IF(LEFT(I199,4)="JK18","KULGAM",IF(LEFT(I199,4)="JK22","SHOPIAN",IF(LEFT(I199,4)="JK02","JAMMU",IF(LEFT(I199,4)="JK09","KUPWARA",IF(LEFT(I199,4)="JK15","BANDIPORA",IF(LEFT(I199,4)="JK17","KISHTWAR",IF(LEFT(I199,4)="LA01","KARGIL",IF(LEFT(I199,1)="T","TEMP","NEW")))))))))))))))))</f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>ROW()-1</f>
        <v>199</v>
      </c>
      <c r="B200" s="43" t="s">
        <v>7274</v>
      </c>
      <c r="C200" s="43" t="s">
        <v>7271</v>
      </c>
      <c r="D200" s="43" t="s">
        <v>7272</v>
      </c>
      <c r="E200" s="43" t="s">
        <v>7273</v>
      </c>
      <c r="F200" s="43" t="s">
        <v>31</v>
      </c>
      <c r="G200" s="43" t="s">
        <v>200</v>
      </c>
      <c r="H200" s="43" t="str">
        <f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16","GANDERBAL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)</f>
        <v>SHOPIAN</v>
      </c>
      <c r="I200" s="43" t="s">
        <v>7275</v>
      </c>
      <c r="J200" s="44">
        <v>46009</v>
      </c>
      <c r="K200" s="43">
        <v>7006865316</v>
      </c>
      <c r="L200" s="43" t="s">
        <v>6520</v>
      </c>
      <c r="M200" s="45" t="s">
        <v>7670</v>
      </c>
      <c r="N200" s="44">
        <v>46021</v>
      </c>
      <c r="O200" s="43"/>
      <c r="P200" s="46"/>
      <c r="Q200" s="43"/>
      <c r="R200" s="43"/>
    </row>
    <row r="201" spans="1:18" x14ac:dyDescent="0.25">
      <c r="A201" s="43">
        <f>ROW()-1</f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>IF(LEFT(I201,4)="JK13","PULWAMA",IF(LEFT(I201,4)="JK01","SRINAGAR",IF(LEFT(I201,4)="JK04","BUDGAM",IF(LEFT(I201,4)="JK03","ANANTNAG",IF(LEFT(I201,4)="JK05","BARAMULLA",IF(LEFT(I201,4)="26BH","BHARAT",IF(LEFT(I201,4)="25BH","BHARAT",IF(LEFT(I201,4)="JK12","POONCH",IF(LEFT(I201,4)="JK16","GANDERBAL",IF(LEFT(I201,4)="JK18","KULGAM",IF(LEFT(I201,4)="JK22","SHOPIAN",IF(LEFT(I201,4)="JK02","JAMMU",IF(LEFT(I201,4)="JK09","KUPWARA",IF(LEFT(I201,4)="JK15","BANDIPORA",IF(LEFT(I201,4)="JK17","KISHTWAR",IF(LEFT(I201,4)="LA01","KARGIL",IF(LEFT(I201,1)="T","TEMP","NEW")))))))))))))))))</f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>ROW()-1</f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>IF(LEFT(I202,4)="JK13","PULWAMA",IF(LEFT(I202,4)="JK01","SRINAGAR",IF(LEFT(I202,4)="JK04","BUDGAM",IF(LEFT(I202,4)="JK03","ANANTNAG",IF(LEFT(I202,4)="JK05","BARAMULLA",IF(LEFT(I202,4)="26BH","BHARAT",IF(LEFT(I202,4)="25BH","BHARAT",IF(LEFT(I202,4)="JK12","POONCH",IF(LEFT(I202,4)="JK16","GANDERBAL",IF(LEFT(I202,4)="JK18","KULGAM",IF(LEFT(I202,4)="JK22","SHOPIAN",IF(LEFT(I202,4)="JK02","JAMMU",IF(LEFT(I202,4)="JK09","KUPWARA",IF(LEFT(I202,4)="JK15","BANDIPORA",IF(LEFT(I202,4)="JK17","KISHTWAR",IF(LEFT(I202,4)="LA01","KARGIL",IF(LEFT(I202,1)="T","TEMP","NEW")))))))))))))))))</f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>ROW()-1</f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>IF(LEFT(I203,4)="JK13","PULWAMA",IF(LEFT(I203,4)="JK01","SRINAGAR",IF(LEFT(I203,4)="JK04","BUDGAM",IF(LEFT(I203,4)="JK03","ANANTNAG",IF(LEFT(I203,4)="JK05","BARAMULLA",IF(LEFT(I203,4)="26BH","BHARAT",IF(LEFT(I203,4)="25BH","BHARAT",IF(LEFT(I203,4)="JK12","POONCH",IF(LEFT(I203,4)="JK16","GANDERBAL",IF(LEFT(I203,4)="JK18","KULGAM",IF(LEFT(I203,4)="JK22","SHOPIAN",IF(LEFT(I203,4)="JK02","JAMMU",IF(LEFT(I203,4)="JK09","KUPWARA",IF(LEFT(I203,4)="JK15","BANDIPORA",IF(LEFT(I203,4)="JK17","KISHTWAR",IF(LEFT(I203,4)="LA01","KARGIL",IF(LEFT(I203,1)="T","TEMP","NEW")))))))))))))))))</f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 t="s">
        <v>9091</v>
      </c>
      <c r="N203" s="44">
        <v>46008</v>
      </c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>ROW()-1</f>
        <v>203</v>
      </c>
      <c r="B204" s="43" t="s">
        <v>7280</v>
      </c>
      <c r="C204" s="43" t="s">
        <v>7281</v>
      </c>
      <c r="D204" s="43" t="s">
        <v>7282</v>
      </c>
      <c r="E204" s="43" t="s">
        <v>7283</v>
      </c>
      <c r="F204" s="43" t="s">
        <v>67</v>
      </c>
      <c r="G204" s="43" t="s">
        <v>174</v>
      </c>
      <c r="H204" s="43" t="str">
        <f>IF(LEFT(I204,4)="JK13","PULWAMA",IF(LEFT(I204,4)="JK01","SRINAGAR",IF(LEFT(I204,4)="JK04","BUDGAM",IF(LEFT(I204,4)="JK03","ANANTNAG",IF(LEFT(I204,4)="JK05","BARAMULLA",IF(LEFT(I204,4)="26BH","BHARAT",IF(LEFT(I204,4)="25BH","BHARAT",IF(LEFT(I204,4)="JK12","POONCH",IF(LEFT(I204,4)="JK16","GANDERBAL",IF(LEFT(I204,4)="JK18","KULGAM",IF(LEFT(I204,4)="JK22","SHOPIAN",IF(LEFT(I204,4)="JK02","JAMMU",IF(LEFT(I204,4)="JK09","KUPWARA",IF(LEFT(I204,4)="JK15","BANDIPORA",IF(LEFT(I204,4)="JK17","KISHTWAR",IF(LEFT(I204,4)="LA01","KARGIL",IF(LEFT(I204,1)="T","TEMP","NEW")))))))))))))))))</f>
        <v>PULWAMA</v>
      </c>
      <c r="I204" s="43" t="s">
        <v>7289</v>
      </c>
      <c r="J204" s="44">
        <v>46010</v>
      </c>
      <c r="K204" s="43">
        <v>9419032432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7291</v>
      </c>
    </row>
    <row r="205" spans="1:18" x14ac:dyDescent="0.25">
      <c r="A205" s="43">
        <f>ROW()-1</f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>IF(LEFT(I205,4)="JK13","PULWAMA",IF(LEFT(I205,4)="JK01","SRINAGAR",IF(LEFT(I205,4)="JK04","BUDGAM",IF(LEFT(I205,4)="JK03","ANANTNAG",IF(LEFT(I205,4)="JK05","BARAMULLA",IF(LEFT(I205,4)="26BH","BHARAT",IF(LEFT(I205,4)="25BH","BHARAT",IF(LEFT(I205,4)="JK12","POONCH",IF(LEFT(I205,4)="JK16","GANDERBAL",IF(LEFT(I205,4)="JK18","KULGAM",IF(LEFT(I205,4)="JK22","SHOPIAN",IF(LEFT(I205,4)="JK02","JAMMU",IF(LEFT(I205,4)="JK09","KUPWARA",IF(LEFT(I205,4)="JK15","BANDIPORA",IF(LEFT(I205,4)="JK17","KISHTWAR",IF(LEFT(I205,4)="LA01","KARGIL",IF(LEFT(I205,1)="T","TEMP","NEW")))))))))))))))))</f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>ROW()-1</f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>IF(LEFT(I206,4)="JK13","PULWAMA",IF(LEFT(I206,4)="JK01","SRINAGAR",IF(LEFT(I206,4)="JK04","BUDGAM",IF(LEFT(I206,4)="JK03","ANANTNAG",IF(LEFT(I206,4)="JK05","BARAMULLA",IF(LEFT(I206,4)="26BH","BHARAT",IF(LEFT(I206,4)="25BH","BHARAT",IF(LEFT(I206,4)="JK12","POONCH",IF(LEFT(I206,4)="JK16","GANDERBAL",IF(LEFT(I206,4)="JK18","KULGAM",IF(LEFT(I206,4)="JK22","SHOPIAN",IF(LEFT(I206,4)="JK02","JAMMU",IF(LEFT(I206,4)="JK09","KUPWARA",IF(LEFT(I206,4)="JK15","BANDIPORA",IF(LEFT(I206,4)="JK17","KISHTWAR",IF(LEFT(I206,4)="LA01","KARGIL",IF(LEFT(I206,1)="T","TEMP","NEW")))))))))))))))))</f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>ROW()-1</f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>IF(LEFT(I207,4)="JK13","PULWAMA",IF(LEFT(I207,4)="JK01","SRINAGAR",IF(LEFT(I207,4)="JK04","BUDGAM",IF(LEFT(I207,4)="JK03","ANANTNAG",IF(LEFT(I207,4)="JK05","BARAMULLA",IF(LEFT(I207,4)="26BH","BHARAT",IF(LEFT(I207,4)="25BH","BHARAT",IF(LEFT(I207,4)="JK12","POONCH",IF(LEFT(I207,4)="JK16","GANDERBAL",IF(LEFT(I207,4)="JK18","KULGAM",IF(LEFT(I207,4)="JK22","SHOPIAN",IF(LEFT(I207,4)="JK02","JAMMU",IF(LEFT(I207,4)="JK09","KUPWARA",IF(LEFT(I207,4)="JK15","BANDIPORA",IF(LEFT(I207,4)="JK17","KISHTWAR",IF(LEFT(I207,4)="LA01","KARGIL",IF(LEFT(I207,1)="T","TEMP","NEW")))))))))))))))))</f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>ROW()-1</f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>IF(LEFT(I208,4)="JK13","PULWAMA",IF(LEFT(I208,4)="JK01","SRINAGAR",IF(LEFT(I208,4)="JK04","BUDGAM",IF(LEFT(I208,4)="JK03","ANANTNAG",IF(LEFT(I208,4)="JK05","BARAMULLA",IF(LEFT(I208,4)="26BH","BHARAT",IF(LEFT(I208,4)="25BH","BHARAT",IF(LEFT(I208,4)="JK12","POONCH",IF(LEFT(I208,4)="JK16","GANDERBAL",IF(LEFT(I208,4)="JK18","KULGAM",IF(LEFT(I208,4)="JK22","SHOPIAN",IF(LEFT(I208,4)="JK02","JAMMU",IF(LEFT(I208,4)="JK09","KUPWARA",IF(LEFT(I208,4)="JK15","BANDIPORA",IF(LEFT(I208,4)="JK17","KISHTWAR",IF(LEFT(I208,4)="LA01","KARGIL",IF(LEFT(I208,1)="T","TEMP","NEW")))))))))))))))))</f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>ROW()-1</f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>IF(LEFT(I209,4)="JK13","PULWAMA",IF(LEFT(I209,4)="JK01","SRINAGAR",IF(LEFT(I209,4)="JK04","BUDGAM",IF(LEFT(I209,4)="JK03","ANANTNAG",IF(LEFT(I209,4)="JK05","BARAMULLA",IF(LEFT(I209,4)="26BH","BHARAT",IF(LEFT(I209,4)="25BH","BHARAT",IF(LEFT(I209,4)="JK12","POONCH",IF(LEFT(I209,4)="JK16","GANDERBAL",IF(LEFT(I209,4)="JK18","KULGAM",IF(LEFT(I209,4)="JK22","SHOPIAN",IF(LEFT(I209,4)="JK02","JAMMU",IF(LEFT(I209,4)="JK09","KUPWARA",IF(LEFT(I209,4)="JK15","BANDIPORA",IF(LEFT(I209,4)="JK17","KISHTWAR",IF(LEFT(I209,4)="LA01","KARGIL",IF(LEFT(I209,1)="T","TEMP","NEW")))))))))))))))))</f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>ROW()-1</f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>IF(LEFT(I210,4)="JK13","PULWAMA",IF(LEFT(I210,4)="JK01","SRINAGAR",IF(LEFT(I210,4)="JK04","BUDGAM",IF(LEFT(I210,4)="JK03","ANANTNAG",IF(LEFT(I210,4)="JK05","BARAMULLA",IF(LEFT(I210,4)="26BH","BHARAT",IF(LEFT(I210,4)="25BH","BHARAT",IF(LEFT(I210,4)="JK12","POONCH",IF(LEFT(I210,4)="JK16","GANDERBAL",IF(LEFT(I210,4)="JK18","KULGAM",IF(LEFT(I210,4)="JK22","SHOPIAN",IF(LEFT(I210,4)="JK02","JAMMU",IF(LEFT(I210,4)="JK09","KUPWARA",IF(LEFT(I210,4)="JK15","BANDIPORA",IF(LEFT(I210,4)="JK17","KISHTWAR",IF(LEFT(I210,4)="LA01","KARGIL",IF(LEFT(I210,1)="T","TEMP","NEW")))))))))))))))))</f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>ROW()-1</f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>IF(LEFT(I211,4)="JK13","PULWAMA",IF(LEFT(I211,4)="JK01","SRINAGAR",IF(LEFT(I211,4)="JK04","BUDGAM",IF(LEFT(I211,4)="JK03","ANANTNAG",IF(LEFT(I211,4)="JK05","BARAMULLA",IF(LEFT(I211,4)="26BH","BHARAT",IF(LEFT(I211,4)="25BH","BHARAT",IF(LEFT(I211,4)="JK12","POONCH",IF(LEFT(I211,4)="JK16","GANDERBAL",IF(LEFT(I211,4)="JK18","KULGAM",IF(LEFT(I211,4)="JK22","SHOPIAN",IF(LEFT(I211,4)="JK02","JAMMU",IF(LEFT(I211,4)="JK09","KUPWARA",IF(LEFT(I211,4)="JK15","BANDIPORA",IF(LEFT(I211,4)="JK17","KISHTWAR",IF(LEFT(I211,4)="LA01","KARGIL",IF(LEFT(I211,1)="T","TEMP","NEW")))))))))))))))))</f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>ROW()-1</f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>IF(LEFT(I212,4)="JK13","PULWAMA",IF(LEFT(I212,4)="JK01","SRINAGAR",IF(LEFT(I212,4)="JK04","BUDGAM",IF(LEFT(I212,4)="JK03","ANANTNAG",IF(LEFT(I212,4)="JK05","BARAMULLA",IF(LEFT(I212,4)="26BH","BHARAT",IF(LEFT(I212,4)="25BH","BHARAT",IF(LEFT(I212,4)="JK12","POONCH",IF(LEFT(I212,4)="JK16","GANDERBAL",IF(LEFT(I212,4)="JK18","KULGAM",IF(LEFT(I212,4)="JK22","SHOPIAN",IF(LEFT(I212,4)="JK02","JAMMU",IF(LEFT(I212,4)="JK09","KUPWARA",IF(LEFT(I212,4)="JK15","BANDIPORA",IF(LEFT(I212,4)="JK17","KISHTWAR",IF(LEFT(I212,4)="LA01","KARGIL",IF(LEFT(I212,1)="T","TEMP","NEW")))))))))))))))))</f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>ROW()-1</f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>IF(LEFT(I213,4)="JK13","PULWAMA",IF(LEFT(I213,4)="JK01","SRINAGAR",IF(LEFT(I213,4)="JK04","BUDGAM",IF(LEFT(I213,4)="JK03","ANANTNAG",IF(LEFT(I213,4)="JK05","BARAMULLA",IF(LEFT(I213,4)="26BH","BHARAT",IF(LEFT(I213,4)="25BH","BHARAT",IF(LEFT(I213,4)="JK12","POONCH",IF(LEFT(I213,4)="JK16","GANDERBAL",IF(LEFT(I213,4)="JK18","KULGAM",IF(LEFT(I213,4)="JK22","SHOPIAN",IF(LEFT(I213,4)="JK02","JAMMU",IF(LEFT(I213,4)="JK09","KUPWARA",IF(LEFT(I213,4)="JK15","BANDIPORA",IF(LEFT(I213,4)="JK17","KISHTWAR",IF(LEFT(I213,4)="LA01","KARGIL",IF(LEFT(I213,1)="T","TEMP","NEW")))))))))))))))))</f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>ROW()-1</f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>IF(LEFT(I214,4)="JK13","PULWAMA",IF(LEFT(I214,4)="JK01","SRINAGAR",IF(LEFT(I214,4)="JK04","BUDGAM",IF(LEFT(I214,4)="JK03","ANANTNAG",IF(LEFT(I214,4)="JK05","BARAMULLA",IF(LEFT(I214,4)="26BH","BHARAT",IF(LEFT(I214,4)="25BH","BHARAT",IF(LEFT(I214,4)="JK12","POONCH",IF(LEFT(I214,4)="JK16","GANDERBAL",IF(LEFT(I214,4)="JK18","KULGAM",IF(LEFT(I214,4)="JK22","SHOPIAN",IF(LEFT(I214,4)="JK02","JAMMU",IF(LEFT(I214,4)="JK09","KUPWARA",IF(LEFT(I214,4)="JK15","BANDIPORA",IF(LEFT(I214,4)="JK17","KISHTWAR",IF(LEFT(I214,4)="LA01","KARGIL",IF(LEFT(I214,1)="T","TEMP","NEW")))))))))))))))))</f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>ROW()-1</f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>IF(LEFT(I215,4)="JK13","PULWAMA",IF(LEFT(I215,4)="JK01","SRINAGAR",IF(LEFT(I215,4)="JK04","BUDGAM",IF(LEFT(I215,4)="JK03","ANANTNAG",IF(LEFT(I215,4)="JK05","BARAMULLA",IF(LEFT(I215,4)="26BH","BHARAT",IF(LEFT(I215,4)="25BH","BHARAT",IF(LEFT(I215,4)="JK12","POONCH",IF(LEFT(I215,4)="JK16","GANDERBAL",IF(LEFT(I215,4)="JK18","KULGAM",IF(LEFT(I215,4)="JK22","SHOPIAN",IF(LEFT(I215,4)="JK02","JAMMU",IF(LEFT(I215,4)="JK09","KUPWARA",IF(LEFT(I215,4)="JK15","BANDIPORA",IF(LEFT(I215,4)="JK17","KISHTWAR",IF(LEFT(I215,4)="LA01","KARGIL",IF(LEFT(I215,1)="T","TEMP","NEW")))))))))))))))))</f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>ROW()-1</f>
        <v>215</v>
      </c>
      <c r="B216" s="43" t="s">
        <v>7585</v>
      </c>
      <c r="C216" s="43" t="s">
        <v>7585</v>
      </c>
      <c r="D216" s="43" t="s">
        <v>7586</v>
      </c>
      <c r="E216" s="43" t="s">
        <v>7587</v>
      </c>
      <c r="F216" s="43" t="s">
        <v>31</v>
      </c>
      <c r="G216" s="43" t="s">
        <v>200</v>
      </c>
      <c r="H216" s="43" t="str">
        <f>IF(LEFT(I216,4)="JK13","PULWAMA",IF(LEFT(I216,4)="JK01","SRINAGAR",IF(LEFT(I216,4)="JK04","BUDGAM",IF(LEFT(I216,4)="JK03","ANANTNAG",IF(LEFT(I216,4)="JK05","BARAMULLA",IF(LEFT(I216,4)="26BH","BHARAT",IF(LEFT(I216,4)="25BH","BHARAT",IF(LEFT(I216,4)="JK12","POONCH",IF(LEFT(I216,4)="JK16","GANDERBAL",IF(LEFT(I216,4)="JK18","KULGAM",IF(LEFT(I216,4)="JK22","SHOPIAN",IF(LEFT(I216,4)="JK02","JAMMU",IF(LEFT(I216,4)="JK09","KUPWARA",IF(LEFT(I216,4)="JK15","BANDIPORA",IF(LEFT(I216,4)="JK17","KISHTWAR",IF(LEFT(I216,4)="LA01","KARGIL",IF(LEFT(I216,1)="T","TEMP","NEW")))))))))))))))))</f>
        <v>PULWAMA</v>
      </c>
      <c r="I216" s="43" t="s">
        <v>7592</v>
      </c>
      <c r="J216" s="44">
        <v>46017</v>
      </c>
      <c r="K216" s="43">
        <v>8491093722</v>
      </c>
      <c r="L216" s="43" t="s">
        <v>6520</v>
      </c>
      <c r="M216" s="45" t="s">
        <v>7670</v>
      </c>
      <c r="N216" s="44">
        <v>46021</v>
      </c>
      <c r="O216" s="43"/>
      <c r="P216" s="46"/>
      <c r="Q216" s="43"/>
      <c r="R216" s="43"/>
    </row>
    <row r="217" spans="1:18" x14ac:dyDescent="0.25">
      <c r="A217" s="43">
        <f>ROW()-1</f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>IF(LEFT(I217,4)="JK13","PULWAMA",IF(LEFT(I217,4)="JK01","SRINAGAR",IF(LEFT(I217,4)="JK04","BUDGAM",IF(LEFT(I217,4)="JK03","ANANTNAG",IF(LEFT(I217,4)="JK05","BARAMULLA",IF(LEFT(I217,4)="26BH","BHARAT",IF(LEFT(I217,4)="25BH","BHARAT",IF(LEFT(I217,4)="JK12","POONCH",IF(LEFT(I217,4)="JK16","GANDERBAL",IF(LEFT(I217,4)="JK18","KULGAM",IF(LEFT(I217,4)="JK22","SHOPIAN",IF(LEFT(I217,4)="JK02","JAMMU",IF(LEFT(I217,4)="JK09","KUPWARA",IF(LEFT(I217,4)="JK15","BANDIPORA",IF(LEFT(I217,4)="JK17","KISHTWAR",IF(LEFT(I217,4)="LA01","KARGIL",IF(LEFT(I217,1)="T","TEMP","NEW")))))))))))))))))</f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>ROW()-1</f>
        <v>217</v>
      </c>
      <c r="B218" s="43" t="s">
        <v>7963</v>
      </c>
      <c r="C218" s="43" t="s">
        <v>7960</v>
      </c>
      <c r="D218" s="43" t="s">
        <v>7961</v>
      </c>
      <c r="E218" s="43" t="s">
        <v>7962</v>
      </c>
      <c r="F218" s="43" t="s">
        <v>119</v>
      </c>
      <c r="G218" s="43" t="s">
        <v>200</v>
      </c>
      <c r="H218" s="43" t="str">
        <f>IF(LEFT(I218,4)="JK13","PULWAMA",IF(LEFT(I218,4)="JK01","SRINAGAR",IF(LEFT(I218,4)="JK04","BUDGAM",IF(LEFT(I218,4)="JK03","ANANTNAG",IF(LEFT(I218,4)="JK05","BARAMULLA",IF(LEFT(I218,4)="26BH","BHARAT",IF(LEFT(I218,4)="25BH","BHARAT",IF(LEFT(I218,4)="JK12","POONCH",IF(LEFT(I218,4)="JK16","GANDERBAL",IF(LEFT(I218,4)="JK18","KULGAM",IF(LEFT(I218,4)="JK22","SHOPIAN",IF(LEFT(I218,4)="JK02","JAMMU",IF(LEFT(I218,4)="JK09","KUPWARA",IF(LEFT(I218,4)="JK15","BANDIPORA",IF(LEFT(I218,4)="JK17","KISHTWAR",IF(LEFT(I218,4)="LA01","KARGIL",IF(LEFT(I218,1)="T","TEMP","NEW")))))))))))))))))</f>
        <v>PULWAMA</v>
      </c>
      <c r="I218" s="43" t="s">
        <v>7964</v>
      </c>
      <c r="J218" s="44">
        <v>46025</v>
      </c>
      <c r="K218" s="43">
        <v>7006861153</v>
      </c>
      <c r="L218" s="43" t="s">
        <v>6520</v>
      </c>
      <c r="M218" s="45" t="s">
        <v>7670</v>
      </c>
      <c r="N218" s="44">
        <v>46030</v>
      </c>
      <c r="O218" s="43"/>
      <c r="P218" s="46"/>
      <c r="Q218" s="43"/>
      <c r="R218" s="43"/>
    </row>
    <row r="219" spans="1:18" x14ac:dyDescent="0.25">
      <c r="A219" s="43">
        <f>ROW()-1</f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>IF(LEFT(I219,4)="JK13","PULWAMA",IF(LEFT(I219,4)="JK01","SRINAGAR",IF(LEFT(I219,4)="JK04","BUDGAM",IF(LEFT(I219,4)="JK03","ANANTNAG",IF(LEFT(I219,4)="JK05","BARAMULLA",IF(LEFT(I219,4)="26BH","BHARAT",IF(LEFT(I219,4)="25BH","BHARAT",IF(LEFT(I219,4)="JK12","POONCH",IF(LEFT(I219,4)="JK16","GANDERBAL",IF(LEFT(I219,4)="JK18","KULGAM",IF(LEFT(I219,4)="JK22","SHOPIAN",IF(LEFT(I219,4)="JK02","JAMMU",IF(LEFT(I219,4)="JK09","KUPWARA",IF(LEFT(I219,4)="JK15","BANDIPORA",IF(LEFT(I219,4)="JK17","KISHTWAR",IF(LEFT(I219,4)="LA01","KARGIL",IF(LEFT(I219,1)="T","TEMP","NEW")))))))))))))))))</f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>ROW()-1</f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>IF(LEFT(I220,4)="JK13","PULWAMA",IF(LEFT(I220,4)="JK01","SRINAGAR",IF(LEFT(I220,4)="JK04","BUDGAM",IF(LEFT(I220,4)="JK03","ANANTNAG",IF(LEFT(I220,4)="JK05","BARAMULLA",IF(LEFT(I220,4)="26BH","BHARAT",IF(LEFT(I220,4)="25BH","BHARAT",IF(LEFT(I220,4)="JK12","POONCH",IF(LEFT(I220,4)="JK16","GANDERBAL",IF(LEFT(I220,4)="JK18","KULGAM",IF(LEFT(I220,4)="JK22","SHOPIAN",IF(LEFT(I220,4)="JK02","JAMMU",IF(LEFT(I220,4)="JK09","KUPWARA",IF(LEFT(I220,4)="JK15","BANDIPORA",IF(LEFT(I220,4)="JK17","KISHTWAR",IF(LEFT(I220,4)="LA01","KARGIL",IF(LEFT(I220,1)="T","TEMP","NEW")))))))))))))))))</f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>ROW()-1</f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>IF(LEFT(I221,4)="JK13","PULWAMA",IF(LEFT(I221,4)="JK01","SRINAGAR",IF(LEFT(I221,4)="JK04","BUDGAM",IF(LEFT(I221,4)="JK03","ANANTNAG",IF(LEFT(I221,4)="JK05","BARAMULLA",IF(LEFT(I221,4)="26BH","BHARAT",IF(LEFT(I221,4)="25BH","BHARAT",IF(LEFT(I221,4)="JK12","POONCH",IF(LEFT(I221,4)="JK16","GANDERBAL",IF(LEFT(I221,4)="JK18","KULGAM",IF(LEFT(I221,4)="JK22","SHOPIAN",IF(LEFT(I221,4)="JK02","JAMMU",IF(LEFT(I221,4)="JK09","KUPWARA",IF(LEFT(I221,4)="JK15","BANDIPORA",IF(LEFT(I221,4)="JK17","KISHTWAR",IF(LEFT(I221,4)="LA01","KARGIL",IF(LEFT(I221,1)="T","TEMP","NEW")))))))))))))))))</f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>ROW()-1</f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>ROW()-1</f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>IF(LEFT(I223,4)="JK13","PULWAMA",IF(LEFT(I223,4)="JK01","SRINAGAR",IF(LEFT(I223,4)="JK04","BUDGAM",IF(LEFT(I223,4)="JK03","ANANTNAG",IF(LEFT(I223,4)="JK05","BARAMULLA",IF(LEFT(I223,4)="26BH","BHARAT",IF(LEFT(I223,4)="25BH","BHARAT",IF(LEFT(I223,4)="JK12","POONCH",IF(LEFT(I223,4)="JK16","GANDERBAL",IF(LEFT(I223,4)="JK18","KULGAM",IF(LEFT(I223,4)="JK22","SHOPIAN",IF(LEFT(I223,4)="JK02","JAMMU",IF(LEFT(I223,4)="JK09","KUPWARA",IF(LEFT(I223,4)="JK15","BANDIPORA",IF(LEFT(I223,4)="JK17","KISHTWAR",IF(LEFT(I223,4)="LA01","KARGIL",IF(LEFT(I223,1)="T","TEMP","NEW")))))))))))))))))</f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>ROW()-1</f>
        <v>223</v>
      </c>
      <c r="B224" s="43" t="s">
        <v>7141</v>
      </c>
      <c r="C224" s="43" t="s">
        <v>7138</v>
      </c>
      <c r="D224" s="43" t="s">
        <v>7139</v>
      </c>
      <c r="E224" s="43" t="s">
        <v>7140</v>
      </c>
      <c r="F224" s="43" t="s">
        <v>119</v>
      </c>
      <c r="G224" s="43" t="s">
        <v>200</v>
      </c>
      <c r="H224" s="43" t="str">
        <f>IF(LEFT(I224,4)="JK13","PULWAMA",IF(LEFT(I224,4)="JK01","SRINAGAR",IF(LEFT(I224,4)="JK04","BUDGAM",IF(LEFT(I224,4)="JK03","ANANTNAG",IF(LEFT(I224,4)="JK05","BARAMULLA",IF(LEFT(I224,4)="26BH","BHARAT",IF(LEFT(I224,4)="25BH","BHARAT",IF(LEFT(I224,4)="JK12","POONCH",IF(LEFT(I224,4)="JK16","GANDERBAL",IF(LEFT(I224,4)="JK18","KULGAM",IF(LEFT(I224,4)="JK22","SHOPIAN",IF(LEFT(I224,4)="JK02","JAMMU",IF(LEFT(I224,4)="JK09","KUPWARA",IF(LEFT(I224,4)="JK15","BANDIPORA",IF(LEFT(I224,4)="JK17","KISHTWAR",IF(LEFT(I224,4)="LA01","KARGIL",IF(LEFT(I224,1)="T","TEMP","NEW")))))))))))))))))</f>
        <v>BUDGAM</v>
      </c>
      <c r="I224" s="43" t="s">
        <v>7171</v>
      </c>
      <c r="J224" s="44">
        <v>46007</v>
      </c>
      <c r="K224" s="43">
        <v>9622878211</v>
      </c>
      <c r="L224" s="43" t="s">
        <v>6520</v>
      </c>
      <c r="M224" s="45" t="s">
        <v>7774</v>
      </c>
      <c r="N224" s="44">
        <v>46021</v>
      </c>
      <c r="O224" s="43"/>
      <c r="P224" s="46"/>
      <c r="Q224" s="43"/>
      <c r="R224" s="43" t="s">
        <v>7192</v>
      </c>
    </row>
    <row r="225" spans="1:18" x14ac:dyDescent="0.25">
      <c r="A225" s="43">
        <f>ROW()-1</f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>IF(LEFT(I225,4)="JK13","PULWAMA",IF(LEFT(I225,4)="JK01","SRINAGAR",IF(LEFT(I225,4)="JK04","BUDGAM",IF(LEFT(I225,4)="JK03","ANANTNAG",IF(LEFT(I225,4)="JK05","BARAMULLA",IF(LEFT(I225,4)="26BH","BHARAT",IF(LEFT(I225,4)="25BH","BHARAT",IF(LEFT(I225,4)="JK12","POONCH",IF(LEFT(I225,4)="JK16","GANDERBAL",IF(LEFT(I225,4)="JK18","KULGAM",IF(LEFT(I225,4)="JK22","SHOPIAN",IF(LEFT(I225,4)="JK02","JAMMU",IF(LEFT(I225,4)="JK09","KUPWARA",IF(LEFT(I225,4)="JK15","BANDIPORA",IF(LEFT(I225,4)="JK17","KISHTWAR",IF(LEFT(I225,4)="LA01","KARGIL",IF(LEFT(I225,1)="T","TEMP","NEW")))))))))))))))))</f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>ROW()-1</f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>IF(LEFT(I226,4)="JK13","PULWAMA",IF(LEFT(I226,4)="JK01","SRINAGAR",IF(LEFT(I226,4)="JK04","BUDGAM",IF(LEFT(I226,4)="JK03","ANANTNAG",IF(LEFT(I226,4)="JK05","BARAMULLA",IF(LEFT(I226,4)="26BH","BHARAT",IF(LEFT(I226,4)="25BH","BHARAT",IF(LEFT(I226,4)="JK12","POONCH",IF(LEFT(I226,4)="JK16","GANDERBAL",IF(LEFT(I226,4)="JK18","KULGAM",IF(LEFT(I226,4)="JK22","SHOPIAN",IF(LEFT(I226,4)="JK02","JAMMU",IF(LEFT(I226,4)="JK09","KUPWARA",IF(LEFT(I226,4)="JK15","BANDIPORA",IF(LEFT(I226,4)="JK17","KISHTWAR",IF(LEFT(I226,4)="LA01","KARGIL",IF(LEFT(I226,1)="T","TEMP","NEW")))))))))))))))))</f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>ROW()-1</f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>IF(LEFT(I227,4)="JK13","PULWAMA",IF(LEFT(I227,4)="JK01","SRINAGAR",IF(LEFT(I227,4)="JK04","BUDGAM",IF(LEFT(I227,4)="JK03","ANANTNAG",IF(LEFT(I227,4)="JK05","BARAMULLA",IF(LEFT(I227,4)="26BH","BHARAT",IF(LEFT(I227,4)="25BH","BHARAT",IF(LEFT(I227,4)="JK12","POONCH",IF(LEFT(I227,4)="JK16","GANDERBAL",IF(LEFT(I227,4)="JK18","KULGAM",IF(LEFT(I227,4)="JK22","SHOPIAN",IF(LEFT(I227,4)="JK02","JAMMU",IF(LEFT(I227,4)="JK09","KUPWARA",IF(LEFT(I227,4)="JK15","BANDIPORA",IF(LEFT(I227,4)="JK17","KISHTWAR",IF(LEFT(I227,4)="LA01","KARGIL",IF(LEFT(I227,1)="T","TEMP","NEW")))))))))))))))))</f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>ROW()-1</f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>IF(LEFT(I228,4)="JK13","PULWAMA",IF(LEFT(I228,4)="JK01","SRINAGAR",IF(LEFT(I228,4)="JK04","BUDGAM",IF(LEFT(I228,4)="JK03","ANANTNAG",IF(LEFT(I228,4)="JK05","BARAMULLA",IF(LEFT(I228,4)="26BH","BHARAT",IF(LEFT(I228,4)="25BH","BHARAT",IF(LEFT(I228,4)="JK12","POONCH",IF(LEFT(I228,4)="JK16","GANDERBAL",IF(LEFT(I228,4)="JK18","KULGAM",IF(LEFT(I228,4)="JK22","SHOPIAN",IF(LEFT(I228,4)="JK02","JAMMU",IF(LEFT(I228,4)="JK09","KUPWARA",IF(LEFT(I228,4)="JK15","BANDIPORA",IF(LEFT(I228,4)="JK17","KISHTWAR",IF(LEFT(I228,4)="LA01","KARGIL",IF(LEFT(I228,1)="T","TEMP","NEW")))))))))))))))))</f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>ROW()-1</f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>IF(LEFT(I229,4)="JK13","PULWAMA",IF(LEFT(I229,4)="JK01","SRINAGAR",IF(LEFT(I229,4)="JK04","BUDGAM",IF(LEFT(I229,4)="JK03","ANANTNAG",IF(LEFT(I229,4)="JK05","BARAMULLA",IF(LEFT(I229,4)="26BH","BHARAT",IF(LEFT(I229,4)="25BH","BHARAT",IF(LEFT(I229,4)="JK12","POONCH",IF(LEFT(I229,4)="JK16","GANDERBAL",IF(LEFT(I229,4)="JK18","KULGAM",IF(LEFT(I229,4)="JK22","SHOPIAN",IF(LEFT(I229,4)="JK02","JAMMU",IF(LEFT(I229,4)="JK09","KUPWARA",IF(LEFT(I229,4)="JK15","BANDIPORA",IF(LEFT(I229,4)="JK17","KISHTWAR",IF(LEFT(I229,4)="LA01","KARGIL",IF(LEFT(I229,1)="T","TEMP","NEW")))))))))))))))))</f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>ROW()-1</f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>IF(LEFT(I230,4)="JK13","PULWAMA",IF(LEFT(I230,4)="JK01","SRINAGAR",IF(LEFT(I230,4)="JK04","BUDGAM",IF(LEFT(I230,4)="JK03","ANANTNAG",IF(LEFT(I230,4)="JK05","BARAMULLA",IF(LEFT(I230,4)="26BH","BHARAT",IF(LEFT(I230,4)="25BH","BHARAT",IF(LEFT(I230,4)="JK12","POONCH",IF(LEFT(I230,4)="JK16","GANDERBAL",IF(LEFT(I230,4)="JK18","KULGAM",IF(LEFT(I230,4)="JK22","SHOPIAN",IF(LEFT(I230,4)="JK02","JAMMU",IF(LEFT(I230,4)="JK09","KUPWARA",IF(LEFT(I230,4)="JK15","BANDIPORA",IF(LEFT(I230,4)="JK17","KISHTWAR",IF(LEFT(I230,4)="LA01","KARGIL",IF(LEFT(I230,1)="T","TEMP","NEW")))))))))))))))))</f>
        <v>GANDERBAL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>ROW()-1</f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>IF(LEFT(I231,4)="JK13","PULWAMA",IF(LEFT(I231,4)="JK01","SRINAGAR",IF(LEFT(I231,4)="JK04","BUDGAM",IF(LEFT(I231,4)="JK03","ANANTNAG",IF(LEFT(I231,4)="JK05","BARAMULLA",IF(LEFT(I231,4)="26BH","BHARAT",IF(LEFT(I231,4)="25BH","BHARAT",IF(LEFT(I231,4)="JK12","POONCH",IF(LEFT(I231,4)="JK16","GANDERBAL",IF(LEFT(I231,4)="JK18","KULGAM",IF(LEFT(I231,4)="JK22","SHOPIAN",IF(LEFT(I231,4)="JK02","JAMMU",IF(LEFT(I231,4)="JK09","KUPWARA",IF(LEFT(I231,4)="JK15","BANDIPORA",IF(LEFT(I231,4)="JK17","KISHTWAR",IF(LEFT(I231,4)="LA01","KARGIL",IF(LEFT(I231,1)="T","TEMP","NEW")))))))))))))))))</f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>ROW()-1</f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>IF(LEFT(I232,4)="JK13","PULWAMA",IF(LEFT(I232,4)="JK01","SRINAGAR",IF(LEFT(I232,4)="JK04","BUDGAM",IF(LEFT(I232,4)="JK03","ANANTNAG",IF(LEFT(I232,4)="JK05","BARAMULLA",IF(LEFT(I232,4)="26BH","BHARAT",IF(LEFT(I232,4)="25BH","BHARAT",IF(LEFT(I232,4)="JK12","POONCH",IF(LEFT(I232,4)="JK16","GANDERBAL",IF(LEFT(I232,4)="JK18","KULGAM",IF(LEFT(I232,4)="JK22","SHOPIAN",IF(LEFT(I232,4)="JK02","JAMMU",IF(LEFT(I232,4)="JK09","KUPWARA",IF(LEFT(I232,4)="JK15","BANDIPORA",IF(LEFT(I232,4)="JK17","KISHTWAR",IF(LEFT(I232,4)="LA01","KARGIL",IF(LEFT(I232,1)="T","TEMP","NEW")))))))))))))))))</f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>ROW()-1</f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>IF(LEFT(I233,4)="JK13","PULWAMA",IF(LEFT(I233,4)="JK01","SRINAGAR",IF(LEFT(I233,4)="JK04","BUDGAM",IF(LEFT(I233,4)="JK03","ANANTNAG",IF(LEFT(I233,4)="JK05","BARAMULLA",IF(LEFT(I233,4)="26BH","BHARAT",IF(LEFT(I233,4)="25BH","BHARAT",IF(LEFT(I233,4)="JK12","POONCH",IF(LEFT(I233,4)="JK16","GANDERBAL",IF(LEFT(I233,4)="JK18","KULGAM",IF(LEFT(I233,4)="JK22","SHOPIAN",IF(LEFT(I233,4)="JK02","JAMMU",IF(LEFT(I233,4)="JK09","KUPWARA",IF(LEFT(I233,4)="JK15","BANDIPORA",IF(LEFT(I233,4)="JK17","KISHTWAR",IF(LEFT(I233,4)="LA01","KARGIL",IF(LEFT(I233,1)="T","TEMP","NEW")))))))))))))))))</f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>ROW()-1</f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>IF(LEFT(I234,4)="JK13","PULWAMA",IF(LEFT(I234,4)="JK01","SRINAGAR",IF(LEFT(I234,4)="JK04","BUDGAM",IF(LEFT(I234,4)="JK03","ANANTNAG",IF(LEFT(I234,4)="JK05","BARAMULLA",IF(LEFT(I234,4)="26BH","BHARAT",IF(LEFT(I234,4)="25BH","BHARAT",IF(LEFT(I234,4)="JK12","POONCH",IF(LEFT(I234,4)="JK16","GANDERBAL",IF(LEFT(I234,4)="JK18","KULGAM",IF(LEFT(I234,4)="JK22","SHOPIAN",IF(LEFT(I234,4)="JK02","JAMMU",IF(LEFT(I234,4)="JK09","KUPWARA",IF(LEFT(I234,4)="JK15","BANDIPORA",IF(LEFT(I234,4)="JK17","KISHTWAR",IF(LEFT(I234,4)="LA01","KARGIL",IF(LEFT(I234,1)="T","TEMP","NEW")))))))))))))))))</f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>ROW()-1</f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>IF(LEFT(I235,4)="JK13","PULWAMA",IF(LEFT(I235,4)="JK01","SRINAGAR",IF(LEFT(I235,4)="JK04","BUDGAM",IF(LEFT(I235,4)="JK03","ANANTNAG",IF(LEFT(I235,4)="JK05","BARAMULLA",IF(LEFT(I235,4)="26BH","BHARAT",IF(LEFT(I235,4)="25BH","BHARAT",IF(LEFT(I235,4)="JK12","POONCH",IF(LEFT(I235,4)="JK16","GANDERBAL",IF(LEFT(I235,4)="JK18","KULGAM",IF(LEFT(I235,4)="JK22","SHOPIAN",IF(LEFT(I235,4)="JK02","JAMMU",IF(LEFT(I235,4)="JK09","KUPWARA",IF(LEFT(I235,4)="JK15","BANDIPORA",IF(LEFT(I235,4)="JK17","KISHTWAR",IF(LEFT(I235,4)="LA01","KARGIL",IF(LEFT(I235,1)="T","TEMP","NEW")))))))))))))))))</f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>ROW()-1</f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>IF(LEFT(I236,4)="JK13","PULWAMA",IF(LEFT(I236,4)="JK01","SRINAGAR",IF(LEFT(I236,4)="JK04","BUDGAM",IF(LEFT(I236,4)="JK03","ANANTNAG",IF(LEFT(I236,4)="JK05","BARAMULLA",IF(LEFT(I236,4)="26BH","BHARAT",IF(LEFT(I236,4)="25BH","BHARAT",IF(LEFT(I236,4)="JK12","POONCH",IF(LEFT(I236,4)="JK16","GANDERBAL",IF(LEFT(I236,4)="JK18","KULGAM",IF(LEFT(I236,4)="JK22","SHOPIAN",IF(LEFT(I236,4)="JK02","JAMMU",IF(LEFT(I236,4)="JK09","KUPWARA",IF(LEFT(I236,4)="JK15","BANDIPORA",IF(LEFT(I236,4)="JK17","KISHTWAR",IF(LEFT(I236,4)="LA01","KARGIL",IF(LEFT(I236,1)="T","TEMP","NEW")))))))))))))))))</f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>ROW()-1</f>
        <v>236</v>
      </c>
      <c r="B237" s="43" t="s">
        <v>8946</v>
      </c>
      <c r="C237" s="43" t="s">
        <v>8943</v>
      </c>
      <c r="D237" s="43" t="s">
        <v>8944</v>
      </c>
      <c r="E237" s="43" t="s">
        <v>8945</v>
      </c>
      <c r="F237" s="43" t="s">
        <v>119</v>
      </c>
      <c r="G237" s="43" t="s">
        <v>200</v>
      </c>
      <c r="H237" s="43" t="str">
        <f>IF(LEFT(I237,4)="JK13","PULWAMA",IF(LEFT(I237,4)="JK01","SRINAGAR",IF(LEFT(I237,4)="JK04","BUDGAM",IF(LEFT(I237,4)="JK03","ANANTNAG",IF(LEFT(I237,4)="JK05","BARAMULLA",IF(LEFT(I237,4)="26BH","BHARAT",IF(LEFT(I237,4)="25BH","BHARAT",IF(LEFT(I237,4)="JK12","POONCH",IF(LEFT(I237,4)="JK16","GANDERBAL",IF(LEFT(I237,4)="JK18","KULGAM",IF(LEFT(I237,4)="JK22","SHOPIAN",IF(LEFT(I237,4)="JK02","JAMMU",IF(LEFT(I237,4)="JK09","KUPWARA",IF(LEFT(I237,4)="JK15","BANDIPORA",IF(LEFT(I237,4)="JK17","KISHTWAR",IF(LEFT(I237,4)="LA01","KARGIL",IF(LEFT(I237,1)="T","TEMP","NEW")))))))))))))))))</f>
        <v>PULWAMA</v>
      </c>
      <c r="I237" s="43" t="s">
        <v>8947</v>
      </c>
      <c r="J237" s="44">
        <v>46073</v>
      </c>
      <c r="K237" s="43">
        <v>9596009903</v>
      </c>
      <c r="L237" s="43" t="s">
        <v>8707</v>
      </c>
      <c r="M237" s="45" t="s">
        <v>9027</v>
      </c>
      <c r="N237" s="44">
        <v>46077</v>
      </c>
      <c r="O237" s="43"/>
      <c r="P237" s="46"/>
      <c r="Q237" s="43"/>
      <c r="R237" s="43"/>
    </row>
    <row r="238" spans="1:18" x14ac:dyDescent="0.25">
      <c r="A238" s="43">
        <f>ROW()-1</f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>IF(LEFT(I238,4)="JK13","PULWAMA",IF(LEFT(I238,4)="JK01","SRINAGAR",IF(LEFT(I238,4)="JK04","BUDGAM",IF(LEFT(I238,4)="JK03","ANANTNAG",IF(LEFT(I238,4)="JK05","BARAMULLA",IF(LEFT(I238,4)="26BH","BHARAT",IF(LEFT(I238,4)="25BH","BHARAT",IF(LEFT(I238,4)="JK12","POONCH",IF(LEFT(I238,4)="JK16","GANDERBAL",IF(LEFT(I238,4)="JK18","KULGAM",IF(LEFT(I238,4)="JK22","SHOPIAN",IF(LEFT(I238,4)="JK02","JAMMU",IF(LEFT(I238,4)="JK09","KUPWARA",IF(LEFT(I238,4)="JK15","BANDIPORA",IF(LEFT(I238,4)="JK17","KISHTWAR",IF(LEFT(I238,4)="LA01","KARGIL",IF(LEFT(I238,1)="T","TEMP","NEW")))))))))))))))))</f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>ROW()-1</f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>IF(LEFT(I239,4)="JK13","PULWAMA",IF(LEFT(I239,4)="JK01","SRINAGAR",IF(LEFT(I239,4)="JK04","BUDGAM",IF(LEFT(I239,4)="JK03","ANANTNAG",IF(LEFT(I239,4)="JK05","BARAMULLA",IF(LEFT(I239,4)="26BH","BHARAT",IF(LEFT(I239,4)="25BH","BHARAT",IF(LEFT(I239,4)="JK12","POONCH",IF(LEFT(I239,4)="JK16","GANDERBAL",IF(LEFT(I239,4)="JK18","KULGAM",IF(LEFT(I239,4)="JK22","SHOPIAN",IF(LEFT(I239,4)="JK02","JAMMU",IF(LEFT(I239,4)="JK09","KUPWARA",IF(LEFT(I239,4)="JK15","BANDIPORA",IF(LEFT(I239,4)="JK17","KISHTWAR",IF(LEFT(I239,4)="LA01","KARGIL",IF(LEFT(I239,1)="T","TEMP","NEW")))))))))))))))))</f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>ROW()-1</f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>IF(LEFT(I240,4)="JK13","PULWAMA",IF(LEFT(I240,4)="JK01","SRINAGAR",IF(LEFT(I240,4)="JK04","BUDGAM",IF(LEFT(I240,4)="JK03","ANANTNAG",IF(LEFT(I240,4)="JK05","BARAMULLA",IF(LEFT(I240,4)="26BH","BHARAT",IF(LEFT(I240,4)="25BH","BHARAT",IF(LEFT(I240,4)="JK12","POONCH",IF(LEFT(I240,4)="JK16","GANDERBAL",IF(LEFT(I240,4)="JK18","KULGAM",IF(LEFT(I240,4)="JK22","SHOPIAN",IF(LEFT(I240,4)="JK02","JAMMU",IF(LEFT(I240,4)="JK09","KUPWARA",IF(LEFT(I240,4)="JK15","BANDIPORA",IF(LEFT(I240,4)="JK17","KISHTWAR",IF(LEFT(I240,4)="LA01","KARGIL",IF(LEFT(I240,1)="T","TEMP","NEW")))))))))))))))))</f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>ROW()-1</f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>IF(LEFT(I241,4)="JK13","PULWAMA",IF(LEFT(I241,4)="JK01","SRINAGAR",IF(LEFT(I241,4)="JK04","BUDGAM",IF(LEFT(I241,4)="JK03","ANANTNAG",IF(LEFT(I241,4)="JK05","BARAMULLA",IF(LEFT(I241,4)="26BH","BHARAT",IF(LEFT(I241,4)="25BH","BHARAT",IF(LEFT(I241,4)="JK12","POONCH",IF(LEFT(I241,4)="JK16","GANDERBAL",IF(LEFT(I241,4)="JK18","KULGAM",IF(LEFT(I241,4)="JK22","SHOPIAN",IF(LEFT(I241,4)="JK02","JAMMU",IF(LEFT(I241,4)="JK09","KUPWARA",IF(LEFT(I241,4)="JK15","BANDIPORA",IF(LEFT(I241,4)="JK17","KISHTWAR",IF(LEFT(I241,4)="LA01","KARGIL",IF(LEFT(I241,1)="T","TEMP","NEW")))))))))))))))))</f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>ROW()-1</f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>IF(LEFT(I242,4)="JK13","PULWAMA",IF(LEFT(I242,4)="JK01","SRINAGAR",IF(LEFT(I242,4)="JK04","BUDGAM",IF(LEFT(I242,4)="JK03","ANANTNAG",IF(LEFT(I242,4)="JK05","BARAMULLA",IF(LEFT(I242,4)="26BH","BHARAT",IF(LEFT(I242,4)="25BH","BHARAT",IF(LEFT(I242,4)="JK12","POONCH",IF(LEFT(I242,4)="JK16","GANDERBAL",IF(LEFT(I242,4)="JK18","KULGAM",IF(LEFT(I242,4)="JK22","SHOPIAN",IF(LEFT(I242,4)="JK02","JAMMU",IF(LEFT(I242,4)="JK09","KUPWARA",IF(LEFT(I242,4)="JK15","BANDIPORA",IF(LEFT(I242,4)="JK17","KISHTWAR",IF(LEFT(I242,4)="LA01","KARGIL",IF(LEFT(I242,1)="T","TEMP","NEW")))))))))))))))))</f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>ROW()-1</f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>IF(LEFT(I243,4)="JK13","PULWAMA",IF(LEFT(I243,4)="JK01","SRINAGAR",IF(LEFT(I243,4)="JK04","BUDGAM",IF(LEFT(I243,4)="JK03","ANANTNAG",IF(LEFT(I243,4)="JK05","BARAMULLA",IF(LEFT(I243,4)="26BH","BHARAT",IF(LEFT(I243,4)="25BH","BHARAT",IF(LEFT(I243,4)="JK12","POONCH",IF(LEFT(I243,4)="JK16","GANDERBAL",IF(LEFT(I243,4)="JK18","KULGAM",IF(LEFT(I243,4)="JK22","SHOPIAN",IF(LEFT(I243,4)="JK02","JAMMU",IF(LEFT(I243,4)="JK09","KUPWARA",IF(LEFT(I243,4)="JK15","BANDIPORA",IF(LEFT(I243,4)="JK17","KISHTWAR",IF(LEFT(I243,4)="LA01","KARGIL",IF(LEFT(I243,1)="T","TEMP","NEW")))))))))))))))))</f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>ROW()-1</f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>IF(LEFT(I244,4)="JK13","PULWAMA",IF(LEFT(I244,4)="JK01","SRINAGAR",IF(LEFT(I244,4)="JK04","BUDGAM",IF(LEFT(I244,4)="JK03","ANANTNAG",IF(LEFT(I244,4)="JK05","BARAMULLA",IF(LEFT(I244,4)="26BH","BHARAT",IF(LEFT(I244,4)="25BH","BHARAT",IF(LEFT(I244,4)="JK12","POONCH",IF(LEFT(I244,4)="JK16","GANDERBAL",IF(LEFT(I244,4)="JK18","KULGAM",IF(LEFT(I244,4)="JK22","SHOPIAN",IF(LEFT(I244,4)="JK02","JAMMU",IF(LEFT(I244,4)="JK09","KUPWARA",IF(LEFT(I244,4)="JK15","BANDIPORA",IF(LEFT(I244,4)="JK17","KISHTWAR",IF(LEFT(I244,4)="LA01","KARGIL",IF(LEFT(I244,1)="T","TEMP","NEW")))))))))))))))))</f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>ROW()-1</f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>IF(LEFT(I245,4)="JK13","PULWAMA",IF(LEFT(I245,4)="JK01","SRINAGAR",IF(LEFT(I245,4)="JK04","BUDGAM",IF(LEFT(I245,4)="JK03","ANANTNAG",IF(LEFT(I245,4)="JK05","BARAMULLA",IF(LEFT(I245,4)="26BH","BHARAT",IF(LEFT(I245,4)="25BH","BHARAT",IF(LEFT(I245,4)="JK12","POONCH",IF(LEFT(I245,4)="JK16","GANDERBAL",IF(LEFT(I245,4)="JK18","KULGAM",IF(LEFT(I245,4)="JK22","SHOPIAN",IF(LEFT(I245,4)="JK02","JAMMU",IF(LEFT(I245,4)="JK09","KUPWARA",IF(LEFT(I245,4)="JK15","BANDIPORA",IF(LEFT(I245,4)="JK17","KISHTWAR",IF(LEFT(I245,4)="LA01","KARGIL",IF(LEFT(I245,1)="T","TEMP","NEW")))))))))))))))))</f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>ROW()-1</f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>IF(LEFT(I246,4)="JK13","PULWAMA",IF(LEFT(I246,4)="JK01","SRINAGAR",IF(LEFT(I246,4)="JK04","BUDGAM",IF(LEFT(I246,4)="JK03","ANANTNAG",IF(LEFT(I246,4)="JK05","BARAMULLA",IF(LEFT(I246,4)="26BH","BHARAT",IF(LEFT(I246,4)="25BH","BHARAT",IF(LEFT(I246,4)="JK12","POONCH",IF(LEFT(I246,4)="JK16","GANDERBAL",IF(LEFT(I246,4)="JK18","KULGAM",IF(LEFT(I246,4)="JK22","SHOPIAN",IF(LEFT(I246,4)="JK02","JAMMU",IF(LEFT(I246,4)="JK09","KUPWARA",IF(LEFT(I246,4)="JK15","BANDIPORA",IF(LEFT(I246,4)="JK17","KISHTWAR",IF(LEFT(I246,4)="LA01","KARGIL",IF(LEFT(I246,1)="T","TEMP","NEW")))))))))))))))))</f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>ROW()-1</f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>IF(LEFT(I247,4)="JK13","PULWAMA",IF(LEFT(I247,4)="JK01","SRINAGAR",IF(LEFT(I247,4)="JK04","BUDGAM",IF(LEFT(I247,4)="JK03","ANANTNAG",IF(LEFT(I247,4)="JK05","BARAMULLA",IF(LEFT(I247,4)="26BH","BHARAT",IF(LEFT(I247,4)="25BH","BHARAT",IF(LEFT(I247,4)="JK12","POONCH",IF(LEFT(I247,4)="JK16","GANDERBAL",IF(LEFT(I247,4)="JK18","KULGAM",IF(LEFT(I247,4)="JK22","SHOPIAN",IF(LEFT(I247,4)="JK02","JAMMU",IF(LEFT(I247,4)="JK09","KUPWARA",IF(LEFT(I247,4)="JK15","BANDIPORA",IF(LEFT(I247,4)="JK17","KISHTWAR",IF(LEFT(I247,4)="LA01","KARGIL",IF(LEFT(I247,1)="T","TEMP","NEW")))))))))))))))))</f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>ROW()-1</f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>IF(LEFT(I248,4)="JK13","PULWAMA",IF(LEFT(I248,4)="JK01","SRINAGAR",IF(LEFT(I248,4)="JK04","BUDGAM",IF(LEFT(I248,4)="JK03","ANANTNAG",IF(LEFT(I248,4)="JK05","BARAMULLA",IF(LEFT(I248,4)="26BH","BHARAT",IF(LEFT(I248,4)="25BH","BHARAT",IF(LEFT(I248,4)="JK12","POONCH",IF(LEFT(I248,4)="JK16","GANDERBAL",IF(LEFT(I248,4)="JK18","KULGAM",IF(LEFT(I248,4)="JK22","SHOPIAN",IF(LEFT(I248,4)="JK02","JAMMU",IF(LEFT(I248,4)="JK09","KUPWARA",IF(LEFT(I248,4)="JK15","BANDIPORA",IF(LEFT(I248,4)="JK17","KISHTWAR",IF(LEFT(I248,4)="LA01","KARGIL",IF(LEFT(I248,1)="T","TEMP","NEW")))))))))))))))))</f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>ROW()-1</f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>IF(LEFT(I249,4)="JK13","PULWAMA",IF(LEFT(I249,4)="JK01","SRINAGAR",IF(LEFT(I249,4)="JK04","BUDGAM",IF(LEFT(I249,4)="JK03","ANANTNAG",IF(LEFT(I249,4)="JK05","BARAMULLA",IF(LEFT(I249,4)="26BH","BHARAT",IF(LEFT(I249,4)="25BH","BHARAT",IF(LEFT(I249,4)="JK12","POONCH",IF(LEFT(I249,4)="JK16","GANDERBAL",IF(LEFT(I249,4)="JK18","KULGAM",IF(LEFT(I249,4)="JK22","SHOPIAN",IF(LEFT(I249,4)="JK02","JAMMU",IF(LEFT(I249,4)="JK09","KUPWARA",IF(LEFT(I249,4)="JK15","BANDIPORA",IF(LEFT(I249,4)="JK17","KISHTWAR",IF(LEFT(I249,4)="LA01","KARGIL",IF(LEFT(I249,1)="T","TEMP","NEW")))))))))))))))))</f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>ROW()-1</f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>IF(LEFT(I250,4)="JK13","PULWAMA",IF(LEFT(I250,4)="JK01","SRINAGAR",IF(LEFT(I250,4)="JK04","BUDGAM",IF(LEFT(I250,4)="JK03","ANANTNAG",IF(LEFT(I250,4)="JK05","BARAMULLA",IF(LEFT(I250,4)="26BH","BHARAT",IF(LEFT(I250,4)="25BH","BHARAT",IF(LEFT(I250,4)="JK12","POONCH",IF(LEFT(I250,4)="JK16","GANDERBAL",IF(LEFT(I250,4)="JK18","KULGAM",IF(LEFT(I250,4)="JK22","SHOPIAN",IF(LEFT(I250,4)="JK02","JAMMU",IF(LEFT(I250,4)="JK09","KUPWARA",IF(LEFT(I250,4)="JK15","BANDIPORA",IF(LEFT(I250,4)="JK17","KISHTWAR",IF(LEFT(I250,4)="LA01","KARGIL",IF(LEFT(I250,1)="T","TEMP","NEW")))))))))))))))))</f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>ROW()-1</f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>IF(LEFT(I251,4)="JK13","PULWAMA",IF(LEFT(I251,4)="JK01","SRINAGAR",IF(LEFT(I251,4)="JK04","BUDGAM",IF(LEFT(I251,4)="JK03","ANANTNAG",IF(LEFT(I251,4)="JK05","BARAMULLA",IF(LEFT(I251,4)="26BH","BHARAT",IF(LEFT(I251,4)="25BH","BHARAT",IF(LEFT(I251,4)="JK12","POONCH",IF(LEFT(I251,4)="JK16","GANDERBAL",IF(LEFT(I251,4)="JK18","KULGAM",IF(LEFT(I251,4)="JK22","SHOPIAN",IF(LEFT(I251,4)="JK02","JAMMU",IF(LEFT(I251,4)="JK09","KUPWARA",IF(LEFT(I251,4)="JK15","BANDIPORA",IF(LEFT(I251,4)="JK17","KISHTWAR",IF(LEFT(I251,4)="LA01","KARGIL",IF(LEFT(I251,1)="T","TEMP","NEW")))))))))))))))))</f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 t="s">
        <v>9157</v>
      </c>
      <c r="N251" s="44">
        <v>46078</v>
      </c>
      <c r="O251" s="43"/>
      <c r="P251" s="46"/>
      <c r="Q251" s="43"/>
      <c r="R251" s="43"/>
    </row>
    <row r="252" spans="1:18" x14ac:dyDescent="0.25">
      <c r="A252" s="43">
        <f>ROW()-1</f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>IF(LEFT(I252,4)="JK13","PULWAMA",IF(LEFT(I252,4)="JK01","SRINAGAR",IF(LEFT(I252,4)="JK04","BUDGAM",IF(LEFT(I252,4)="JK03","ANANTNAG",IF(LEFT(I252,4)="JK05","BARAMULLA",IF(LEFT(I252,4)="26BH","BHARAT",IF(LEFT(I252,4)="25BH","BHARAT",IF(LEFT(I252,4)="JK12","POONCH",IF(LEFT(I252,4)="JK16","GANDERBAL",IF(LEFT(I252,4)="JK18","KULGAM",IF(LEFT(I252,4)="JK22","SHOPIAN",IF(LEFT(I252,4)="JK02","JAMMU",IF(LEFT(I252,4)="JK09","KUPWARA",IF(LEFT(I252,4)="JK15","BANDIPORA",IF(LEFT(I252,4)="JK17","KISHTWAR",IF(LEFT(I252,4)="LA01","KARGIL",IF(LEFT(I252,1)="T","TEMP","NEW")))))))))))))))))</f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>ROW()-1</f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>IF(LEFT(I253,4)="JK13","PULWAMA",IF(LEFT(I253,4)="JK01","SRINAGAR",IF(LEFT(I253,4)="JK04","BUDGAM",IF(LEFT(I253,4)="JK03","ANANTNAG",IF(LEFT(I253,4)="JK05","BARAMULLA",IF(LEFT(I253,4)="26BH","BHARAT",IF(LEFT(I253,4)="25BH","BHARAT",IF(LEFT(I253,4)="JK12","POONCH",IF(LEFT(I253,4)="JK16","GANDERBAL",IF(LEFT(I253,4)="JK18","KULGAM",IF(LEFT(I253,4)="JK22","SHOPIAN",IF(LEFT(I253,4)="JK02","JAMMU",IF(LEFT(I253,4)="JK09","KUPWARA",IF(LEFT(I253,4)="JK15","BANDIPORA",IF(LEFT(I253,4)="JK17","KISHTWAR",IF(LEFT(I253,4)="LA01","KARGIL",IF(LEFT(I253,1)="T","TEMP","NEW")))))))))))))))))</f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>ROW()-1</f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>IF(LEFT(I254,4)="JK13","PULWAMA",IF(LEFT(I254,4)="JK01","SRINAGAR",IF(LEFT(I254,4)="JK04","BUDGAM",IF(LEFT(I254,4)="JK03","ANANTNAG",IF(LEFT(I254,4)="JK05","BARAMULLA",IF(LEFT(I254,4)="26BH","BHARAT",IF(LEFT(I254,4)="25BH","BHARAT",IF(LEFT(I254,4)="JK12","POONCH",IF(LEFT(I254,4)="JK16","GANDERBAL",IF(LEFT(I254,4)="JK18","KULGAM",IF(LEFT(I254,4)="JK22","SHOPIAN",IF(LEFT(I254,4)="JK02","JAMMU",IF(LEFT(I254,4)="JK09","KUPWARA",IF(LEFT(I254,4)="JK15","BANDIPORA",IF(LEFT(I254,4)="JK17","KISHTWAR",IF(LEFT(I254,4)="LA01","KARGIL",IF(LEFT(I254,1)="T","TEMP","NEW")))))))))))))))))</f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>ROW()-1</f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>IF(LEFT(I255,4)="JK13","PULWAMA",IF(LEFT(I255,4)="JK01","SRINAGAR",IF(LEFT(I255,4)="JK04","BUDGAM",IF(LEFT(I255,4)="JK03","ANANTNAG",IF(LEFT(I255,4)="JK05","BARAMULLA",IF(LEFT(I255,4)="26BH","BHARAT",IF(LEFT(I255,4)="25BH","BHARAT",IF(LEFT(I255,4)="JK12","POONCH",IF(LEFT(I255,4)="JK16","GANDERBAL",IF(LEFT(I255,4)="JK18","KULGAM",IF(LEFT(I255,4)="JK22","SHOPIAN",IF(LEFT(I255,4)="JK02","JAMMU",IF(LEFT(I255,4)="JK09","KUPWARA",IF(LEFT(I255,4)="JK15","BANDIPORA",IF(LEFT(I255,4)="JK17","KISHTWAR",IF(LEFT(I255,4)="LA01","KARGIL",IF(LEFT(I255,1)="T","TEMP","NEW")))))))))))))))))</f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>ROW()-1</f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>IF(LEFT(I256,4)="JK13","PULWAMA",IF(LEFT(I256,4)="JK01","SRINAGAR",IF(LEFT(I256,4)="JK04","BUDGAM",IF(LEFT(I256,4)="JK03","ANANTNAG",IF(LEFT(I256,4)="JK05","BARAMULLA",IF(LEFT(I256,4)="26BH","BHARAT",IF(LEFT(I256,4)="25BH","BHARAT",IF(LEFT(I256,4)="JK12","POONCH",IF(LEFT(I256,4)="JK16","GANDERBAL",IF(LEFT(I256,4)="JK18","KULGAM",IF(LEFT(I256,4)="JK22","SHOPIAN",IF(LEFT(I256,4)="JK02","JAMMU",IF(LEFT(I256,4)="JK09","KUPWARA",IF(LEFT(I256,4)="JK15","BANDIPORA",IF(LEFT(I256,4)="JK17","KISHTWAR",IF(LEFT(I256,4)="LA01","KARGIL",IF(LEFT(I256,1)="T","TEMP","NEW")))))))))))))))))</f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>ROW()-1</f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>IF(LEFT(I257,4)="JK13","PULWAMA",IF(LEFT(I257,4)="JK01","SRINAGAR",IF(LEFT(I257,4)="JK04","BUDGAM",IF(LEFT(I257,4)="JK03","ANANTNAG",IF(LEFT(I257,4)="JK05","BARAMULLA",IF(LEFT(I257,4)="26BH","BHARAT",IF(LEFT(I257,4)="25BH","BHARAT",IF(LEFT(I257,4)="JK12","POONCH",IF(LEFT(I257,4)="JK16","GANDERBAL",IF(LEFT(I257,4)="JK18","KULGAM",IF(LEFT(I257,4)="JK22","SHOPIAN",IF(LEFT(I257,4)="JK02","JAMMU",IF(LEFT(I257,4)="JK09","KUPWARA",IF(LEFT(I257,4)="JK15","BANDIPORA",IF(LEFT(I257,4)="JK17","KISHTWAR",IF(LEFT(I257,4)="LA01","KARGIL",IF(LEFT(I257,1)="T","TEMP","NEW")))))))))))))))))</f>
        <v>BARAMULLA</v>
      </c>
      <c r="I257" s="43" t="s">
        <v>7484</v>
      </c>
      <c r="J257" s="44">
        <v>46015</v>
      </c>
      <c r="K257" s="43">
        <v>9596022327</v>
      </c>
      <c r="L257" s="43" t="s">
        <v>8960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>ROW()-1</f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>ROW()-1</f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16","GANDERBAL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</f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>ROW()-1</f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>IF(LEFT(I260,4)="JK13","PULWAMA",IF(LEFT(I260,4)="JK01","SRINAGAR",IF(LEFT(I260,4)="JK04","BUDGAM",IF(LEFT(I260,4)="JK03","ANANTNAG",IF(LEFT(I260,4)="JK05","BARAMULLA",IF(LEFT(I260,4)="26BH","BHARAT",IF(LEFT(I260,4)="25BH","BHARAT",IF(LEFT(I260,4)="JK12","POONCH",IF(LEFT(I260,4)="JK16","GANDERBAL",IF(LEFT(I260,4)="JK18","KULGAM",IF(LEFT(I260,4)="JK22","SHOPIAN",IF(LEFT(I260,4)="JK02","JAMMU",IF(LEFT(I260,4)="JK09","KUPWARA",IF(LEFT(I260,4)="JK15","BANDIPORA",IF(LEFT(I260,4)="JK17","KISHTWAR",IF(LEFT(I260,4)="LA01","KARGIL",IF(LEFT(I260,1)="T","TEMP","NEW")))))))))))))))))</f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>ROW()-1</f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>IF(LEFT(I261,4)="JK13","PULWAMA",IF(LEFT(I261,4)="JK01","SRINAGAR",IF(LEFT(I261,4)="JK04","BUDGAM",IF(LEFT(I261,4)="JK03","ANANTNAG",IF(LEFT(I261,4)="JK05","BARAMULLA",IF(LEFT(I261,4)="26BH","BHARAT",IF(LEFT(I261,4)="25BH","BHARAT",IF(LEFT(I261,4)="JK12","POONCH",IF(LEFT(I261,4)="JK16","GANDERBAL",IF(LEFT(I261,4)="JK18","KULGAM",IF(LEFT(I261,4)="JK22","SHOPIAN",IF(LEFT(I261,4)="JK02","JAMMU",IF(LEFT(I261,4)="JK09","KUPWARA",IF(LEFT(I261,4)="JK15","BANDIPORA",IF(LEFT(I261,4)="JK17","KISHTWAR",IF(LEFT(I261,4)="LA01","KARGIL",IF(LEFT(I261,1)="T","TEMP","NEW")))))))))))))))))</f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>ROW()-1</f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>IF(LEFT(I262,4)="JK13","PULWAMA",IF(LEFT(I262,4)="JK01","SRINAGAR",IF(LEFT(I262,4)="JK04","BUDGAM",IF(LEFT(I262,4)="JK03","ANANTNAG",IF(LEFT(I262,4)="JK05","BARAMULLA",IF(LEFT(I262,4)="26BH","BHARAT",IF(LEFT(I262,4)="25BH","BHARAT",IF(LEFT(I262,4)="JK12","POONCH",IF(LEFT(I262,4)="JK16","GANDERBAL",IF(LEFT(I262,4)="JK18","KULGAM",IF(LEFT(I262,4)="JK22","SHOPIAN",IF(LEFT(I262,4)="JK02","JAMMU",IF(LEFT(I262,4)="JK09","KUPWARA",IF(LEFT(I262,4)="JK15","BANDIPORA",IF(LEFT(I262,4)="JK17","KISHTWAR",IF(LEFT(I262,4)="LA01","KARGIL",IF(LEFT(I262,1)="T","TEMP","NEW")))))))))))))))))</f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>ROW()-1</f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>IF(LEFT(I263,4)="JK13","PULWAMA",IF(LEFT(I263,4)="JK01","SRINAGAR",IF(LEFT(I263,4)="JK04","BUDGAM",IF(LEFT(I263,4)="JK03","ANANTNAG",IF(LEFT(I263,4)="JK05","BARAMULLA",IF(LEFT(I263,4)="26BH","BHARAT",IF(LEFT(I263,4)="25BH","BHARAT",IF(LEFT(I263,4)="JK12","POONCH",IF(LEFT(I263,4)="JK16","GANDERBAL",IF(LEFT(I263,4)="JK18","KULGAM",IF(LEFT(I263,4)="JK22","SHOPIAN",IF(LEFT(I263,4)="JK02","JAMMU",IF(LEFT(I263,4)="JK09","KUPWARA",IF(LEFT(I263,4)="JK15","BANDIPORA",IF(LEFT(I263,4)="JK17","KISHTWAR",IF(LEFT(I263,4)="LA01","KARGIL",IF(LEFT(I263,1)="T","TEMP","NEW")))))))))))))))))</f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>ROW()-1</f>
        <v>263</v>
      </c>
      <c r="B264" s="43" t="s">
        <v>8674</v>
      </c>
      <c r="C264" s="43" t="s">
        <v>8671</v>
      </c>
      <c r="D264" s="43" t="s">
        <v>8672</v>
      </c>
      <c r="E264" s="43" t="s">
        <v>4004</v>
      </c>
      <c r="F264" s="43" t="s">
        <v>281</v>
      </c>
      <c r="G264" s="43" t="s">
        <v>199</v>
      </c>
      <c r="H264" s="43" t="str">
        <f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16","GANDERBAL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)</f>
        <v>PULWAMA</v>
      </c>
      <c r="I264" s="43" t="s">
        <v>8676</v>
      </c>
      <c r="J264" s="44">
        <v>46058</v>
      </c>
      <c r="K264" s="43">
        <v>9858814104</v>
      </c>
      <c r="L264" s="43" t="s">
        <v>8673</v>
      </c>
      <c r="M264" s="45" t="s">
        <v>8763</v>
      </c>
      <c r="N264" s="44">
        <v>46064</v>
      </c>
      <c r="O264" s="43"/>
      <c r="P264" s="46"/>
      <c r="Q264" s="43"/>
      <c r="R264" s="43"/>
    </row>
    <row r="265" spans="1:18" x14ac:dyDescent="0.25">
      <c r="A265" s="43">
        <f>ROW()-1</f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>IF(LEFT(I265,4)="JK13","PULWAMA",IF(LEFT(I265,4)="JK01","SRINAGAR",IF(LEFT(I265,4)="JK04","BUDGAM",IF(LEFT(I265,4)="JK03","ANANTNAG",IF(LEFT(I265,4)="JK05","BARAMULLA",IF(LEFT(I265,4)="26BH","BHARAT",IF(LEFT(I265,4)="25BH","BHARAT",IF(LEFT(I265,4)="JK12","POONCH",IF(LEFT(I265,4)="JK16","GANDERBAL",IF(LEFT(I265,4)="JK18","KULGAM",IF(LEFT(I265,4)="JK22","SHOPIAN",IF(LEFT(I265,4)="JK02","JAMMU",IF(LEFT(I265,4)="JK09","KUPWARA",IF(LEFT(I265,4)="JK15","BANDIPORA",IF(LEFT(I265,4)="JK17","KISHTWAR",IF(LEFT(I265,4)="LA01","KARGIL",IF(LEFT(I265,1)="T","TEMP","NEW")))))))))))))))))</f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>ROW()-1</f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>IF(LEFT(I266,4)="JK13","PULWAMA",IF(LEFT(I266,4)="JK01","SRINAGAR",IF(LEFT(I266,4)="JK04","BUDGAM",IF(LEFT(I266,4)="JK03","ANANTNAG",IF(LEFT(I266,4)="JK05","BARAMULLA",IF(LEFT(I266,4)="26BH","BHARAT",IF(LEFT(I266,4)="25BH","BHARAT",IF(LEFT(I266,4)="JK12","POONCH",IF(LEFT(I266,4)="JK16","GANDERBAL",IF(LEFT(I266,4)="JK18","KULGAM",IF(LEFT(I266,4)="JK22","SHOPIAN",IF(LEFT(I266,4)="JK02","JAMMU",IF(LEFT(I266,4)="JK09","KUPWARA",IF(LEFT(I266,4)="JK15","BANDIPORA",IF(LEFT(I266,4)="JK17","KISHTWAR",IF(LEFT(I266,4)="LA01","KARGIL",IF(LEFT(I266,1)="T","TEMP","NEW")))))))))))))))))</f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>ROW()-1</f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>IF(LEFT(I267,4)="JK13","PULWAMA",IF(LEFT(I267,4)="JK01","SRINAGAR",IF(LEFT(I267,4)="JK04","BUDGAM",IF(LEFT(I267,4)="JK03","ANANTNAG",IF(LEFT(I267,4)="JK05","BARAMULLA",IF(LEFT(I267,4)="26BH","BHARAT",IF(LEFT(I267,4)="25BH","BHARAT",IF(LEFT(I267,4)="JK12","POONCH",IF(LEFT(I267,4)="JK16","GANDERBAL",IF(LEFT(I267,4)="JK18","KULGAM",IF(LEFT(I267,4)="JK22","SHOPIAN",IF(LEFT(I267,4)="JK02","JAMMU",IF(LEFT(I267,4)="JK09","KUPWARA",IF(LEFT(I267,4)="JK15","BANDIPORA",IF(LEFT(I267,4)="JK17","KISHTWAR",IF(LEFT(I267,4)="LA01","KARGIL",IF(LEFT(I267,1)="T","TEMP","NEW")))))))))))))))))</f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>ROW()-1</f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>IF(LEFT(I268,4)="JK13","PULWAMA",IF(LEFT(I268,4)="JK01","SRINAGAR",IF(LEFT(I268,4)="JK04","BUDGAM",IF(LEFT(I268,4)="JK03","ANANTNAG",IF(LEFT(I268,4)="JK05","BARAMULLA",IF(LEFT(I268,4)="26BH","BHARAT",IF(LEFT(I268,4)="25BH","BHARAT",IF(LEFT(I268,4)="JK12","POONCH",IF(LEFT(I268,4)="JK16","GANDERBAL",IF(LEFT(I268,4)="JK18","KULGAM",IF(LEFT(I268,4)="JK22","SHOPIAN",IF(LEFT(I268,4)="JK02","JAMMU",IF(LEFT(I268,4)="JK09","KUPWARA",IF(LEFT(I268,4)="JK15","BANDIPORA",IF(LEFT(I268,4)="JK17","KISHTWAR",IF(LEFT(I268,4)="LA01","KARGIL",IF(LEFT(I268,1)="T","TEMP","NEW")))))))))))))))))</f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>ROW()-1</f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>IF(LEFT(I269,4)="JK13","PULWAMA",IF(LEFT(I269,4)="JK01","SRINAGAR",IF(LEFT(I269,4)="JK04","BUDGAM",IF(LEFT(I269,4)="JK03","ANANTNAG",IF(LEFT(I269,4)="JK05","BARAMULLA",IF(LEFT(I269,4)="26BH","BHARAT",IF(LEFT(I269,4)="25BH","BHARAT",IF(LEFT(I269,4)="JK12","POONCH",IF(LEFT(I269,4)="JK16","GANDERBAL",IF(LEFT(I269,4)="JK18","KULGAM",IF(LEFT(I269,4)="JK22","SHOPIAN",IF(LEFT(I269,4)="JK02","JAMMU",IF(LEFT(I269,4)="JK09","KUPWARA",IF(LEFT(I269,4)="JK15","BANDIPORA",IF(LEFT(I269,4)="JK17","KISHTWAR",IF(LEFT(I269,4)="LA01","KARGIL",IF(LEFT(I269,1)="T","TEMP","NEW")))))))))))))))))</f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>ROW()-1</f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>IF(LEFT(I270,4)="JK13","PULWAMA",IF(LEFT(I270,4)="JK01","SRINAGAR",IF(LEFT(I270,4)="JK04","BUDGAM",IF(LEFT(I270,4)="JK03","ANANTNAG",IF(LEFT(I270,4)="JK05","BARAMULLA",IF(LEFT(I270,4)="26BH","BHARAT",IF(LEFT(I270,4)="25BH","BHARAT",IF(LEFT(I270,4)="JK12","POONCH",IF(LEFT(I270,4)="JK16","GANDERBAL",IF(LEFT(I270,4)="JK18","KULGAM",IF(LEFT(I270,4)="JK22","SHOPIAN",IF(LEFT(I270,4)="JK02","JAMMU",IF(LEFT(I270,4)="JK09","KUPWARA",IF(LEFT(I270,4)="JK15","BANDIPORA",IF(LEFT(I270,4)="JK17","KISHTWAR",IF(LEFT(I270,4)="LA01","KARGIL",IF(LEFT(I270,1)="T","TEMP","NEW")))))))))))))))))</f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>ROW()-1</f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>IF(LEFT(I271,4)="JK13","PULWAMA",IF(LEFT(I271,4)="JK01","SRINAGAR",IF(LEFT(I271,4)="JK04","BUDGAM",IF(LEFT(I271,4)="JK03","ANANTNAG",IF(LEFT(I271,4)="JK05","BARAMULLA",IF(LEFT(I271,4)="26BH","BHARAT",IF(LEFT(I271,4)="25BH","BHARAT",IF(LEFT(I271,4)="JK12","POONCH",IF(LEFT(I271,4)="JK16","GANDERBAL",IF(LEFT(I271,4)="JK18","KULGAM",IF(LEFT(I271,4)="JK22","SHOPIAN",IF(LEFT(I271,4)="JK02","JAMMU",IF(LEFT(I271,4)="JK09","KUPWARA",IF(LEFT(I271,4)="JK15","BANDIPORA",IF(LEFT(I271,4)="JK17","KISHTWAR",IF(LEFT(I271,4)="LA01","KARGIL",IF(LEFT(I271,1)="T","TEMP","NEW")))))))))))))))))</f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>ROW()-1</f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>IF(LEFT(I272,4)="JK13","PULWAMA",IF(LEFT(I272,4)="JK01","SRINAGAR",IF(LEFT(I272,4)="JK04","BUDGAM",IF(LEFT(I272,4)="JK03","ANANTNAG",IF(LEFT(I272,4)="JK05","BARAMULLA",IF(LEFT(I272,4)="26BH","BHARAT",IF(LEFT(I272,4)="25BH","BHARAT",IF(LEFT(I272,4)="JK12","POONCH",IF(LEFT(I272,4)="JK16","GANDERBAL",IF(LEFT(I272,4)="JK18","KULGAM",IF(LEFT(I272,4)="JK22","SHOPIAN",IF(LEFT(I272,4)="JK02","JAMMU",IF(LEFT(I272,4)="JK09","KUPWARA",IF(LEFT(I272,4)="JK15","BANDIPORA",IF(LEFT(I272,4)="JK17","KISHTWAR",IF(LEFT(I272,4)="LA01","KARGIL",IF(LEFT(I272,1)="T","TEMP","NEW")))))))))))))))))</f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>ROW()-1</f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>IF(LEFT(I273,4)="JK13","PULWAMA",IF(LEFT(I273,4)="JK01","SRINAGAR",IF(LEFT(I273,4)="JK04","BUDGAM",IF(LEFT(I273,4)="JK03","ANANTNAG",IF(LEFT(I273,4)="JK05","BARAMULLA",IF(LEFT(I273,4)="26BH","BHARAT",IF(LEFT(I273,4)="25BH","BHARAT",IF(LEFT(I273,4)="JK12","POONCH",IF(LEFT(I273,4)="JK16","GANDERBAL",IF(LEFT(I273,4)="JK18","KULGAM",IF(LEFT(I273,4)="JK22","SHOPIAN",IF(LEFT(I273,4)="JK02","JAMMU",IF(LEFT(I273,4)="JK09","KUPWARA",IF(LEFT(I273,4)="JK15","BANDIPORA",IF(LEFT(I273,4)="JK17","KISHTWAR",IF(LEFT(I273,4)="LA01","KARGIL",IF(LEFT(I273,1)="T","TEMP","NEW")))))))))))))))))</f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>ROW()-1</f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>IF(LEFT(I274,4)="JK13","PULWAMA",IF(LEFT(I274,4)="JK01","SRINAGAR",IF(LEFT(I274,4)="JK04","BUDGAM",IF(LEFT(I274,4)="JK03","ANANTNAG",IF(LEFT(I274,4)="JK05","BARAMULLA",IF(LEFT(I274,4)="26BH","BHARAT",IF(LEFT(I274,4)="25BH","BHARAT",IF(LEFT(I274,4)="JK12","POONCH",IF(LEFT(I274,4)="JK16","GANDERBAL",IF(LEFT(I274,4)="JK18","KULGAM",IF(LEFT(I274,4)="JK22","SHOPIAN",IF(LEFT(I274,4)="JK02","JAMMU",IF(LEFT(I274,4)="JK09","KUPWARA",IF(LEFT(I274,4)="JK15","BANDIPORA",IF(LEFT(I274,4)="JK17","KISHTWAR",IF(LEFT(I274,4)="LA01","KARGIL",IF(LEFT(I274,1)="T","TEMP","NEW")))))))))))))))))</f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>ROW()-1</f>
        <v>274</v>
      </c>
      <c r="B275" s="43" t="s">
        <v>8725</v>
      </c>
      <c r="C275" s="43" t="s">
        <v>8726</v>
      </c>
      <c r="D275" s="43" t="s">
        <v>8727</v>
      </c>
      <c r="E275" s="43" t="s">
        <v>8728</v>
      </c>
      <c r="F275" s="43" t="s">
        <v>5</v>
      </c>
      <c r="G275" s="43" t="s">
        <v>199</v>
      </c>
      <c r="H275" s="43" t="str">
        <f>IF(LEFT(I275,4)="JK13","PULWAMA",IF(LEFT(I275,4)="JK01","SRINAGAR",IF(LEFT(I275,4)="JK04","BUDGAM",IF(LEFT(I275,4)="JK03","ANANTNAG",IF(LEFT(I275,4)="JK05","BARAMULLA",IF(LEFT(I275,4)="26BH","BHARAT",IF(LEFT(I275,4)="25BH","BHARAT",IF(LEFT(I275,4)="JK12","POONCH",IF(LEFT(I275,4)="JK16","GANDERBAL",IF(LEFT(I275,4)="JK18","KULGAM",IF(LEFT(I275,4)="JK22","SHOPIAN",IF(LEFT(I275,4)="JK02","JAMMU",IF(LEFT(I275,4)="JK09","KUPWARA",IF(LEFT(I275,4)="JK15","BANDIPORA",IF(LEFT(I275,4)="JK17","KISHTWAR",IF(LEFT(I275,4)="LA01","KARGIL",IF(LEFT(I275,1)="T","TEMP","NEW")))))))))))))))))</f>
        <v>ANANTNAG</v>
      </c>
      <c r="I275" s="43" t="s">
        <v>8735</v>
      </c>
      <c r="J275" s="44">
        <v>46063</v>
      </c>
      <c r="K275" s="43">
        <v>9906434871</v>
      </c>
      <c r="L275" s="43" t="s">
        <v>8673</v>
      </c>
      <c r="M275" s="45" t="s">
        <v>8763</v>
      </c>
      <c r="N275" s="44">
        <v>46064</v>
      </c>
      <c r="O275" s="43"/>
      <c r="P275" s="46"/>
      <c r="Q275" s="43"/>
      <c r="R275" s="43"/>
    </row>
    <row r="276" spans="1:18" x14ac:dyDescent="0.25">
      <c r="A276" s="43">
        <f>ROW()-1</f>
        <v>275</v>
      </c>
      <c r="B276" s="43" t="s">
        <v>8065</v>
      </c>
      <c r="C276" s="43" t="s">
        <v>8066</v>
      </c>
      <c r="D276" s="43" t="s">
        <v>8067</v>
      </c>
      <c r="E276" s="43" t="s">
        <v>8068</v>
      </c>
      <c r="F276" s="43" t="s">
        <v>5</v>
      </c>
      <c r="G276" s="43" t="s">
        <v>200</v>
      </c>
      <c r="H276" s="43" t="str">
        <f>IF(LEFT(I276,4)="JK13","PULWAMA",IF(LEFT(I276,4)="JK01","SRINAGAR",IF(LEFT(I276,4)="JK04","BUDGAM",IF(LEFT(I276,4)="JK03","ANANTNAG",IF(LEFT(I276,4)="JK05","BARAMULLA",IF(LEFT(I276,4)="26BH","BHARAT",IF(LEFT(I276,4)="25BH","BHARAT",IF(LEFT(I276,4)="JK12","POONCH",IF(LEFT(I276,4)="JK16","GANDERBAL",IF(LEFT(I276,4)="JK18","KULGAM",IF(LEFT(I276,4)="JK22","SHOPIAN",IF(LEFT(I276,4)="JK02","JAMMU",IF(LEFT(I276,4)="JK09","KUPWARA",IF(LEFT(I276,4)="JK15","BANDIPORA",IF(LEFT(I276,4)="JK17","KISHTWAR",IF(LEFT(I276,4)="LA01","KARGIL",IF(LEFT(I276,1)="T","TEMP","NEW")))))))))))))))))</f>
        <v>PULWAMA</v>
      </c>
      <c r="I276" s="43" t="s">
        <v>8081</v>
      </c>
      <c r="J276" s="44">
        <v>46027</v>
      </c>
      <c r="K276" s="43">
        <v>9419278824</v>
      </c>
      <c r="L276" s="43" t="s">
        <v>6520</v>
      </c>
      <c r="M276" s="45" t="s">
        <v>8614</v>
      </c>
      <c r="N276" s="44">
        <v>46057</v>
      </c>
      <c r="O276" s="43"/>
      <c r="P276" s="46"/>
      <c r="Q276" s="43"/>
      <c r="R276" s="43" t="s">
        <v>8089</v>
      </c>
    </row>
    <row r="277" spans="1:18" x14ac:dyDescent="0.25">
      <c r="A277" s="43">
        <f>ROW()-1</f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>IF(LEFT(I277,4)="JK13","PULWAMA",IF(LEFT(I277,4)="JK01","SRINAGAR",IF(LEFT(I277,4)="JK04","BUDGAM",IF(LEFT(I277,4)="JK03","ANANTNAG",IF(LEFT(I277,4)="JK05","BARAMULLA",IF(LEFT(I277,4)="26BH","BHARAT",IF(LEFT(I277,4)="25BH","BHARAT",IF(LEFT(I277,4)="JK12","POONCH",IF(LEFT(I277,4)="JK16","GANDERBAL",IF(LEFT(I277,4)="JK18","KULGAM",IF(LEFT(I277,4)="JK22","SHOPIAN",IF(LEFT(I277,4)="JK02","JAMMU",IF(LEFT(I277,4)="JK09","KUPWARA",IF(LEFT(I277,4)="JK15","BANDIPORA",IF(LEFT(I277,4)="JK17","KISHTWAR",IF(LEFT(I277,4)="LA01","KARGIL",IF(LEFT(I277,1)="T","TEMP","NEW")))))))))))))))))</f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>ROW()-1</f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>IF(LEFT(I278,4)="JK13","PULWAMA",IF(LEFT(I278,4)="JK01","SRINAGAR",IF(LEFT(I278,4)="JK04","BUDGAM",IF(LEFT(I278,4)="JK03","ANANTNAG",IF(LEFT(I278,4)="JK05","BARAMULLA",IF(LEFT(I278,4)="26BH","BHARAT",IF(LEFT(I278,4)="25BH","BHARAT",IF(LEFT(I278,4)="JK12","POONCH",IF(LEFT(I278,4)="JK16","GANDERBAL",IF(LEFT(I278,4)="JK18","KULGAM",IF(LEFT(I278,4)="JK22","SHOPIAN",IF(LEFT(I278,4)="JK02","JAMMU",IF(LEFT(I278,4)="JK09","KUPWARA",IF(LEFT(I278,4)="JK15","BANDIPORA",IF(LEFT(I278,4)="JK17","KISHTWAR",IF(LEFT(I278,4)="LA01","KARGIL",IF(LEFT(I278,1)="T","TEMP","NEW")))))))))))))))))</f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>ROW()-1</f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>IF(LEFT(I279,4)="JK13","PULWAMA",IF(LEFT(I279,4)="JK01","SRINAGAR",IF(LEFT(I279,4)="JK04","BUDGAM",IF(LEFT(I279,4)="JK03","ANANTNAG",IF(LEFT(I279,4)="JK05","BARAMULLA",IF(LEFT(I279,4)="26BH","BHARAT",IF(LEFT(I279,4)="25BH","BHARAT",IF(LEFT(I279,4)="JK12","POONCH",IF(LEFT(I279,4)="JK16","GANDERBAL",IF(LEFT(I279,4)="JK18","KULGAM",IF(LEFT(I279,4)="JK22","SHOPIAN",IF(LEFT(I279,4)="JK02","JAMMU",IF(LEFT(I279,4)="JK09","KUPWARA",IF(LEFT(I279,4)="JK15","BANDIPORA",IF(LEFT(I279,4)="JK17","KISHTWAR",IF(LEFT(I279,4)="LA01","KARGIL",IF(LEFT(I279,1)="T","TEMP","NEW")))))))))))))))))</f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>ROW()-1</f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>IF(LEFT(I280,4)="JK13","PULWAMA",IF(LEFT(I280,4)="JK01","SRINAGAR",IF(LEFT(I280,4)="JK04","BUDGAM",IF(LEFT(I280,4)="JK03","ANANTNAG",IF(LEFT(I280,4)="JK05","BARAMULLA",IF(LEFT(I280,4)="26BH","BHARAT",IF(LEFT(I280,4)="25BH","BHARAT",IF(LEFT(I280,4)="JK12","POONCH",IF(LEFT(I280,4)="JK16","GANDERBAL",IF(LEFT(I280,4)="JK18","KULGAM",IF(LEFT(I280,4)="JK22","SHOPIAN",IF(LEFT(I280,4)="JK02","JAMMU",IF(LEFT(I280,4)="JK09","KUPWARA",IF(LEFT(I280,4)="JK15","BANDIPORA",IF(LEFT(I280,4)="JK17","KISHTWAR",IF(LEFT(I280,4)="LA01","KARGIL",IF(LEFT(I280,1)="T","TEMP","NEW")))))))))))))))))</f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>ROW()-1</f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>IF(LEFT(I281,4)="JK13","PULWAMA",IF(LEFT(I281,4)="JK01","SRINAGAR",IF(LEFT(I281,4)="JK04","BUDGAM",IF(LEFT(I281,4)="JK03","ANANTNAG",IF(LEFT(I281,4)="JK05","BARAMULLA",IF(LEFT(I281,4)="26BH","BHARAT",IF(LEFT(I281,4)="25BH","BHARAT",IF(LEFT(I281,4)="JK12","POONCH",IF(LEFT(I281,4)="JK16","GANDERBAL",IF(LEFT(I281,4)="JK18","KULGAM",IF(LEFT(I281,4)="JK22","SHOPIAN",IF(LEFT(I281,4)="JK02","JAMMU",IF(LEFT(I281,4)="JK09","KUPWARA",IF(LEFT(I281,4)="JK15","BANDIPORA",IF(LEFT(I281,4)="JK17","KISHTWAR",IF(LEFT(I281,4)="LA01","KARGIL",IF(LEFT(I281,1)="T","TEMP","NEW")))))))))))))))))</f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>ROW()-1</f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>IF(LEFT(I282,4)="JK13","PULWAMA",IF(LEFT(I282,4)="JK01","SRINAGAR",IF(LEFT(I282,4)="JK04","BUDGAM",IF(LEFT(I282,4)="JK03","ANANTNAG",IF(LEFT(I282,4)="JK05","BARAMULLA",IF(LEFT(I282,4)="26BH","BHARAT",IF(LEFT(I282,4)="25BH","BHARAT",IF(LEFT(I282,4)="JK12","POONCH",IF(LEFT(I282,4)="JK16","GANDERBAL",IF(LEFT(I282,4)="JK18","KULGAM",IF(LEFT(I282,4)="JK22","SHOPIAN",IF(LEFT(I282,4)="JK02","JAMMU",IF(LEFT(I282,4)="JK09","KUPWARA",IF(LEFT(I282,4)="JK15","BANDIPORA",IF(LEFT(I282,4)="JK17","KISHTWAR",IF(LEFT(I282,4)="LA01","KARGIL",IF(LEFT(I282,1)="T","TEMP","NEW")))))))))))))))))</f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>ROW()-1</f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>IF(LEFT(I283,4)="JK13","PULWAMA",IF(LEFT(I283,4)="JK01","SRINAGAR",IF(LEFT(I283,4)="JK04","BUDGAM",IF(LEFT(I283,4)="JK03","ANANTNAG",IF(LEFT(I283,4)="JK05","BARAMULLA",IF(LEFT(I283,4)="26BH","BHARAT",IF(LEFT(I283,4)="25BH","BHARAT",IF(LEFT(I283,4)="JK12","POONCH",IF(LEFT(I283,4)="JK16","GANDERBAL",IF(LEFT(I283,4)="JK18","KULGAM",IF(LEFT(I283,4)="JK22","SHOPIAN",IF(LEFT(I283,4)="JK02","JAMMU",IF(LEFT(I283,4)="JK09","KUPWARA",IF(LEFT(I283,4)="JK15","BANDIPORA",IF(LEFT(I283,4)="JK17","KISHTWAR",IF(LEFT(I283,4)="LA01","KARGIL",IF(LEFT(I283,1)="T","TEMP","NEW")))))))))))))))))</f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>ROW()-1</f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>IF(LEFT(I284,4)="JK13","PULWAMA",IF(LEFT(I284,4)="JK01","SRINAGAR",IF(LEFT(I284,4)="JK04","BUDGAM",IF(LEFT(I284,4)="JK03","ANANTNAG",IF(LEFT(I284,4)="JK05","BARAMULLA",IF(LEFT(I284,4)="26BH","BHARAT",IF(LEFT(I284,4)="25BH","BHARAT",IF(LEFT(I284,4)="JK12","POONCH",IF(LEFT(I284,4)="JK16","GANDERBAL",IF(LEFT(I284,4)="JK18","KULGAM",IF(LEFT(I284,4)="JK22","SHOPIAN",IF(LEFT(I284,4)="JK02","JAMMU",IF(LEFT(I284,4)="JK09","KUPWARA",IF(LEFT(I284,4)="JK15","BANDIPORA",IF(LEFT(I284,4)="JK17","KISHTWAR",IF(LEFT(I284,4)="LA01","KARGIL",IF(LEFT(I284,1)="T","TEMP","NEW")))))))))))))))))</f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>ROW()-1</f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>IF(LEFT(I285,4)="JK13","PULWAMA",IF(LEFT(I285,4)="JK01","SRINAGAR",IF(LEFT(I285,4)="JK04","BUDGAM",IF(LEFT(I285,4)="JK03","ANANTNAG",IF(LEFT(I285,4)="JK05","BARAMULLA",IF(LEFT(I285,4)="26BH","BHARAT",IF(LEFT(I285,4)="25BH","BHARAT",IF(LEFT(I285,4)="JK12","POONCH",IF(LEFT(I285,4)="JK16","GANDERBAL",IF(LEFT(I285,4)="JK18","KULGAM",IF(LEFT(I285,4)="JK22","SHOPIAN",IF(LEFT(I285,4)="JK02","JAMMU",IF(LEFT(I285,4)="JK09","KUPWARA",IF(LEFT(I285,4)="JK15","BANDIPORA",IF(LEFT(I285,4)="JK17","KISHTWAR",IF(LEFT(I285,4)="LA01","KARGIL",IF(LEFT(I285,1)="T","TEMP","NEW")))))))))))))))))</f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>ROW()-1</f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>ROW()-1</f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>IF(LEFT(I287,4)="JK13","PULWAMA",IF(LEFT(I287,4)="JK01","SRINAGAR",IF(LEFT(I287,4)="JK04","BUDGAM",IF(LEFT(I287,4)="JK03","ANANTNAG",IF(LEFT(I287,4)="JK05","BARAMULLA",IF(LEFT(I287,4)="26BH","BHARAT",IF(LEFT(I287,4)="25BH","BHARAT",IF(LEFT(I287,4)="JK12","POONCH",IF(LEFT(I287,4)="JK16","GANDERBAL",IF(LEFT(I287,4)="JK18","KULGAM",IF(LEFT(I287,4)="JK22","SHOPIAN",IF(LEFT(I287,4)="JK02","JAMMU",IF(LEFT(I287,4)="JK09","KUPWARA",IF(LEFT(I287,4)="JK15","BANDIPORA",IF(LEFT(I287,4)="JK17","KISHTWAR",IF(LEFT(I287,4)="LA01","KARGIL",IF(LEFT(I287,1)="T","TEMP","NEW")))))))))))))))))</f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>ROW()-1</f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>IF(LEFT(I288,4)="JK13","PULWAMA",IF(LEFT(I288,4)="JK01","SRINAGAR",IF(LEFT(I288,4)="JK04","BUDGAM",IF(LEFT(I288,4)="JK03","ANANTNAG",IF(LEFT(I288,4)="JK05","BARAMULLA",IF(LEFT(I288,4)="26BH","BHARAT",IF(LEFT(I288,4)="25BH","BHARAT",IF(LEFT(I288,4)="JK12","POONCH",IF(LEFT(I288,4)="JK16","GANDERBAL",IF(LEFT(I288,4)="JK18","KULGAM",IF(LEFT(I288,4)="JK22","SHOPIAN",IF(LEFT(I288,4)="JK02","JAMMU",IF(LEFT(I288,4)="JK09","KUPWARA",IF(LEFT(I288,4)="JK15","BANDIPORA",IF(LEFT(I288,4)="JK17","KISHTWAR",IF(LEFT(I288,4)="LA01","KARGIL",IF(LEFT(I288,1)="T","TEMP","NEW")))))))))))))))))</f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>ROW()-1</f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>IF(LEFT(I289,4)="JK13","PULWAMA",IF(LEFT(I289,4)="JK01","SRINAGAR",IF(LEFT(I289,4)="JK04","BUDGAM",IF(LEFT(I289,4)="JK03","ANANTNAG",IF(LEFT(I289,4)="JK05","BARAMULLA",IF(LEFT(I289,4)="26BH","BHARAT",IF(LEFT(I289,4)="25BH","BHARAT",IF(LEFT(I289,4)="JK12","POONCH",IF(LEFT(I289,4)="JK16","GANDERBAL",IF(LEFT(I289,4)="JK18","KULGAM",IF(LEFT(I289,4)="JK22","SHOPIAN",IF(LEFT(I289,4)="JK02","JAMMU",IF(LEFT(I289,4)="JK09","KUPWARA",IF(LEFT(I289,4)="JK15","BANDIPORA",IF(LEFT(I289,4)="JK17","KISHTWAR",IF(LEFT(I289,4)="LA01","KARGIL",IF(LEFT(I289,1)="T","TEMP","NEW")))))))))))))))))</f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>ROW()-1</f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>IF(LEFT(I290,4)="JK13","PULWAMA",IF(LEFT(I290,4)="JK01","SRINAGAR",IF(LEFT(I290,4)="JK04","BUDGAM",IF(LEFT(I290,4)="JK03","ANANTNAG",IF(LEFT(I290,4)="JK05","BARAMULLA",IF(LEFT(I290,4)="26BH","BHARAT",IF(LEFT(I290,4)="25BH","BHARAT",IF(LEFT(I290,4)="JK12","POONCH",IF(LEFT(I290,4)="JK16","GANDERBAL",IF(LEFT(I290,4)="JK18","KULGAM",IF(LEFT(I290,4)="JK22","SHOPIAN",IF(LEFT(I290,4)="JK02","JAMMU",IF(LEFT(I290,4)="JK09","KUPWARA",IF(LEFT(I290,4)="JK15","BANDIPORA",IF(LEFT(I290,4)="JK17","KISHTWAR",IF(LEFT(I290,4)="LA01","KARGIL",IF(LEFT(I290,1)="T","TEMP","NEW")))))))))))))))))</f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>ROW()-1</f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>IF(LEFT(I291,4)="JK13","PULWAMA",IF(LEFT(I291,4)="JK01","SRINAGAR",IF(LEFT(I291,4)="JK04","BUDGAM",IF(LEFT(I291,4)="JK03","ANANTNAG",IF(LEFT(I291,4)="JK05","BARAMULLA",IF(LEFT(I291,4)="26BH","BHARAT",IF(LEFT(I291,4)="25BH","BHARAT",IF(LEFT(I291,4)="JK12","POONCH",IF(LEFT(I291,4)="JK16","GANDERBAL",IF(LEFT(I291,4)="JK18","KULGAM",IF(LEFT(I291,4)="JK22","SHOPIAN",IF(LEFT(I291,4)="JK02","JAMMU",IF(LEFT(I291,4)="JK09","KUPWARA",IF(LEFT(I291,4)="JK15","BANDIPORA",IF(LEFT(I291,4)="JK17","KISHTWAR",IF(LEFT(I291,4)="LA01","KARGIL",IF(LEFT(I291,1)="T","TEMP","NEW")))))))))))))))))</f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>ROW()-1</f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>IF(LEFT(I292,4)="JK13","PULWAMA",IF(LEFT(I292,4)="JK01","SRINAGAR",IF(LEFT(I292,4)="JK04","BUDGAM",IF(LEFT(I292,4)="JK03","ANANTNAG",IF(LEFT(I292,4)="JK05","BARAMULLA",IF(LEFT(I292,4)="26BH","BHARAT",IF(LEFT(I292,4)="25BH","BHARAT",IF(LEFT(I292,4)="JK12","POONCH",IF(LEFT(I292,4)="JK16","GANDERBAL",IF(LEFT(I292,4)="JK18","KULGAM",IF(LEFT(I292,4)="JK22","SHOPIAN",IF(LEFT(I292,4)="JK02","JAMMU",IF(LEFT(I292,4)="JK09","KUPWARA",IF(LEFT(I292,4)="JK15","BANDIPORA",IF(LEFT(I292,4)="JK17","KISHTWAR",IF(LEFT(I292,4)="LA01","KARGIL",IF(LEFT(I292,1)="T","TEMP","NEW")))))))))))))))))</f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>ROW()-1</f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>IF(LEFT(I293,4)="JK13","PULWAMA",IF(LEFT(I293,4)="JK01","SRINAGAR",IF(LEFT(I293,4)="JK04","BUDGAM",IF(LEFT(I293,4)="JK03","ANANTNAG",IF(LEFT(I293,4)="JK05","BARAMULLA",IF(LEFT(I293,4)="26BH","BHARAT",IF(LEFT(I293,4)="25BH","BHARAT",IF(LEFT(I293,4)="JK12","POONCH",IF(LEFT(I293,4)="JK16","GANDERBAL",IF(LEFT(I293,4)="JK18","KULGAM",IF(LEFT(I293,4)="JK22","SHOPIAN",IF(LEFT(I293,4)="JK02","JAMMU",IF(LEFT(I293,4)="JK09","KUPWARA",IF(LEFT(I293,4)="JK15","BANDIPORA",IF(LEFT(I293,4)="JK17","KISHTWAR",IF(LEFT(I293,4)="LA01","KARGIL",IF(LEFT(I293,1)="T","TEMP","NEW")))))))))))))))))</f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>ROW()-1</f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>IF(LEFT(I294,4)="JK13","PULWAMA",IF(LEFT(I294,4)="JK01","SRINAGAR",IF(LEFT(I294,4)="JK04","BUDGAM",IF(LEFT(I294,4)="JK03","ANANTNAG",IF(LEFT(I294,4)="JK05","BARAMULLA",IF(LEFT(I294,4)="26BH","BHARAT",IF(LEFT(I294,4)="25BH","BHARAT",IF(LEFT(I294,4)="JK12","POONCH",IF(LEFT(I294,4)="JK16","GANDERBAL",IF(LEFT(I294,4)="JK18","KULGAM",IF(LEFT(I294,4)="JK22","SHOPIAN",IF(LEFT(I294,4)="JK02","JAMMU",IF(LEFT(I294,4)="JK09","KUPWARA",IF(LEFT(I294,4)="JK15","BANDIPORA",IF(LEFT(I294,4)="JK17","KISHTWAR",IF(LEFT(I294,4)="LA01","KARGIL",IF(LEFT(I294,1)="T","TEMP","NEW")))))))))))))))))</f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>ROW()-1</f>
        <v>294</v>
      </c>
      <c r="B295" s="43" t="s">
        <v>8311</v>
      </c>
      <c r="C295" s="43" t="s">
        <v>8308</v>
      </c>
      <c r="D295" s="43" t="s">
        <v>8309</v>
      </c>
      <c r="E295" s="43" t="s">
        <v>8310</v>
      </c>
      <c r="F295" s="43" t="s">
        <v>67</v>
      </c>
      <c r="G295" s="43" t="s">
        <v>199</v>
      </c>
      <c r="H295" s="43" t="str">
        <f>IF(LEFT(I295,4)="JK13","PULWAMA",IF(LEFT(I295,4)="JK01","SRINAGAR",IF(LEFT(I295,4)="JK04","BUDGAM",IF(LEFT(I295,4)="JK03","ANANTNAG",IF(LEFT(I295,4)="JK05","BARAMULLA",IF(LEFT(I295,4)="26BH","BHARAT",IF(LEFT(I295,4)="25BH","BHARAT",IF(LEFT(I295,4)="JK12","POONCH",IF(LEFT(I295,4)="JK16","GANDERBAL",IF(LEFT(I295,4)="JK18","KULGAM",IF(LEFT(I295,4)="JK22","SHOPIAN",IF(LEFT(I295,4)="JK02","JAMMU",IF(LEFT(I295,4)="JK09","KUPWARA",IF(LEFT(I295,4)="JK15","BANDIPORA",IF(LEFT(I295,4)="JK17","KISHTWAR",IF(LEFT(I295,4)="LA01","KARGIL",IF(LEFT(I295,1)="T","TEMP","NEW")))))))))))))))))</f>
        <v>ANANTNAG</v>
      </c>
      <c r="I295" s="43" t="s">
        <v>8318</v>
      </c>
      <c r="J295" s="44">
        <v>46042</v>
      </c>
      <c r="K295" s="43">
        <v>8899068335</v>
      </c>
      <c r="L295" s="43" t="s">
        <v>6520</v>
      </c>
      <c r="M295" s="45" t="s">
        <v>8614</v>
      </c>
      <c r="N295" s="44">
        <v>46056</v>
      </c>
      <c r="O295" s="43"/>
      <c r="P295" s="46"/>
      <c r="Q295" s="43"/>
      <c r="R295" s="43"/>
    </row>
    <row r="296" spans="1:18" x14ac:dyDescent="0.25">
      <c r="A296" s="43">
        <f>ROW()-1</f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>IF(LEFT(I296,4)="JK13","PULWAMA",IF(LEFT(I296,4)="JK01","SRINAGAR",IF(LEFT(I296,4)="JK04","BUDGAM",IF(LEFT(I296,4)="JK03","ANANTNAG",IF(LEFT(I296,4)="JK05","BARAMULLA",IF(LEFT(I296,4)="26BH","BHARAT",IF(LEFT(I296,4)="25BH","BHARAT",IF(LEFT(I296,4)="JK12","POONCH",IF(LEFT(I296,4)="JK16","GANDERBAL",IF(LEFT(I296,4)="JK18","KULGAM",IF(LEFT(I296,4)="JK22","SHOPIAN",IF(LEFT(I296,4)="JK02","JAMMU",IF(LEFT(I296,4)="JK09","KUPWARA",IF(LEFT(I296,4)="JK15","BANDIPORA",IF(LEFT(I296,4)="JK17","KISHTWAR",IF(LEFT(I296,4)="LA01","KARGIL",IF(LEFT(I296,1)="T","TEMP","NEW")))))))))))))))))</f>
        <v>BARAMULLA</v>
      </c>
      <c r="I296" s="43" t="s">
        <v>7754</v>
      </c>
      <c r="J296" s="44">
        <v>46021</v>
      </c>
      <c r="K296" s="43">
        <v>9149570567</v>
      </c>
      <c r="L296" s="43" t="s">
        <v>8960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>ROW()-1</f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>IF(LEFT(I297,4)="JK13","PULWAMA",IF(LEFT(I297,4)="JK01","SRINAGAR",IF(LEFT(I297,4)="JK04","BUDGAM",IF(LEFT(I297,4)="JK03","ANANTNAG",IF(LEFT(I297,4)="JK05","BARAMULLA",IF(LEFT(I297,4)="26BH","BHARAT",IF(LEFT(I297,4)="25BH","BHARAT",IF(LEFT(I297,4)="JK12","POONCH",IF(LEFT(I297,4)="JK16","GANDERBAL",IF(LEFT(I297,4)="JK18","KULGAM",IF(LEFT(I297,4)="JK22","SHOPIAN",IF(LEFT(I297,4)="JK02","JAMMU",IF(LEFT(I297,4)="JK09","KUPWARA",IF(LEFT(I297,4)="JK15","BANDIPORA",IF(LEFT(I297,4)="JK17","KISHTWAR",IF(LEFT(I297,4)="LA01","KARGIL",IF(LEFT(I297,1)="T","TEMP","NEW")))))))))))))))))</f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>ROW()-1</f>
        <v>297</v>
      </c>
      <c r="B298" s="43" t="s">
        <v>8372</v>
      </c>
      <c r="C298" s="43" t="s">
        <v>8369</v>
      </c>
      <c r="D298" s="43" t="s">
        <v>8370</v>
      </c>
      <c r="E298" s="43" t="s">
        <v>8371</v>
      </c>
      <c r="F298" s="43" t="s">
        <v>125</v>
      </c>
      <c r="G298" s="43" t="s">
        <v>174</v>
      </c>
      <c r="H298" s="43" t="str">
        <f>IF(LEFT(I298,4)="JK13","PULWAMA",IF(LEFT(I298,4)="JK01","SRINAGAR",IF(LEFT(I298,4)="JK04","BUDGAM",IF(LEFT(I298,4)="JK03","ANANTNAG",IF(LEFT(I298,4)="JK05","BARAMULLA",IF(LEFT(I298,4)="26BH","BHARAT",IF(LEFT(I298,4)="25BH","BHARAT",IF(LEFT(I298,4)="JK12","POONCH",IF(LEFT(I298,4)="JK16","GANDERBAL",IF(LEFT(I298,4)="JK18","KULGAM",IF(LEFT(I298,4)="JK22","SHOPIAN",IF(LEFT(I298,4)="JK02","JAMMU",IF(LEFT(I298,4)="JK09","KUPWARA",IF(LEFT(I298,4)="JK15","BANDIPORA",IF(LEFT(I298,4)="JK17","KISHTWAR",IF(LEFT(I298,4)="LA01","KARGIL",IF(LEFT(I298,1)="T","TEMP","NEW")))))))))))))))))</f>
        <v>PULWAMA</v>
      </c>
      <c r="I298" s="43" t="s">
        <v>8373</v>
      </c>
      <c r="J298" s="44">
        <v>46044</v>
      </c>
      <c r="K298" s="43">
        <v>9622626268</v>
      </c>
      <c r="L298" s="43" t="s">
        <v>6520</v>
      </c>
      <c r="M298" s="45" t="s">
        <v>8614</v>
      </c>
      <c r="N298" s="44">
        <v>46056</v>
      </c>
      <c r="O298" s="43"/>
      <c r="P298" s="46"/>
      <c r="Q298" s="43"/>
      <c r="R298" s="43" t="s">
        <v>8350</v>
      </c>
    </row>
    <row r="299" spans="1:18" x14ac:dyDescent="0.25">
      <c r="A299" s="43">
        <f>ROW()-1</f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>IF(LEFT(I299,4)="JK13","PULWAMA",IF(LEFT(I299,4)="JK01","SRINAGAR",IF(LEFT(I299,4)="JK04","BUDGAM",IF(LEFT(I299,4)="JK03","ANANTNAG",IF(LEFT(I299,4)="JK05","BARAMULLA",IF(LEFT(I299,4)="26BH","BHARAT",IF(LEFT(I299,4)="25BH","BHARAT",IF(LEFT(I299,4)="JK12","POONCH",IF(LEFT(I299,4)="JK16","GANDERBAL",IF(LEFT(I299,4)="JK18","KULGAM",IF(LEFT(I299,4)="JK22","SHOPIAN",IF(LEFT(I299,4)="JK02","JAMMU",IF(LEFT(I299,4)="JK09","KUPWARA",IF(LEFT(I299,4)="JK15","BANDIPORA",IF(LEFT(I299,4)="JK17","KISHTWAR",IF(LEFT(I299,4)="LA01","KARGIL",IF(LEFT(I299,1)="T","TEMP","NEW")))))))))))))))))</f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>ROW()-1</f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>IF(LEFT(I300,4)="JK13","PULWAMA",IF(LEFT(I300,4)="JK01","SRINAGAR",IF(LEFT(I300,4)="JK04","BUDGAM",IF(LEFT(I300,4)="JK03","ANANTNAG",IF(LEFT(I300,4)="JK05","BARAMULLA",IF(LEFT(I300,4)="26BH","BHARAT",IF(LEFT(I300,4)="25BH","BHARAT",IF(LEFT(I300,4)="JK12","POONCH",IF(LEFT(I300,4)="JK16","GANDERBAL",IF(LEFT(I300,4)="JK18","KULGAM",IF(LEFT(I300,4)="JK22","SHOPIAN",IF(LEFT(I300,4)="JK02","JAMMU",IF(LEFT(I300,4)="JK09","KUPWARA",IF(LEFT(I300,4)="JK15","BANDIPORA",IF(LEFT(I300,4)="JK17","KISHTWAR",IF(LEFT(I300,4)="LA01","KARGIL",IF(LEFT(I300,1)="T","TEMP","NEW")))))))))))))))))</f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>ROW()-1</f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>IF(LEFT(I301,4)="JK13","PULWAMA",IF(LEFT(I301,4)="JK01","SRINAGAR",IF(LEFT(I301,4)="JK04","BUDGAM",IF(LEFT(I301,4)="JK03","ANANTNAG",IF(LEFT(I301,4)="JK05","BARAMULLA",IF(LEFT(I301,4)="26BH","BHARAT",IF(LEFT(I301,4)="25BH","BHARAT",IF(LEFT(I301,4)="JK12","POONCH",IF(LEFT(I301,4)="JK16","GANDERBAL",IF(LEFT(I301,4)="JK18","KULGAM",IF(LEFT(I301,4)="JK22","SHOPIAN",IF(LEFT(I301,4)="JK02","JAMMU",IF(LEFT(I301,4)="JK09","KUPWARA",IF(LEFT(I301,4)="JK15","BANDIPORA",IF(LEFT(I301,4)="JK17","KISHTWAR",IF(LEFT(I301,4)="LA01","KARGIL",IF(LEFT(I301,1)="T","TEMP","NEW")))))))))))))))))</f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>ROW()-1</f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>IF(LEFT(I302,4)="JK13","PULWAMA",IF(LEFT(I302,4)="JK01","SRINAGAR",IF(LEFT(I302,4)="JK04","BUDGAM",IF(LEFT(I302,4)="JK03","ANANTNAG",IF(LEFT(I302,4)="JK05","BARAMULLA",IF(LEFT(I302,4)="26BH","BHARAT",IF(LEFT(I302,4)="25BH","BHARAT",IF(LEFT(I302,4)="JK12","POONCH",IF(LEFT(I302,4)="JK16","GANDERBAL",IF(LEFT(I302,4)="JK18","KULGAM",IF(LEFT(I302,4)="JK22","SHOPIAN",IF(LEFT(I302,4)="JK02","JAMMU",IF(LEFT(I302,4)="JK09","KUPWARA",IF(LEFT(I302,4)="JK15","BANDIPORA",IF(LEFT(I302,4)="JK17","KISHTWAR",IF(LEFT(I302,4)="LA01","KARGIL",IF(LEFT(I302,1)="T","TEMP","NEW")))))))))))))))))</f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>ROW()-1</f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>IF(LEFT(I303,4)="JK13","PULWAMA",IF(LEFT(I303,4)="JK01","SRINAGAR",IF(LEFT(I303,4)="JK04","BUDGAM",IF(LEFT(I303,4)="JK03","ANANTNAG",IF(LEFT(I303,4)="JK05","BARAMULLA",IF(LEFT(I303,4)="26BH","BHARAT",IF(LEFT(I303,4)="25BH","BHARAT",IF(LEFT(I303,4)="JK12","POONCH",IF(LEFT(I303,4)="JK16","GANDERBAL",IF(LEFT(I303,4)="JK18","KULGAM",IF(LEFT(I303,4)="JK22","SHOPIAN",IF(LEFT(I303,4)="JK02","JAMMU",IF(LEFT(I303,4)="JK09","KUPWARA",IF(LEFT(I303,4)="JK15","BANDIPORA",IF(LEFT(I303,4)="JK17","KISHTWAR",IF(LEFT(I303,4)="LA01","KARGIL",IF(LEFT(I303,1)="T","TEMP","NEW")))))))))))))))))</f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>ROW()-1</f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>IF(LEFT(I304,4)="JK13","PULWAMA",IF(LEFT(I304,4)="JK01","SRINAGAR",IF(LEFT(I304,4)="JK04","BUDGAM",IF(LEFT(I304,4)="JK03","ANANTNAG",IF(LEFT(I304,4)="JK05","BARAMULLA",IF(LEFT(I304,4)="26BH","BHARAT",IF(LEFT(I304,4)="25BH","BHARAT",IF(LEFT(I304,4)="JK12","POONCH",IF(LEFT(I304,4)="JK16","GANDERBAL",IF(LEFT(I304,4)="JK18","KULGAM",IF(LEFT(I304,4)="JK22","SHOPIAN",IF(LEFT(I304,4)="JK02","JAMMU",IF(LEFT(I304,4)="JK09","KUPWARA",IF(LEFT(I304,4)="JK15","BANDIPORA",IF(LEFT(I304,4)="JK17","KISHTWAR",IF(LEFT(I304,4)="LA01","KARGIL",IF(LEFT(I304,1)="T","TEMP","NEW")))))))))))))))))</f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>ROW()-1</f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>IF(LEFT(I305,4)="JK13","PULWAMA",IF(LEFT(I305,4)="JK01","SRINAGAR",IF(LEFT(I305,4)="JK04","BUDGAM",IF(LEFT(I305,4)="JK03","ANANTNAG",IF(LEFT(I305,4)="JK05","BARAMULLA",IF(LEFT(I305,4)="26BH","BHARAT",IF(LEFT(I305,4)="25BH","BHARAT",IF(LEFT(I305,4)="JK12","POONCH",IF(LEFT(I305,4)="JK16","GANDERBAL",IF(LEFT(I305,4)="JK18","KULGAM",IF(LEFT(I305,4)="JK22","SHOPIAN",IF(LEFT(I305,4)="JK02","JAMMU",IF(LEFT(I305,4)="JK09","KUPWARA",IF(LEFT(I305,4)="JK15","BANDIPORA",IF(LEFT(I305,4)="JK17","KISHTWAR",IF(LEFT(I305,4)="LA01","KARGIL",IF(LEFT(I305,1)="T","TEMP","NEW")))))))))))))))))</f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>ROW()-1</f>
        <v>305</v>
      </c>
      <c r="B306" s="43" t="s">
        <v>8425</v>
      </c>
      <c r="C306" s="43" t="s">
        <v>8426</v>
      </c>
      <c r="D306" s="43" t="s">
        <v>8427</v>
      </c>
      <c r="E306" s="43" t="s">
        <v>5451</v>
      </c>
      <c r="F306" s="43" t="s">
        <v>31</v>
      </c>
      <c r="G306" s="43" t="s">
        <v>199</v>
      </c>
      <c r="H306" s="43" t="str">
        <f>IF(LEFT(I306,4)="JK13","PULWAMA",IF(LEFT(I306,4)="JK01","SRINAGAR",IF(LEFT(I306,4)="JK04","BUDGAM",IF(LEFT(I306,4)="JK03","ANANTNAG",IF(LEFT(I306,4)="JK05","BARAMULLA",IF(LEFT(I306,4)="26BH","BHARAT",IF(LEFT(I306,4)="25BH","BHARAT",IF(LEFT(I306,4)="JK12","POONCH",IF(LEFT(I306,4)="JK16","GANDERBAL",IF(LEFT(I306,4)="JK18","KULGAM",IF(LEFT(I306,4)="JK22","SHOPIAN",IF(LEFT(I306,4)="JK02","JAMMU",IF(LEFT(I306,4)="JK09","KUPWARA",IF(LEFT(I306,4)="JK15","BANDIPORA",IF(LEFT(I306,4)="JK17","KISHTWAR",IF(LEFT(I306,4)="LA01","KARGIL",IF(LEFT(I306,1)="T","TEMP","NEW")))))))))))))))))</f>
        <v>PULWAMA</v>
      </c>
      <c r="I306" s="43" t="s">
        <v>8431</v>
      </c>
      <c r="J306" s="44">
        <v>46051</v>
      </c>
      <c r="K306" s="43">
        <v>9622820824</v>
      </c>
      <c r="L306" s="43" t="s">
        <v>6520</v>
      </c>
      <c r="M306" s="45" t="s">
        <v>8614</v>
      </c>
      <c r="N306" s="44">
        <v>46056</v>
      </c>
      <c r="O306" s="43"/>
      <c r="P306" s="46"/>
      <c r="Q306" s="43"/>
      <c r="R306" s="43" t="s">
        <v>8454</v>
      </c>
    </row>
    <row r="307" spans="1:18" x14ac:dyDescent="0.25">
      <c r="A307" s="43">
        <f>ROW()-1</f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>IF(LEFT(I307,4)="JK13","PULWAMA",IF(LEFT(I307,4)="JK01","SRINAGAR",IF(LEFT(I307,4)="JK04","BUDGAM",IF(LEFT(I307,4)="JK03","ANANTNAG",IF(LEFT(I307,4)="JK05","BARAMULLA",IF(LEFT(I307,4)="26BH","BHARAT",IF(LEFT(I307,4)="25BH","BHARAT",IF(LEFT(I307,4)="JK12","POONCH",IF(LEFT(I307,4)="JK16","GANDERBAL",IF(LEFT(I307,4)="JK18","KULGAM",IF(LEFT(I307,4)="JK22","SHOPIAN",IF(LEFT(I307,4)="JK02","JAMMU",IF(LEFT(I307,4)="JK09","KUPWARA",IF(LEFT(I307,4)="JK15","BANDIPORA",IF(LEFT(I307,4)="JK17","KISHTWAR",IF(LEFT(I307,4)="LA01","KARGIL",IF(LEFT(I307,1)="T","TEMP","NEW")))))))))))))))))</f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>
        <v>46044</v>
      </c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>ROW()-1</f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>IF(LEFT(I308,4)="JK13","PULWAMA",IF(LEFT(I308,4)="JK01","SRINAGAR",IF(LEFT(I308,4)="JK04","BUDGAM",IF(LEFT(I308,4)="JK03","ANANTNAG",IF(LEFT(I308,4)="JK05","BARAMULLA",IF(LEFT(I308,4)="26BH","BHARAT",IF(LEFT(I308,4)="25BH","BHARAT",IF(LEFT(I308,4)="JK12","POONCH",IF(LEFT(I308,4)="JK16","GANDERBAL",IF(LEFT(I308,4)="JK18","KULGAM",IF(LEFT(I308,4)="JK22","SHOPIAN",IF(LEFT(I308,4)="JK02","JAMMU",IF(LEFT(I308,4)="JK09","KUPWARA",IF(LEFT(I308,4)="JK15","BANDIPORA",IF(LEFT(I308,4)="JK17","KISHTWAR",IF(LEFT(I308,4)="LA01","KARGIL",IF(LEFT(I308,1)="T","TEMP","NEW")))))))))))))))))</f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>ROW()-1</f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>IF(LEFT(I309,4)="JK13","PULWAMA",IF(LEFT(I309,4)="JK01","SRINAGAR",IF(LEFT(I309,4)="JK04","BUDGAM",IF(LEFT(I309,4)="JK03","ANANTNAG",IF(LEFT(I309,4)="JK05","BARAMULLA",IF(LEFT(I309,4)="26BH","BHARAT",IF(LEFT(I309,4)="25BH","BHARAT",IF(LEFT(I309,4)="JK12","POONCH",IF(LEFT(I309,4)="JK16","GANDERBAL",IF(LEFT(I309,4)="JK18","KULGAM",IF(LEFT(I309,4)="JK22","SHOPIAN",IF(LEFT(I309,4)="JK02","JAMMU",IF(LEFT(I309,4)="JK09","KUPWARA",IF(LEFT(I309,4)="JK15","BANDIPORA",IF(LEFT(I309,4)="JK17","KISHTWAR",IF(LEFT(I309,4)="LA01","KARGIL",IF(LEFT(I309,1)="T","TEMP","NEW")))))))))))))))))</f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>ROW()-1</f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>IF(LEFT(I310,4)="JK13","PULWAMA",IF(LEFT(I310,4)="JK01","SRINAGAR",IF(LEFT(I310,4)="JK04","BUDGAM",IF(LEFT(I310,4)="JK03","ANANTNAG",IF(LEFT(I310,4)="JK05","BARAMULLA",IF(LEFT(I310,4)="26BH","BHARAT",IF(LEFT(I310,4)="25BH","BHARAT",IF(LEFT(I310,4)="JK12","POONCH",IF(LEFT(I310,4)="JK16","GANDERBAL",IF(LEFT(I310,4)="JK18","KULGAM",IF(LEFT(I310,4)="JK22","SHOPIAN",IF(LEFT(I310,4)="JK02","JAMMU",IF(LEFT(I310,4)="JK09","KUPWARA",IF(LEFT(I310,4)="JK15","BANDIPORA",IF(LEFT(I310,4)="JK17","KISHTWAR",IF(LEFT(I310,4)="LA01","KARGIL",IF(LEFT(I310,1)="T","TEMP","NEW")))))))))))))))))</f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>ROW()-1</f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>IF(LEFT(I311,4)="JK13","PULWAMA",IF(LEFT(I311,4)="JK01","SRINAGAR",IF(LEFT(I311,4)="JK04","BUDGAM",IF(LEFT(I311,4)="JK03","ANANTNAG",IF(LEFT(I311,4)="JK05","BARAMULLA",IF(LEFT(I311,4)="26BH","BHARAT",IF(LEFT(I311,4)="25BH","BHARAT",IF(LEFT(I311,4)="JK12","POONCH",IF(LEFT(I311,4)="JK16","GANDERBAL",IF(LEFT(I311,4)="JK18","KULGAM",IF(LEFT(I311,4)="JK22","SHOPIAN",IF(LEFT(I311,4)="JK02","JAMMU",IF(LEFT(I311,4)="JK09","KUPWARA",IF(LEFT(I311,4)="JK15","BANDIPORA",IF(LEFT(I311,4)="JK17","KISHTWAR",IF(LEFT(I311,4)="LA01","KARGIL",IF(LEFT(I311,1)="T","TEMP","NEW")))))))))))))))))</f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>ROW()-1</f>
        <v>311</v>
      </c>
      <c r="B312" s="43" t="s">
        <v>8517</v>
      </c>
      <c r="C312" s="43" t="s">
        <v>8518</v>
      </c>
      <c r="D312" s="43" t="s">
        <v>8519</v>
      </c>
      <c r="E312" s="43" t="s">
        <v>8520</v>
      </c>
      <c r="F312" s="43" t="s">
        <v>12</v>
      </c>
      <c r="G312" s="43" t="s">
        <v>200</v>
      </c>
      <c r="H312" s="43" t="str">
        <f>IF(LEFT(I312,4)="JK13","PULWAMA",IF(LEFT(I312,4)="JK01","SRINAGAR",IF(LEFT(I312,4)="JK04","BUDGAM",IF(LEFT(I312,4)="JK03","ANANTNAG",IF(LEFT(I312,4)="JK05","BARAMULLA",IF(LEFT(I312,4)="26BH","BHARAT",IF(LEFT(I312,4)="25BH","BHARAT",IF(LEFT(I312,4)="JK12","POONCH",IF(LEFT(I312,4)="JK16","GANDERBAL",IF(LEFT(I312,4)="JK18","KULGAM",IF(LEFT(I312,4)="JK22","SHOPIAN",IF(LEFT(I312,4)="JK02","JAMMU",IF(LEFT(I312,4)="JK09","KUPWARA",IF(LEFT(I312,4)="JK15","BANDIPORA",IF(LEFT(I312,4)="JK17","KISHTWAR",IF(LEFT(I312,4)="LA01","KARGIL",IF(LEFT(I312,1)="T","TEMP","NEW")))))))))))))))))</f>
        <v>SHOPIAN</v>
      </c>
      <c r="I312" s="43" t="s">
        <v>8526</v>
      </c>
      <c r="J312" s="44">
        <v>46053</v>
      </c>
      <c r="K312" s="43">
        <v>7006268218</v>
      </c>
      <c r="L312" s="43" t="s">
        <v>6520</v>
      </c>
      <c r="M312" s="45" t="s">
        <v>8614</v>
      </c>
      <c r="N312" s="44">
        <v>46057</v>
      </c>
      <c r="O312" s="43"/>
      <c r="P312" s="46"/>
      <c r="Q312" s="43"/>
      <c r="R312" s="43" t="s">
        <v>8619</v>
      </c>
    </row>
    <row r="313" spans="1:18" x14ac:dyDescent="0.25">
      <c r="A313" s="43">
        <f>ROW()-1</f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>IF(LEFT(I313,4)="JK13","PULWAMA",IF(LEFT(I313,4)="JK01","SRINAGAR",IF(LEFT(I313,4)="JK04","BUDGAM",IF(LEFT(I313,4)="JK03","ANANTNAG",IF(LEFT(I313,4)="JK05","BARAMULLA",IF(LEFT(I313,4)="26BH","BHARAT",IF(LEFT(I313,4)="25BH","BHARAT",IF(LEFT(I313,4)="JK12","POONCH",IF(LEFT(I313,4)="JK16","GANDERBAL",IF(LEFT(I313,4)="JK18","KULGAM",IF(LEFT(I313,4)="JK22","SHOPIAN",IF(LEFT(I313,4)="JK02","JAMMU",IF(LEFT(I313,4)="JK09","KUPWARA",IF(LEFT(I313,4)="JK15","BANDIPORA",IF(LEFT(I313,4)="JK17","KISHTWAR",IF(LEFT(I313,4)="LA01","KARGIL",IF(LEFT(I313,1)="T","TEMP","NEW")))))))))))))))))</f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>ROW()-1</f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>IF(LEFT(I314,4)="JK13","PULWAMA",IF(LEFT(I314,4)="JK01","SRINAGAR",IF(LEFT(I314,4)="JK04","BUDGAM",IF(LEFT(I314,4)="JK03","ANANTNAG",IF(LEFT(I314,4)="JK05","BARAMULLA",IF(LEFT(I314,4)="26BH","BHARAT",IF(LEFT(I314,4)="25BH","BHARAT",IF(LEFT(I314,4)="JK12","POONCH",IF(LEFT(I314,4)="JK16","GANDERBAL",IF(LEFT(I314,4)="JK18","KULGAM",IF(LEFT(I314,4)="JK22","SHOPIAN",IF(LEFT(I314,4)="JK02","JAMMU",IF(LEFT(I314,4)="JK09","KUPWARA",IF(LEFT(I314,4)="JK15","BANDIPORA",IF(LEFT(I314,4)="JK17","KISHTWAR",IF(LEFT(I314,4)="LA01","KARGIL",IF(LEFT(I314,1)="T","TEMP","NEW")))))))))))))))))</f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>ROW()-1</f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>IF(LEFT(I315,4)="JK13","PULWAMA",IF(LEFT(I315,4)="JK01","SRINAGAR",IF(LEFT(I315,4)="JK04","BUDGAM",IF(LEFT(I315,4)="JK03","ANANTNAG",IF(LEFT(I315,4)="JK05","BARAMULLA",IF(LEFT(I315,4)="26BH","BHARAT",IF(LEFT(I315,4)="25BH","BHARAT",IF(LEFT(I315,4)="JK12","POONCH",IF(LEFT(I315,4)="JK16","GANDERBAL",IF(LEFT(I315,4)="JK18","KULGAM",IF(LEFT(I315,4)="JK22","SHOPIAN",IF(LEFT(I315,4)="JK02","JAMMU",IF(LEFT(I315,4)="JK09","KUPWARA",IF(LEFT(I315,4)="JK15","BANDIPORA",IF(LEFT(I315,4)="JK17","KISHTWAR",IF(LEFT(I315,4)="LA01","KARGIL",IF(LEFT(I315,1)="T","TEMP","NEW")))))))))))))))))</f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>ROW()-1</f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>IF(LEFT(I316,4)="JK13","PULWAMA",IF(LEFT(I316,4)="JK01","SRINAGAR",IF(LEFT(I316,4)="JK04","BUDGAM",IF(LEFT(I316,4)="JK03","ANANTNAG",IF(LEFT(I316,4)="JK05","BARAMULLA",IF(LEFT(I316,4)="26BH","BHARAT",IF(LEFT(I316,4)="25BH","BHARAT",IF(LEFT(I316,4)="JK12","POONCH",IF(LEFT(I316,4)="JK16","GANDERBAL",IF(LEFT(I316,4)="JK18","KULGAM",IF(LEFT(I316,4)="JK22","SHOPIAN",IF(LEFT(I316,4)="JK02","JAMMU",IF(LEFT(I316,4)="JK09","KUPWARA",IF(LEFT(I316,4)="JK15","BANDIPORA",IF(LEFT(I316,4)="JK17","KISHTWAR",IF(LEFT(I316,4)="LA01","KARGIL",IF(LEFT(I316,1)="T","TEMP","NEW")))))))))))))))))</f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>ROW()-1</f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>IF(LEFT(I317,4)="JK13","PULWAMA",IF(LEFT(I317,4)="JK01","SRINAGAR",IF(LEFT(I317,4)="JK04","BUDGAM",IF(LEFT(I317,4)="JK03","ANANTNAG",IF(LEFT(I317,4)="JK05","BARAMULLA",IF(LEFT(I317,4)="26BH","BHARAT",IF(LEFT(I317,4)="25BH","BHARAT",IF(LEFT(I317,4)="JK12","POONCH",IF(LEFT(I317,4)="JK16","GANDERBAL",IF(LEFT(I317,4)="JK18","KULGAM",IF(LEFT(I317,4)="JK22","SHOPIAN",IF(LEFT(I317,4)="JK02","JAMMU",IF(LEFT(I317,4)="JK09","KUPWARA",IF(LEFT(I317,4)="JK15","BANDIPORA",IF(LEFT(I317,4)="JK17","KISHTWAR",IF(LEFT(I317,4)="LA01","KARGIL",IF(LEFT(I317,1)="T","TEMP","NEW")))))))))))))))))</f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>ROW()-1</f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>IF(LEFT(I318,4)="JK13","PULWAMA",IF(LEFT(I318,4)="JK01","SRINAGAR",IF(LEFT(I318,4)="JK04","BUDGAM",IF(LEFT(I318,4)="JK03","ANANTNAG",IF(LEFT(I318,4)="JK05","BARAMULLA",IF(LEFT(I318,4)="26BH","BHARAT",IF(LEFT(I318,4)="25BH","BHARAT",IF(LEFT(I318,4)="JK12","POONCH",IF(LEFT(I318,4)="JK16","GANDERBAL",IF(LEFT(I318,4)="JK18","KULGAM",IF(LEFT(I318,4)="JK22","SHOPIAN",IF(LEFT(I318,4)="JK02","JAMMU",IF(LEFT(I318,4)="JK09","KUPWARA",IF(LEFT(I318,4)="JK15","BANDIPORA",IF(LEFT(I318,4)="JK17","KISHTWAR",IF(LEFT(I318,4)="LA01","KARGIL",IF(LEFT(I318,1)="T","TEMP","NEW")))))))))))))))))</f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>ROW()-1</f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>IF(LEFT(I319,4)="JK13","PULWAMA",IF(LEFT(I319,4)="JK01","SRINAGAR",IF(LEFT(I319,4)="JK04","BUDGAM",IF(LEFT(I319,4)="JK03","ANANTNAG",IF(LEFT(I319,4)="JK05","BARAMULLA",IF(LEFT(I319,4)="26BH","BHARAT",IF(LEFT(I319,4)="25BH","BHARAT",IF(LEFT(I319,4)="JK12","POONCH",IF(LEFT(I319,4)="JK16","GANDERBAL",IF(LEFT(I319,4)="JK18","KULGAM",IF(LEFT(I319,4)="JK22","SHOPIAN",IF(LEFT(I319,4)="JK02","JAMMU",IF(LEFT(I319,4)="JK09","KUPWARA",IF(LEFT(I319,4)="JK15","BANDIPORA",IF(LEFT(I319,4)="JK17","KISHTWAR",IF(LEFT(I319,4)="LA01","KARGIL",IF(LEFT(I319,1)="T","TEMP","NEW")))))))))))))))))</f>
        <v>BARAMULLA</v>
      </c>
      <c r="I319" s="51" t="s">
        <v>7865</v>
      </c>
      <c r="J319" s="44">
        <v>46023</v>
      </c>
      <c r="K319" s="43">
        <v>9906759399</v>
      </c>
      <c r="L319" s="43" t="s">
        <v>8960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>ROW()-1</f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>IF(LEFT(I320,4)="JK13","PULWAMA",IF(LEFT(I320,4)="JK01","SRINAGAR",IF(LEFT(I320,4)="JK04","BUDGAM",IF(LEFT(I320,4)="JK03","ANANTNAG",IF(LEFT(I320,4)="JK05","BARAMULLA",IF(LEFT(I320,4)="26BH","BHARAT",IF(LEFT(I320,4)="25BH","BHARAT",IF(LEFT(I320,4)="JK12","POONCH",IF(LEFT(I320,4)="JK16","GANDERBAL",IF(LEFT(I320,4)="JK18","KULGAM",IF(LEFT(I320,4)="JK22","SHOPIAN",IF(LEFT(I320,4)="JK02","JAMMU",IF(LEFT(I320,4)="JK09","KUPWARA",IF(LEFT(I320,4)="JK15","BANDIPORA",IF(LEFT(I320,4)="JK17","KISHTWAR",IF(LEFT(I320,4)="LA01","KARGIL",IF(LEFT(I320,1)="T","TEMP","NEW")))))))))))))))))</f>
        <v>BARAMULLA</v>
      </c>
      <c r="I320" s="51" t="s">
        <v>7864</v>
      </c>
      <c r="J320" s="44">
        <v>46023</v>
      </c>
      <c r="K320" s="43">
        <v>7006960324</v>
      </c>
      <c r="L320" s="43" t="s">
        <v>8960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>ROW()-1</f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>IF(LEFT(I321,4)="JK13","PULWAMA",IF(LEFT(I321,4)="JK01","SRINAGAR",IF(LEFT(I321,4)="JK04","BUDGAM",IF(LEFT(I321,4)="JK03","ANANTNAG",IF(LEFT(I321,4)="JK05","BARAMULLA",IF(LEFT(I321,4)="26BH","BHARAT",IF(LEFT(I321,4)="25BH","BHARAT",IF(LEFT(I321,4)="JK12","POONCH",IF(LEFT(I321,4)="JK16","GANDERBAL",IF(LEFT(I321,4)="JK18","KULGAM",IF(LEFT(I321,4)="JK22","SHOPIAN",IF(LEFT(I321,4)="JK02","JAMMU",IF(LEFT(I321,4)="JK09","KUPWARA",IF(LEFT(I321,4)="JK15","BANDIPORA",IF(LEFT(I321,4)="JK17","KISHTWAR",IF(LEFT(I321,4)="LA01","KARGIL",IF(LEFT(I321,1)="T","TEMP","NEW")))))))))))))))))</f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>ROW()-1</f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>ROW()-1</f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16","GANDERBAL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</f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>ROW()-1</f>
        <v>323</v>
      </c>
      <c r="B324" s="43" t="s">
        <v>8602</v>
      </c>
      <c r="C324" s="43" t="s">
        <v>8598</v>
      </c>
      <c r="D324" s="43" t="s">
        <v>8599</v>
      </c>
      <c r="E324" s="43" t="s">
        <v>8600</v>
      </c>
      <c r="F324" s="43" t="s">
        <v>12</v>
      </c>
      <c r="G324" s="43" t="s">
        <v>181</v>
      </c>
      <c r="H324" s="43" t="str">
        <f>IF(LEFT(I324,4)="JK13","PULWAMA",IF(LEFT(I324,4)="JK01","SRINAGAR",IF(LEFT(I324,4)="JK04","BUDGAM",IF(LEFT(I324,4)="JK03","ANANTNAG",IF(LEFT(I324,4)="JK05","BARAMULLA",IF(LEFT(I324,4)="26BH","BHARAT",IF(LEFT(I324,4)="25BH","BHARAT",IF(LEFT(I324,4)="JK12","POONCH",IF(LEFT(I324,4)="JK16","GANDERBAL",IF(LEFT(I324,4)="JK18","KULGAM",IF(LEFT(I324,4)="JK22","SHOPIAN",IF(LEFT(I324,4)="JK02","JAMMU",IF(LEFT(I324,4)="JK09","KUPWARA",IF(LEFT(I324,4)="JK15","BANDIPORA",IF(LEFT(I324,4)="JK17","KISHTWAR",IF(LEFT(I324,4)="LA01","KARGIL",IF(LEFT(I324,1)="T","TEMP","NEW")))))))))))))))))</f>
        <v>BUDGAM</v>
      </c>
      <c r="I324" s="43" t="s">
        <v>8604</v>
      </c>
      <c r="J324" s="44">
        <v>46056</v>
      </c>
      <c r="K324" s="43">
        <v>7051726656</v>
      </c>
      <c r="L324" s="43" t="s">
        <v>8601</v>
      </c>
      <c r="M324" s="45" t="s">
        <v>8614</v>
      </c>
      <c r="N324" s="44">
        <v>46057</v>
      </c>
      <c r="O324" s="43" t="s">
        <v>23</v>
      </c>
      <c r="P324" s="46">
        <v>46057</v>
      </c>
      <c r="Q324" s="43" t="s">
        <v>6459</v>
      </c>
      <c r="R324" s="43" t="s">
        <v>8620</v>
      </c>
    </row>
    <row r="325" spans="1:18" x14ac:dyDescent="0.25">
      <c r="A325" s="43">
        <f>ROW()-1</f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>IF(LEFT(I325,4)="JK13","PULWAMA",IF(LEFT(I325,4)="JK01","SRINAGAR",IF(LEFT(I325,4)="JK04","BUDGAM",IF(LEFT(I325,4)="JK03","ANANTNAG",IF(LEFT(I325,4)="JK05","BARAMULLA",IF(LEFT(I325,4)="26BH","BHARAT",IF(LEFT(I325,4)="25BH","BHARAT",IF(LEFT(I325,4)="JK12","POONCH",IF(LEFT(I325,4)="JK16","GANDERBAL",IF(LEFT(I325,4)="JK18","KULGAM",IF(LEFT(I325,4)="JK22","SHOPIAN",IF(LEFT(I325,4)="JK02","JAMMU",IF(LEFT(I325,4)="JK09","KUPWARA",IF(LEFT(I325,4)="JK15","BANDIPORA",IF(LEFT(I325,4)="JK17","KISHTWAR",IF(LEFT(I325,4)="LA01","KARGIL",IF(LEFT(I325,1)="T","TEMP","NEW")))))))))))))))))</f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>ROW()-1</f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>IF(LEFT(I326,4)="JK13","PULWAMA",IF(LEFT(I326,4)="JK01","SRINAGAR",IF(LEFT(I326,4)="JK04","BUDGAM",IF(LEFT(I326,4)="JK03","ANANTNAG",IF(LEFT(I326,4)="JK05","BARAMULLA",IF(LEFT(I326,4)="26BH","BHARAT",IF(LEFT(I326,4)="25BH","BHARAT",IF(LEFT(I326,4)="JK12","POONCH",IF(LEFT(I326,4)="JK16","GANDERBAL",IF(LEFT(I326,4)="JK18","KULGAM",IF(LEFT(I326,4)="JK22","SHOPIAN",IF(LEFT(I326,4)="JK02","JAMMU",IF(LEFT(I326,4)="JK09","KUPWARA",IF(LEFT(I326,4)="JK15","BANDIPORA",IF(LEFT(I326,4)="JK17","KISHTWAR",IF(LEFT(I326,4)="LA01","KARGIL",IF(LEFT(I326,1)="T","TEMP","NEW")))))))))))))))))</f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>ROW()-1</f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>IF(LEFT(I327,4)="JK13","PULWAMA",IF(LEFT(I327,4)="JK01","SRINAGAR",IF(LEFT(I327,4)="JK04","BUDGAM",IF(LEFT(I327,4)="JK03","ANANTNAG",IF(LEFT(I327,4)="JK05","BARAMULLA",IF(LEFT(I327,4)="26BH","BHARAT",IF(LEFT(I327,4)="25BH","BHARAT",IF(LEFT(I327,4)="JK12","POONCH",IF(LEFT(I327,4)="JK16","GANDERBAL",IF(LEFT(I327,4)="JK18","KULGAM",IF(LEFT(I327,4)="JK22","SHOPIAN",IF(LEFT(I327,4)="JK02","JAMMU",IF(LEFT(I327,4)="JK09","KUPWARA",IF(LEFT(I327,4)="JK15","BANDIPORA",IF(LEFT(I327,4)="JK17","KISHTWAR",IF(LEFT(I327,4)="LA01","KARGIL",IF(LEFT(I327,1)="T","TEMP","NEW")))))))))))))))))</f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>ROW()-1</f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16","GANDERBAL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)</f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>ROW()-1</f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>IF(LEFT(I329,4)="JK13","PULWAMA",IF(LEFT(I329,4)="JK01","SRINAGAR",IF(LEFT(I329,4)="JK04","BUDGAM",IF(LEFT(I329,4)="JK03","ANANTNAG",IF(LEFT(I329,4)="JK05","BARAMULLA",IF(LEFT(I329,4)="26BH","BHARAT",IF(LEFT(I329,4)="25BH","BHARAT",IF(LEFT(I329,4)="JK12","POONCH",IF(LEFT(I329,4)="JK16","GANDERBAL",IF(LEFT(I329,4)="JK18","KULGAM",IF(LEFT(I329,4)="JK22","SHOPIAN",IF(LEFT(I329,4)="JK02","JAMMU",IF(LEFT(I329,4)="JK09","KUPWARA",IF(LEFT(I329,4)="JK15","BANDIPORA",IF(LEFT(I329,4)="JK17","KISHTWAR",IF(LEFT(I329,4)="LA01","KARGIL",IF(LEFT(I329,1)="T","TEMP","NEW")))))))))))))))))</f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>ROW()-1</f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>IF(LEFT(I330,4)="JK13","PULWAMA",IF(LEFT(I330,4)="JK01","SRINAGAR",IF(LEFT(I330,4)="JK04","BUDGAM",IF(LEFT(I330,4)="JK03","ANANTNAG",IF(LEFT(I330,4)="JK05","BARAMULLA",IF(LEFT(I330,4)="26BH","BHARAT",IF(LEFT(I330,4)="25BH","BHARAT",IF(LEFT(I330,4)="JK12","POONCH",IF(LEFT(I330,4)="JK16","GANDERBAL",IF(LEFT(I330,4)="JK18","KULGAM",IF(LEFT(I330,4)="JK22","SHOPIAN",IF(LEFT(I330,4)="JK02","JAMMU",IF(LEFT(I330,4)="JK09","KUPWARA",IF(LEFT(I330,4)="JK15","BANDIPORA",IF(LEFT(I330,4)="JK17","KISHTWAR",IF(LEFT(I330,4)="LA01","KARGIL",IF(LEFT(I330,1)="T","TEMP","NEW")))))))))))))))))</f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>ROW()-1</f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>IF(LEFT(I331,4)="JK13","PULWAMA",IF(LEFT(I331,4)="JK01","SRINAGAR",IF(LEFT(I331,4)="JK04","BUDGAM",IF(LEFT(I331,4)="JK03","ANANTNAG",IF(LEFT(I331,4)="JK05","BARAMULLA",IF(LEFT(I331,4)="26BH","BHARAT",IF(LEFT(I331,4)="25BH","BHARAT",IF(LEFT(I331,4)="JK12","POONCH",IF(LEFT(I331,4)="JK16","GANDERBAL",IF(LEFT(I331,4)="JK18","KULGAM",IF(LEFT(I331,4)="JK22","SHOPIAN",IF(LEFT(I331,4)="JK02","JAMMU",IF(LEFT(I331,4)="JK09","KUPWARA",IF(LEFT(I331,4)="JK15","BANDIPORA",IF(LEFT(I331,4)="JK17","KISHTWAR",IF(LEFT(I331,4)="LA01","KARGIL",IF(LEFT(I331,1)="T","TEMP","NEW")))))))))))))))))</f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>ROW()-1</f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>IF(LEFT(I332,4)="JK13","PULWAMA",IF(LEFT(I332,4)="JK01","SRINAGAR",IF(LEFT(I332,4)="JK04","BUDGAM",IF(LEFT(I332,4)="JK03","ANANTNAG",IF(LEFT(I332,4)="JK05","BARAMULLA",IF(LEFT(I332,4)="26BH","BHARAT",IF(LEFT(I332,4)="25BH","BHARAT",IF(LEFT(I332,4)="JK12","POONCH",IF(LEFT(I332,4)="JK16","GANDERBAL",IF(LEFT(I332,4)="JK18","KULGAM",IF(LEFT(I332,4)="JK22","SHOPIAN",IF(LEFT(I332,4)="JK02","JAMMU",IF(LEFT(I332,4)="JK09","KUPWARA",IF(LEFT(I332,4)="JK15","BANDIPORA",IF(LEFT(I332,4)="JK17","KISHTWAR",IF(LEFT(I332,4)="LA01","KARGIL",IF(LEFT(I332,1)="T","TEMP","NEW")))))))))))))))))</f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>ROW()-1</f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>IF(LEFT(I333,4)="JK13","PULWAMA",IF(LEFT(I333,4)="JK01","SRINAGAR",IF(LEFT(I333,4)="JK04","BUDGAM",IF(LEFT(I333,4)="JK03","ANANTNAG",IF(LEFT(I333,4)="JK05","BARAMULLA",IF(LEFT(I333,4)="26BH","BHARAT",IF(LEFT(I333,4)="25BH","BHARAT",IF(LEFT(I333,4)="JK12","POONCH",IF(LEFT(I333,4)="JK16","GANDERBAL",IF(LEFT(I333,4)="JK18","KULGAM",IF(LEFT(I333,4)="JK22","SHOPIAN",IF(LEFT(I333,4)="JK02","JAMMU",IF(LEFT(I333,4)="JK09","KUPWARA",IF(LEFT(I333,4)="JK15","BANDIPORA",IF(LEFT(I333,4)="JK17","KISHTWAR",IF(LEFT(I333,4)="LA01","KARGIL",IF(LEFT(I333,1)="T","TEMP","NEW")))))))))))))))))</f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>ROW()-1</f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>IF(LEFT(I334,4)="JK13","PULWAMA",IF(LEFT(I334,4)="JK01","SRINAGAR",IF(LEFT(I334,4)="JK04","BUDGAM",IF(LEFT(I334,4)="JK03","ANANTNAG",IF(LEFT(I334,4)="JK05","BARAMULLA",IF(LEFT(I334,4)="26BH","BHARAT",IF(LEFT(I334,4)="25BH","BHARAT",IF(LEFT(I334,4)="JK12","POONCH",IF(LEFT(I334,4)="JK16","GANDERBAL",IF(LEFT(I334,4)="JK18","KULGAM",IF(LEFT(I334,4)="JK22","SHOPIAN",IF(LEFT(I334,4)="JK02","JAMMU",IF(LEFT(I334,4)="JK09","KUPWARA",IF(LEFT(I334,4)="JK15","BANDIPORA",IF(LEFT(I334,4)="JK17","KISHTWAR",IF(LEFT(I334,4)="LA01","KARGIL",IF(LEFT(I334,1)="T","TEMP","NEW")))))))))))))))))</f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>ROW()-1</f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>IF(LEFT(I335,4)="JK13","PULWAMA",IF(LEFT(I335,4)="JK01","SRINAGAR",IF(LEFT(I335,4)="JK04","BUDGAM",IF(LEFT(I335,4)="JK03","ANANTNAG",IF(LEFT(I335,4)="JK05","BARAMULLA",IF(LEFT(I335,4)="26BH","BHARAT",IF(LEFT(I335,4)="25BH","BHARAT",IF(LEFT(I335,4)="JK12","POONCH",IF(LEFT(I335,4)="JK16","GANDERBAL",IF(LEFT(I335,4)="JK18","KULGAM",IF(LEFT(I335,4)="JK22","SHOPIAN",IF(LEFT(I335,4)="JK02","JAMMU",IF(LEFT(I335,4)="JK09","KUPWARA",IF(LEFT(I335,4)="JK15","BANDIPORA",IF(LEFT(I335,4)="JK17","KISHTWAR",IF(LEFT(I335,4)="LA01","KARGIL",IF(LEFT(I335,1)="T","TEMP","NEW")))))))))))))))))</f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>ROW()-1</f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>IF(LEFT(I336,4)="JK13","PULWAMA",IF(LEFT(I336,4)="JK01","SRINAGAR",IF(LEFT(I336,4)="JK04","BUDGAM",IF(LEFT(I336,4)="JK03","ANANTNAG",IF(LEFT(I336,4)="JK05","BARAMULLA",IF(LEFT(I336,4)="26BH","BHARAT",IF(LEFT(I336,4)="25BH","BHARAT",IF(LEFT(I336,4)="JK12","POONCH",IF(LEFT(I336,4)="JK16","GANDERBAL",IF(LEFT(I336,4)="JK18","KULGAM",IF(LEFT(I336,4)="JK22","SHOPIAN",IF(LEFT(I336,4)="JK02","JAMMU",IF(LEFT(I336,4)="JK09","KUPWARA",IF(LEFT(I336,4)="JK15","BANDIPORA",IF(LEFT(I336,4)="JK17","KISHTWAR",IF(LEFT(I336,4)="LA01","KARGIL",IF(LEFT(I336,1)="T","TEMP","NEW")))))))))))))))))</f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>ROW()-1</f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>IF(LEFT(I337,4)="JK13","PULWAMA",IF(LEFT(I337,4)="JK01","SRINAGAR",IF(LEFT(I337,4)="JK04","BUDGAM",IF(LEFT(I337,4)="JK03","ANANTNAG",IF(LEFT(I337,4)="JK05","BARAMULLA",IF(LEFT(I337,4)="26BH","BHARAT",IF(LEFT(I337,4)="25BH","BHARAT",IF(LEFT(I337,4)="JK12","POONCH",IF(LEFT(I337,4)="JK16","GANDERBAL",IF(LEFT(I337,4)="JK18","KULGAM",IF(LEFT(I337,4)="JK22","SHOPIAN",IF(LEFT(I337,4)="JK02","JAMMU",IF(LEFT(I337,4)="JK09","KUPWARA",IF(LEFT(I337,4)="JK15","BANDIPORA",IF(LEFT(I337,4)="JK17","KISHTWAR",IF(LEFT(I337,4)="LA01","KARGIL",IF(LEFT(I337,1)="T","TEMP","NEW")))))))))))))))))</f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>ROW()-1</f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>IF(LEFT(I338,4)="JK13","PULWAMA",IF(LEFT(I338,4)="JK01","SRINAGAR",IF(LEFT(I338,4)="JK04","BUDGAM",IF(LEFT(I338,4)="JK03","ANANTNAG",IF(LEFT(I338,4)="JK05","BARAMULLA",IF(LEFT(I338,4)="26BH","BHARAT",IF(LEFT(I338,4)="25BH","BHARAT",IF(LEFT(I338,4)="JK12","POONCH",IF(LEFT(I338,4)="JK16","GANDERBAL",IF(LEFT(I338,4)="JK18","KULGAM",IF(LEFT(I338,4)="JK22","SHOPIAN",IF(LEFT(I338,4)="JK02","JAMMU",IF(LEFT(I338,4)="JK09","KUPWARA",IF(LEFT(I338,4)="JK15","BANDIPORA",IF(LEFT(I338,4)="JK17","KISHTWAR",IF(LEFT(I338,4)="LA01","KARGIL",IF(LEFT(I338,1)="T","TEMP","NEW")))))))))))))))))</f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>ROW()-1</f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>IF(LEFT(I339,4)="JK13","PULWAMA",IF(LEFT(I339,4)="JK01","SRINAGAR",IF(LEFT(I339,4)="JK04","BUDGAM",IF(LEFT(I339,4)="JK03","ANANTNAG",IF(LEFT(I339,4)="JK05","BARAMULLA",IF(LEFT(I339,4)="26BH","BHARAT",IF(LEFT(I339,4)="25BH","BHARAT",IF(LEFT(I339,4)="JK12","POONCH",IF(LEFT(I339,4)="JK16","GANDERBAL",IF(LEFT(I339,4)="JK18","KULGAM",IF(LEFT(I339,4)="JK22","SHOPIAN",IF(LEFT(I339,4)="JK02","JAMMU",IF(LEFT(I339,4)="JK09","KUPWARA",IF(LEFT(I339,4)="JK15","BANDIPORA",IF(LEFT(I339,4)="JK17","KISHTWAR",IF(LEFT(I339,4)="LA01","KARGIL",IF(LEFT(I339,1)="T","TEMP","NEW")))))))))))))))))</f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>ROW()-1</f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>IF(LEFT(I340,4)="JK13","PULWAMA",IF(LEFT(I340,4)="JK01","SRINAGAR",IF(LEFT(I340,4)="JK04","BUDGAM",IF(LEFT(I340,4)="JK03","ANANTNAG",IF(LEFT(I340,4)="JK05","BARAMULLA",IF(LEFT(I340,4)="26BH","BHARAT",IF(LEFT(I340,4)="25BH","BHARAT",IF(LEFT(I340,4)="JK12","POONCH",IF(LEFT(I340,4)="JK16","GANDERBAL",IF(LEFT(I340,4)="JK18","KULGAM",IF(LEFT(I340,4)="JK22","SHOPIAN",IF(LEFT(I340,4)="JK02","JAMMU",IF(LEFT(I340,4)="JK09","KUPWARA",IF(LEFT(I340,4)="JK15","BANDIPORA",IF(LEFT(I340,4)="JK17","KISHTWAR",IF(LEFT(I340,4)="LA01","KARGIL",IF(LEFT(I340,1)="T","TEMP","NEW")))))))))))))))))</f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>ROW()-1</f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>IF(LEFT(I341,4)="JK13","PULWAMA",IF(LEFT(I341,4)="JK01","SRINAGAR",IF(LEFT(I341,4)="JK04","BUDGAM",IF(LEFT(I341,4)="JK03","ANANTNAG",IF(LEFT(I341,4)="JK05","BARAMULLA",IF(LEFT(I341,4)="26BH","BHARAT",IF(LEFT(I341,4)="25BH","BHARAT",IF(LEFT(I341,4)="JK12","POONCH",IF(LEFT(I341,4)="JK16","GANDERBAL",IF(LEFT(I341,4)="JK18","KULGAM",IF(LEFT(I341,4)="JK22","SHOPIAN",IF(LEFT(I341,4)="JK02","JAMMU",IF(LEFT(I341,4)="JK09","KUPWARA",IF(LEFT(I341,4)="JK15","BANDIPORA",IF(LEFT(I341,4)="JK17","KISHTWAR",IF(LEFT(I341,4)="LA01","KARGIL",IF(LEFT(I341,1)="T","TEMP","NEW")))))))))))))))))</f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>ROW()-1</f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>IF(LEFT(I342,4)="JK13","PULWAMA",IF(LEFT(I342,4)="JK01","SRINAGAR",IF(LEFT(I342,4)="JK04","BUDGAM",IF(LEFT(I342,4)="JK03","ANANTNAG",IF(LEFT(I342,4)="JK05","BARAMULLA",IF(LEFT(I342,4)="26BH","BHARAT",IF(LEFT(I342,4)="25BH","BHARAT",IF(LEFT(I342,4)="JK12","POONCH",IF(LEFT(I342,4)="JK16","GANDERBAL",IF(LEFT(I342,4)="JK18","KULGAM",IF(LEFT(I342,4)="JK22","SHOPIAN",IF(LEFT(I342,4)="JK02","JAMMU",IF(LEFT(I342,4)="JK09","KUPWARA",IF(LEFT(I342,4)="JK15","BANDIPORA",IF(LEFT(I342,4)="JK17","KISHTWAR",IF(LEFT(I342,4)="LA01","KARGIL",IF(LEFT(I342,1)="T","TEMP","NEW")))))))))))))))))</f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>ROW()-1</f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>IF(LEFT(I343,4)="JK13","PULWAMA",IF(LEFT(I343,4)="JK01","SRINAGAR",IF(LEFT(I343,4)="JK04","BUDGAM",IF(LEFT(I343,4)="JK03","ANANTNAG",IF(LEFT(I343,4)="JK05","BARAMULLA",IF(LEFT(I343,4)="26BH","BHARAT",IF(LEFT(I343,4)="25BH","BHARAT",IF(LEFT(I343,4)="JK12","POONCH",IF(LEFT(I343,4)="JK16","GANDERBAL",IF(LEFT(I343,4)="JK18","KULGAM",IF(LEFT(I343,4)="JK22","SHOPIAN",IF(LEFT(I343,4)="JK02","JAMMU",IF(LEFT(I343,4)="JK09","KUPWARA",IF(LEFT(I343,4)="JK15","BANDIPORA",IF(LEFT(I343,4)="JK17","KISHTWAR",IF(LEFT(I343,4)="LA01","KARGIL",IF(LEFT(I343,1)="T","TEMP","NEW")))))))))))))))))</f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>ROW()-1</f>
        <v>343</v>
      </c>
      <c r="B344" s="43" t="s">
        <v>6585</v>
      </c>
      <c r="C344" s="43" t="s">
        <v>6583</v>
      </c>
      <c r="D344" s="43" t="s">
        <v>6722</v>
      </c>
      <c r="E344" s="43" t="s">
        <v>2638</v>
      </c>
      <c r="F344" s="43" t="s">
        <v>100</v>
      </c>
      <c r="G344" s="43" t="s">
        <v>226</v>
      </c>
      <c r="H344" s="43" t="str">
        <f>IF(LEFT(I344,4)="JK13","PULWAMA",IF(LEFT(I344,4)="JK01","SRINAGAR",IF(LEFT(I344,4)="JK04","BUDGAM",IF(LEFT(I344,4)="JK03","ANANTNAG",IF(LEFT(I344,4)="JK05","BARAMULLA",IF(LEFT(I344,4)="26BH","BHARAT",IF(LEFT(I344,4)="25BH","BHARAT",IF(LEFT(I344,4)="JK12","POONCH",IF(LEFT(I344,4)="JK16","GANDERBAL",IF(LEFT(I344,4)="JK18","KULGAM",IF(LEFT(I344,4)="JK22","SHOPIAN",IF(LEFT(I344,4)="JK02","JAMMU",IF(LEFT(I344,4)="JK09","KUPWARA",IF(LEFT(I344,4)="JK15","BANDIPORA",IF(LEFT(I344,4)="JK17","KISHTWAR",IF(LEFT(I344,4)="LA01","KARGIL",IF(LEFT(I344,1)="T","TEMP","NEW")))))))))))))))))</f>
        <v>SRINAGAR</v>
      </c>
      <c r="I344" s="43" t="s">
        <v>6727</v>
      </c>
      <c r="J344" s="44">
        <v>45982</v>
      </c>
      <c r="K344" s="43">
        <v>7006756136</v>
      </c>
      <c r="L344" s="43" t="s">
        <v>6584</v>
      </c>
      <c r="M344" s="45" t="s">
        <v>7713</v>
      </c>
      <c r="N344" s="44">
        <v>46020</v>
      </c>
      <c r="O344" s="43"/>
      <c r="P344" s="46"/>
      <c r="Q344" s="43"/>
      <c r="R344" s="43"/>
    </row>
    <row r="345" spans="1:18" x14ac:dyDescent="0.25">
      <c r="A345" s="43">
        <f>ROW()-1</f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>IF(LEFT(I345,4)="JK13","PULWAMA",IF(LEFT(I345,4)="JK01","SRINAGAR",IF(LEFT(I345,4)="JK04","BUDGAM",IF(LEFT(I345,4)="JK03","ANANTNAG",IF(LEFT(I345,4)="JK05","BARAMULLA",IF(LEFT(I345,4)="26BH","BHARAT",IF(LEFT(I345,4)="25BH","BHARAT",IF(LEFT(I345,4)="JK12","POONCH",IF(LEFT(I345,4)="JK16","GANDERBAL",IF(LEFT(I345,4)="JK18","KULGAM",IF(LEFT(I345,4)="JK22","SHOPIAN",IF(LEFT(I345,4)="JK02","JAMMU",IF(LEFT(I345,4)="JK09","KUPWARA",IF(LEFT(I345,4)="JK15","BANDIPORA",IF(LEFT(I345,4)="JK17","KISHTWAR",IF(LEFT(I345,4)="LA01","KARGIL",IF(LEFT(I345,1)="T","TEMP","NEW")))))))))))))))))</f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>ROW()-1</f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>IF(LEFT(I346,4)="JK13","PULWAMA",IF(LEFT(I346,4)="JK01","SRINAGAR",IF(LEFT(I346,4)="JK04","BUDGAM",IF(LEFT(I346,4)="JK03","ANANTNAG",IF(LEFT(I346,4)="JK05","BARAMULLA",IF(LEFT(I346,4)="26BH","BHARAT",IF(LEFT(I346,4)="25BH","BHARAT",IF(LEFT(I346,4)="JK12","POONCH",IF(LEFT(I346,4)="JK16","GANDERBAL",IF(LEFT(I346,4)="JK18","KULGAM",IF(LEFT(I346,4)="JK22","SHOPIAN",IF(LEFT(I346,4)="JK02","JAMMU",IF(LEFT(I346,4)="JK09","KUPWARA",IF(LEFT(I346,4)="JK15","BANDIPORA",IF(LEFT(I346,4)="JK17","KISHTWAR",IF(LEFT(I346,4)="LA01","KARGIL",IF(LEFT(I346,1)="T","TEMP","NEW")))))))))))))))))</f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>ROW()-1</f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>IF(LEFT(I347,4)="JK13","PULWAMA",IF(LEFT(I347,4)="JK01","SRINAGAR",IF(LEFT(I347,4)="JK04","BUDGAM",IF(LEFT(I347,4)="JK03","ANANTNAG",IF(LEFT(I347,4)="JK05","BARAMULLA",IF(LEFT(I347,4)="26BH","BHARAT",IF(LEFT(I347,4)="25BH","BHARAT",IF(LEFT(I347,4)="JK12","POONCH",IF(LEFT(I347,4)="JK16","GANDERBAL",IF(LEFT(I347,4)="JK18","KULGAM",IF(LEFT(I347,4)="JK22","SHOPIAN",IF(LEFT(I347,4)="JK02","JAMMU",IF(LEFT(I347,4)="JK09","KUPWARA",IF(LEFT(I347,4)="JK15","BANDIPORA",IF(LEFT(I347,4)="JK17","KISHTWAR",IF(LEFT(I347,4)="LA01","KARGIL",IF(LEFT(I347,1)="T","TEMP","NEW")))))))))))))))))</f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>ROW()-1</f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>IF(LEFT(I348,4)="JK13","PULWAMA",IF(LEFT(I348,4)="JK01","SRINAGAR",IF(LEFT(I348,4)="JK04","BUDGAM",IF(LEFT(I348,4)="JK03","ANANTNAG",IF(LEFT(I348,4)="JK05","BARAMULLA",IF(LEFT(I348,4)="26BH","BHARAT",IF(LEFT(I348,4)="25BH","BHARAT",IF(LEFT(I348,4)="JK12","POONCH",IF(LEFT(I348,4)="JK16","GANDERBAL",IF(LEFT(I348,4)="JK18","KULGAM",IF(LEFT(I348,4)="JK22","SHOPIAN",IF(LEFT(I348,4)="JK02","JAMMU",IF(LEFT(I348,4)="JK09","KUPWARA",IF(LEFT(I348,4)="JK15","BANDIPORA",IF(LEFT(I348,4)="JK17","KISHTWAR",IF(LEFT(I348,4)="LA01","KARGIL",IF(LEFT(I348,1)="T","TEMP","NEW")))))))))))))))))</f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>ROW()-1</f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>IF(LEFT(I349,4)="JK13","PULWAMA",IF(LEFT(I349,4)="JK01","SRINAGAR",IF(LEFT(I349,4)="JK04","BUDGAM",IF(LEFT(I349,4)="JK03","ANANTNAG",IF(LEFT(I349,4)="JK05","BARAMULLA",IF(LEFT(I349,4)="26BH","BHARAT",IF(LEFT(I349,4)="25BH","BHARAT",IF(LEFT(I349,4)="JK12","POONCH",IF(LEFT(I349,4)="JK16","GANDERBAL",IF(LEFT(I349,4)="JK18","KULGAM",IF(LEFT(I349,4)="JK22","SHOPIAN",IF(LEFT(I349,4)="JK02","JAMMU",IF(LEFT(I349,4)="JK09","KUPWARA",IF(LEFT(I349,4)="JK15","BANDIPORA",IF(LEFT(I349,4)="JK17","KISHTWAR",IF(LEFT(I349,4)="LA01","KARGIL",IF(LEFT(I349,1)="T","TEMP","NEW")))))))))))))))))</f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>ROW()-1</f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>ROW()-1</f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>IF(LEFT(I351,4)="JK13","PULWAMA",IF(LEFT(I351,4)="JK01","SRINAGAR",IF(LEFT(I351,4)="JK04","BUDGAM",IF(LEFT(I351,4)="JK03","ANANTNAG",IF(LEFT(I351,4)="JK05","BARAMULLA",IF(LEFT(I351,4)="26BH","BHARAT",IF(LEFT(I351,4)="25BH","BHARAT",IF(LEFT(I351,4)="JK12","POONCH",IF(LEFT(I351,4)="JK16","GANDERBAL",IF(LEFT(I351,4)="JK18","KULGAM",IF(LEFT(I351,4)="JK22","SHOPIAN",IF(LEFT(I351,4)="JK02","JAMMU",IF(LEFT(I351,4)="JK09","KUPWARA",IF(LEFT(I351,4)="JK15","BANDIPORA",IF(LEFT(I351,4)="JK17","KISHTWAR",IF(LEFT(I351,4)="LA01","KARGIL",IF(LEFT(I351,1)="T","TEMP","NEW")))))))))))))))))</f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>ROW()-1</f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>IF(LEFT(I352,4)="JK13","PULWAMA",IF(LEFT(I352,4)="JK01","SRINAGAR",IF(LEFT(I352,4)="JK04","BUDGAM",IF(LEFT(I352,4)="JK03","ANANTNAG",IF(LEFT(I352,4)="JK05","BARAMULLA",IF(LEFT(I352,4)="26BH","BHARAT",IF(LEFT(I352,4)="25BH","BHARAT",IF(LEFT(I352,4)="JK12","POONCH",IF(LEFT(I352,4)="JK16","GANDERBAL",IF(LEFT(I352,4)="JK18","KULGAM",IF(LEFT(I352,4)="JK22","SHOPIAN",IF(LEFT(I352,4)="JK02","JAMMU",IF(LEFT(I352,4)="JK09","KUPWARA",IF(LEFT(I352,4)="JK15","BANDIPORA",IF(LEFT(I352,4)="JK17","KISHTWAR",IF(LEFT(I352,4)="LA01","KARGIL",IF(LEFT(I352,1)="T","TEMP","NEW")))))))))))))))))</f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>ROW()-1</f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>IF(LEFT(I353,4)="JK13","PULWAMA",IF(LEFT(I353,4)="JK01","SRINAGAR",IF(LEFT(I353,4)="JK04","BUDGAM",IF(LEFT(I353,4)="JK03","ANANTNAG",IF(LEFT(I353,4)="JK05","BARAMULLA",IF(LEFT(I353,4)="26BH","BHARAT",IF(LEFT(I353,4)="25BH","BHARAT",IF(LEFT(I353,4)="JK12","POONCH",IF(LEFT(I353,4)="JK16","GANDERBAL",IF(LEFT(I353,4)="JK18","KULGAM",IF(LEFT(I353,4)="JK22","SHOPIAN",IF(LEFT(I353,4)="JK02","JAMMU",IF(LEFT(I353,4)="JK09","KUPWARA",IF(LEFT(I353,4)="JK15","BANDIPORA",IF(LEFT(I353,4)="JK17","KISHTWAR",IF(LEFT(I353,4)="LA01","KARGIL",IF(LEFT(I353,1)="T","TEMP","NEW")))))))))))))))))</f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>ROW()-1</f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>IF(LEFT(I354,4)="JK13","PULWAMA",IF(LEFT(I354,4)="JK01","SRINAGAR",IF(LEFT(I354,4)="JK04","BUDGAM",IF(LEFT(I354,4)="JK03","ANANTNAG",IF(LEFT(I354,4)="JK05","BARAMULLA",IF(LEFT(I354,4)="26BH","BHARAT",IF(LEFT(I354,4)="25BH","BHARAT",IF(LEFT(I354,4)="JK12","POONCH",IF(LEFT(I354,4)="JK16","GANDERBAL",IF(LEFT(I354,4)="JK18","KULGAM",IF(LEFT(I354,4)="JK22","SHOPIAN",IF(LEFT(I354,4)="JK02","JAMMU",IF(LEFT(I354,4)="JK09","KUPWARA",IF(LEFT(I354,4)="JK15","BANDIPORA",IF(LEFT(I354,4)="JK17","KISHTWAR",IF(LEFT(I354,4)="LA01","KARGIL",IF(LEFT(I354,1)="T","TEMP","NEW")))))))))))))))))</f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>ROW()-1</f>
        <v>354</v>
      </c>
      <c r="B355" s="43" t="s">
        <v>7509</v>
      </c>
      <c r="C355" s="43" t="s">
        <v>7510</v>
      </c>
      <c r="D355" s="43" t="s">
        <v>7511</v>
      </c>
      <c r="E355" s="43" t="s">
        <v>7512</v>
      </c>
      <c r="F355" s="43" t="s">
        <v>12</v>
      </c>
      <c r="G355" s="43" t="s">
        <v>181</v>
      </c>
      <c r="H355" s="43" t="str">
        <f>IF(LEFT(I355,4)="JK13","PULWAMA",IF(LEFT(I355,4)="JK01","SRINAGAR",IF(LEFT(I355,4)="JK04","BUDGAM",IF(LEFT(I355,4)="JK03","ANANTNAG",IF(LEFT(I355,4)="JK05","BARAMULLA",IF(LEFT(I355,4)="26BH","BHARAT",IF(LEFT(I355,4)="25BH","BHARAT",IF(LEFT(I355,4)="JK12","POONCH",IF(LEFT(I355,4)="JK16","GANDERBAL",IF(LEFT(I355,4)="JK18","KULGAM",IF(LEFT(I355,4)="JK22","SHOPIAN",IF(LEFT(I355,4)="JK02","JAMMU",IF(LEFT(I355,4)="JK09","KUPWARA",IF(LEFT(I355,4)="JK15","BANDIPORA",IF(LEFT(I355,4)="JK17","KISHTWAR",IF(LEFT(I355,4)="LA01","KARGIL",IF(LEFT(I355,1)="T","TEMP","NEW")))))))))))))))))</f>
        <v>PULWAMA</v>
      </c>
      <c r="I355" s="43" t="s">
        <v>7517</v>
      </c>
      <c r="J355" s="44">
        <v>46016</v>
      </c>
      <c r="K355" s="43">
        <v>8825024324</v>
      </c>
      <c r="L355" s="43" t="s">
        <v>6520</v>
      </c>
      <c r="M355" s="45" t="s">
        <v>7713</v>
      </c>
      <c r="N355" s="44">
        <v>46042</v>
      </c>
      <c r="O355" s="43"/>
      <c r="P355" s="46"/>
      <c r="Q355" s="43"/>
      <c r="R355" s="43" t="s">
        <v>7519</v>
      </c>
    </row>
    <row r="356" spans="1:18" x14ac:dyDescent="0.25">
      <c r="A356" s="43">
        <f>ROW()-1</f>
        <v>355</v>
      </c>
      <c r="B356" s="43" t="s">
        <v>7600</v>
      </c>
      <c r="C356" s="43" t="s">
        <v>7601</v>
      </c>
      <c r="D356" s="43" t="s">
        <v>7602</v>
      </c>
      <c r="E356" s="43" t="s">
        <v>7603</v>
      </c>
      <c r="F356" s="43" t="s">
        <v>31</v>
      </c>
      <c r="G356" s="43" t="s">
        <v>174</v>
      </c>
      <c r="H356" s="43" t="str">
        <f>IF(LEFT(I356,4)="JK13","PULWAMA",IF(LEFT(I356,4)="JK01","SRINAGAR",IF(LEFT(I356,4)="JK04","BUDGAM",IF(LEFT(I356,4)="JK03","ANANTNAG",IF(LEFT(I356,4)="JK05","BARAMULLA",IF(LEFT(I356,4)="26BH","BHARAT",IF(LEFT(I356,4)="25BH","BHARAT",IF(LEFT(I356,4)="JK12","POONCH",IF(LEFT(I356,4)="JK16","GANDERBAL",IF(LEFT(I356,4)="JK18","KULGAM",IF(LEFT(I356,4)="JK22","SHOPIAN",IF(LEFT(I356,4)="JK02","JAMMU",IF(LEFT(I356,4)="JK09","KUPWARA",IF(LEFT(I356,4)="JK15","BANDIPORA",IF(LEFT(I356,4)="JK17","KISHTWAR",IF(LEFT(I356,4)="LA01","KARGIL",IF(LEFT(I356,1)="T","TEMP","NEW")))))))))))))))))</f>
        <v>SHOPIAN</v>
      </c>
      <c r="I356" s="44" t="s">
        <v>7608</v>
      </c>
      <c r="J356" s="44">
        <v>46017</v>
      </c>
      <c r="K356" s="43">
        <v>6006651112</v>
      </c>
      <c r="L356" s="43" t="s">
        <v>6520</v>
      </c>
      <c r="M356" s="45" t="s">
        <v>7713</v>
      </c>
      <c r="N356" s="44">
        <v>46043</v>
      </c>
      <c r="O356" s="43"/>
      <c r="P356" s="46"/>
      <c r="Q356" s="43"/>
      <c r="R356" s="43"/>
    </row>
    <row r="357" spans="1:18" x14ac:dyDescent="0.25">
      <c r="A357" s="43">
        <f>ROW()-1</f>
        <v>356</v>
      </c>
      <c r="B357" s="43" t="s">
        <v>7741</v>
      </c>
      <c r="C357" s="43" t="s">
        <v>7742</v>
      </c>
      <c r="D357" s="43" t="s">
        <v>7744</v>
      </c>
      <c r="E357" s="43" t="s">
        <v>7743</v>
      </c>
      <c r="F357" s="43" t="s">
        <v>67</v>
      </c>
      <c r="G357" s="43" t="s">
        <v>199</v>
      </c>
      <c r="H357" s="43" t="str">
        <f>IF(LEFT(I357,4)="JK13","PULWAMA",IF(LEFT(I357,4)="JK01","SRINAGAR",IF(LEFT(I357,4)="JK04","BUDGAM",IF(LEFT(I357,4)="JK03","ANANTNAG",IF(LEFT(I357,4)="JK05","BARAMULLA",IF(LEFT(I357,4)="26BH","BHARAT",IF(LEFT(I357,4)="25BH","BHARAT",IF(LEFT(I357,4)="JK12","POONCH",IF(LEFT(I357,4)="JK16","GANDERBAL",IF(LEFT(I357,4)="JK18","KULGAM",IF(LEFT(I357,4)="JK22","SHOPIAN",IF(LEFT(I357,4)="JK02","JAMMU",IF(LEFT(I357,4)="JK09","KUPWARA",IF(LEFT(I357,4)="JK15","BANDIPORA",IF(LEFT(I357,4)="JK17","KISHTWAR",IF(LEFT(I357,4)="LA01","KARGIL",IF(LEFT(I357,1)="T","TEMP","NEW")))))))))))))))))</f>
        <v>PULWAMA</v>
      </c>
      <c r="I357" s="43" t="s">
        <v>7749</v>
      </c>
      <c r="J357" s="44">
        <v>46021</v>
      </c>
      <c r="K357" s="43">
        <v>8493950437</v>
      </c>
      <c r="L357" s="43" t="s">
        <v>6520</v>
      </c>
      <c r="M357" s="45" t="s">
        <v>7713</v>
      </c>
      <c r="N357" s="44">
        <v>46046</v>
      </c>
      <c r="O357" s="43"/>
      <c r="P357" s="46"/>
      <c r="Q357" s="43"/>
      <c r="R357" s="43" t="s">
        <v>7766</v>
      </c>
    </row>
    <row r="358" spans="1:18" x14ac:dyDescent="0.25">
      <c r="A358" s="43">
        <f>ROW()-1</f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>IF(LEFT(I358,4)="JK13","PULWAMA",IF(LEFT(I358,4)="JK01","SRINAGAR",IF(LEFT(I358,4)="JK04","BUDGAM",IF(LEFT(I358,4)="JK03","ANANTNAG",IF(LEFT(I358,4)="JK05","BARAMULLA",IF(LEFT(I358,4)="26BH","BHARAT",IF(LEFT(I358,4)="25BH","BHARAT",IF(LEFT(I358,4)="JK12","POONCH",IF(LEFT(I358,4)="JK16","GANDERBAL",IF(LEFT(I358,4)="JK18","KULGAM",IF(LEFT(I358,4)="JK22","SHOPIAN",IF(LEFT(I358,4)="JK02","JAMMU",IF(LEFT(I358,4)="JK09","KUPWARA",IF(LEFT(I358,4)="JK15","BANDIPORA",IF(LEFT(I358,4)="JK17","KISHTWAR",IF(LEFT(I358,4)="LA01","KARGIL",IF(LEFT(I358,1)="T","TEMP","NEW")))))))))))))))))</f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>ROW()-1</f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>IF(LEFT(I359,4)="JK13","PULWAMA",IF(LEFT(I359,4)="JK01","SRINAGAR",IF(LEFT(I359,4)="JK04","BUDGAM",IF(LEFT(I359,4)="JK03","ANANTNAG",IF(LEFT(I359,4)="JK05","BARAMULLA",IF(LEFT(I359,4)="26BH","BHARAT",IF(LEFT(I359,4)="25BH","BHARAT",IF(LEFT(I359,4)="JK12","POONCH",IF(LEFT(I359,4)="JK16","GANDERBAL",IF(LEFT(I359,4)="JK18","KULGAM",IF(LEFT(I359,4)="JK22","SHOPIAN",IF(LEFT(I359,4)="JK02","JAMMU",IF(LEFT(I359,4)="JK09","KUPWARA",IF(LEFT(I359,4)="JK15","BANDIPORA",IF(LEFT(I359,4)="JK17","KISHTWAR",IF(LEFT(I359,4)="LA01","KARGIL",IF(LEFT(I359,1)="T","TEMP","NEW")))))))))))))))))</f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>ROW()-1</f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>IF(LEFT(I360,4)="JK13","PULWAMA",IF(LEFT(I360,4)="JK01","SRINAGAR",IF(LEFT(I360,4)="JK04","BUDGAM",IF(LEFT(I360,4)="JK03","ANANTNAG",IF(LEFT(I360,4)="JK05","BARAMULLA",IF(LEFT(I360,4)="26BH","BHARAT",IF(LEFT(I360,4)="25BH","BHARAT",IF(LEFT(I360,4)="JK12","POONCH",IF(LEFT(I360,4)="JK16","GANDERBAL",IF(LEFT(I360,4)="JK18","KULGAM",IF(LEFT(I360,4)="JK22","SHOPIAN",IF(LEFT(I360,4)="JK02","JAMMU",IF(LEFT(I360,4)="JK09","KUPWARA",IF(LEFT(I360,4)="JK15","BANDIPORA",IF(LEFT(I360,4)="JK17","KISHTWAR",IF(LEFT(I360,4)="LA01","KARGIL",IF(LEFT(I360,1)="T","TEMP","NEW")))))))))))))))))</f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>ROW()-1</f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>IF(LEFT(I361,4)="JK13","PULWAMA",IF(LEFT(I361,4)="JK01","SRINAGAR",IF(LEFT(I361,4)="JK04","BUDGAM",IF(LEFT(I361,4)="JK03","ANANTNAG",IF(LEFT(I361,4)="JK05","BARAMULLA",IF(LEFT(I361,4)="26BH","BHARAT",IF(LEFT(I361,4)="25BH","BHARAT",IF(LEFT(I361,4)="JK12","POONCH",IF(LEFT(I361,4)="JK16","GANDERBAL",IF(LEFT(I361,4)="JK18","KULGAM",IF(LEFT(I361,4)="JK22","SHOPIAN",IF(LEFT(I361,4)="JK02","JAMMU",IF(LEFT(I361,4)="JK09","KUPWARA",IF(LEFT(I361,4)="JK15","BANDIPORA",IF(LEFT(I361,4)="JK17","KISHTWAR",IF(LEFT(I361,4)="LA01","KARGIL",IF(LEFT(I361,1)="T","TEMP","NEW")))))))))))))))))</f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>ROW()-1</f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>IF(LEFT(I362,4)="JK13","PULWAMA",IF(LEFT(I362,4)="JK01","SRINAGAR",IF(LEFT(I362,4)="JK04","BUDGAM",IF(LEFT(I362,4)="JK03","ANANTNAG",IF(LEFT(I362,4)="JK05","BARAMULLA",IF(LEFT(I362,4)="26BH","BHARAT",IF(LEFT(I362,4)="25BH","BHARAT",IF(LEFT(I362,4)="JK12","POONCH",IF(LEFT(I362,4)="JK16","GANDERBAL",IF(LEFT(I362,4)="JK18","KULGAM",IF(LEFT(I362,4)="JK22","SHOPIAN",IF(LEFT(I362,4)="JK02","JAMMU",IF(LEFT(I362,4)="JK09","KUPWARA",IF(LEFT(I362,4)="JK15","BANDIPORA",IF(LEFT(I362,4)="JK17","KISHTWAR",IF(LEFT(I362,4)="LA01","KARGIL",IF(LEFT(I362,1)="T","TEMP","NEW")))))))))))))))))</f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>ROW()-1</f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>IF(LEFT(I363,4)="JK13","PULWAMA",IF(LEFT(I363,4)="JK01","SRINAGAR",IF(LEFT(I363,4)="JK04","BUDGAM",IF(LEFT(I363,4)="JK03","ANANTNAG",IF(LEFT(I363,4)="JK05","BARAMULLA",IF(LEFT(I363,4)="26BH","BHARAT",IF(LEFT(I363,4)="25BH","BHARAT",IF(LEFT(I363,4)="JK12","POONCH",IF(LEFT(I363,4)="JK16","GANDERBAL",IF(LEFT(I363,4)="JK18","KULGAM",IF(LEFT(I363,4)="JK22","SHOPIAN",IF(LEFT(I363,4)="JK02","JAMMU",IF(LEFT(I363,4)="JK09","KUPWARA",IF(LEFT(I363,4)="JK15","BANDIPORA",IF(LEFT(I363,4)="JK17","KISHTWAR",IF(LEFT(I363,4)="LA01","KARGIL",IF(LEFT(I363,1)="T","TEMP","NEW")))))))))))))))))</f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>ROW()-1</f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>IF(LEFT(I364,4)="JK13","PULWAMA",IF(LEFT(I364,4)="JK01","SRINAGAR",IF(LEFT(I364,4)="JK04","BUDGAM",IF(LEFT(I364,4)="JK03","ANANTNAG",IF(LEFT(I364,4)="JK05","BARAMULLA",IF(LEFT(I364,4)="26BH","BHARAT",IF(LEFT(I364,4)="25BH","BHARAT",IF(LEFT(I364,4)="JK12","POONCH",IF(LEFT(I364,4)="JK16","GANDERBAL",IF(LEFT(I364,4)="JK18","KULGAM",IF(LEFT(I364,4)="JK22","SHOPIAN",IF(LEFT(I364,4)="JK02","JAMMU",IF(LEFT(I364,4)="JK09","KUPWARA",IF(LEFT(I364,4)="JK15","BANDIPORA",IF(LEFT(I364,4)="JK17","KISHTWAR",IF(LEFT(I364,4)="LA01","KARGIL",IF(LEFT(I364,1)="T","TEMP","NEW")))))))))))))))))</f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>ROW()-1</f>
        <v>364</v>
      </c>
      <c r="B365" s="43" t="s">
        <v>8331</v>
      </c>
      <c r="C365" s="43" t="s">
        <v>8328</v>
      </c>
      <c r="D365" s="43" t="s">
        <v>8329</v>
      </c>
      <c r="E365" s="43" t="s">
        <v>8330</v>
      </c>
      <c r="F365" s="43" t="s">
        <v>31</v>
      </c>
      <c r="G365" s="43" t="s">
        <v>200</v>
      </c>
      <c r="H365" s="43" t="str">
        <f>IF(LEFT(I365,4)="JK13","PULWAMA",IF(LEFT(I365,4)="JK01","SRINAGAR",IF(LEFT(I365,4)="JK04","BUDGAM",IF(LEFT(I365,4)="JK03","ANANTNAG",IF(LEFT(I365,4)="JK05","BARAMULLA",IF(LEFT(I365,4)="26BH","BHARAT",IF(LEFT(I365,4)="25BH","BHARAT",IF(LEFT(I365,4)="JK12","POONCH",IF(LEFT(I365,4)="JK16","GANDERBAL",IF(LEFT(I365,4)="JK18","KULGAM",IF(LEFT(I365,4)="JK22","SHOPIAN",IF(LEFT(I365,4)="JK02","JAMMU",IF(LEFT(I365,4)="JK09","KUPWARA",IF(LEFT(I365,4)="JK15","BANDIPORA",IF(LEFT(I365,4)="JK17","KISHTWAR",IF(LEFT(I365,4)="LA01","KARGIL",IF(LEFT(I365,1)="T","TEMP","NEW")))))))))))))))))</f>
        <v>POONCH</v>
      </c>
      <c r="I365" s="43" t="s">
        <v>8348</v>
      </c>
      <c r="J365" s="44">
        <v>46043</v>
      </c>
      <c r="K365" s="43">
        <v>8899313265</v>
      </c>
      <c r="L365" s="43" t="s">
        <v>195</v>
      </c>
      <c r="M365" s="45" t="s">
        <v>8880</v>
      </c>
      <c r="N365" s="44">
        <v>46067</v>
      </c>
      <c r="O365" s="43"/>
      <c r="P365" s="46"/>
      <c r="Q365" s="43"/>
      <c r="R365" s="43"/>
    </row>
    <row r="366" spans="1:18" x14ac:dyDescent="0.25">
      <c r="A366" s="43">
        <f>ROW()-1</f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>IF(LEFT(I366,4)="JK13","PULWAMA",IF(LEFT(I366,4)="JK01","SRINAGAR",IF(LEFT(I366,4)="JK04","BUDGAM",IF(LEFT(I366,4)="JK03","ANANTNAG",IF(LEFT(I366,4)="JK05","BARAMULLA",IF(LEFT(I366,4)="26BH","BHARAT",IF(LEFT(I366,4)="25BH","BHARAT",IF(LEFT(I366,4)="JK12","POONCH",IF(LEFT(I366,4)="JK16","GANDERBAL",IF(LEFT(I366,4)="JK18","KULGAM",IF(LEFT(I366,4)="JK22","SHOPIAN",IF(LEFT(I366,4)="JK02","JAMMU",IF(LEFT(I366,4)="JK09","KUPWARA",IF(LEFT(I366,4)="JK15","BANDIPORA",IF(LEFT(I366,4)="JK17","KISHTWAR",IF(LEFT(I366,4)="LA01","KARGIL",IF(LEFT(I366,1)="T","TEMP","NEW")))))))))))))))))</f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>ROW()-1</f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>IF(LEFT(I367,4)="JK13","PULWAMA",IF(LEFT(I367,4)="JK01","SRINAGAR",IF(LEFT(I367,4)="JK04","BUDGAM",IF(LEFT(I367,4)="JK03","ANANTNAG",IF(LEFT(I367,4)="JK05","BARAMULLA",IF(LEFT(I367,4)="26BH","BHARAT",IF(LEFT(I367,4)="25BH","BHARAT",IF(LEFT(I367,4)="JK12","POONCH",IF(LEFT(I367,4)="JK16","GANDERBAL",IF(LEFT(I367,4)="JK18","KULGAM",IF(LEFT(I367,4)="JK22","SHOPIAN",IF(LEFT(I367,4)="JK02","JAMMU",IF(LEFT(I367,4)="JK09","KUPWARA",IF(LEFT(I367,4)="JK15","BANDIPORA",IF(LEFT(I367,4)="JK17","KISHTWAR",IF(LEFT(I367,4)="LA01","KARGIL",IF(LEFT(I367,1)="T","TEMP","NEW")))))))))))))))))</f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>ROW()-1</f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>IF(LEFT(I368,4)="JK13","PULWAMA",IF(LEFT(I368,4)="JK01","SRINAGAR",IF(LEFT(I368,4)="JK04","BUDGAM",IF(LEFT(I368,4)="JK03","ANANTNAG",IF(LEFT(I368,4)="JK05","BARAMULLA",IF(LEFT(I368,4)="26BH","BHARAT",IF(LEFT(I368,4)="25BH","BHARAT",IF(LEFT(I368,4)="JK12","POONCH",IF(LEFT(I368,4)="JK16","GANDERBAL",IF(LEFT(I368,4)="JK18","KULGAM",IF(LEFT(I368,4)="JK22","SHOPIAN",IF(LEFT(I368,4)="JK02","JAMMU",IF(LEFT(I368,4)="JK09","KUPWARA",IF(LEFT(I368,4)="JK15","BANDIPORA",IF(LEFT(I368,4)="JK17","KISHTWAR",IF(LEFT(I368,4)="LA01","KARGIL",IF(LEFT(I368,1)="T","TEMP","NEW")))))))))))))))))</f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>ROW()-1</f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>IF(LEFT(I369,4)="JK13","PULWAMA",IF(LEFT(I369,4)="JK01","SRINAGAR",IF(LEFT(I369,4)="JK04","BUDGAM",IF(LEFT(I369,4)="JK03","ANANTNAG",IF(LEFT(I369,4)="JK05","BARAMULLA",IF(LEFT(I369,4)="26BH","BHARAT",IF(LEFT(I369,4)="25BH","BHARAT",IF(LEFT(I369,4)="JK12","POONCH",IF(LEFT(I369,4)="JK16","GANDERBAL",IF(LEFT(I369,4)="JK18","KULGAM",IF(LEFT(I369,4)="JK22","SHOPIAN",IF(LEFT(I369,4)="JK02","JAMMU",IF(LEFT(I369,4)="JK09","KUPWARA",IF(LEFT(I369,4)="JK15","BANDIPORA",IF(LEFT(I369,4)="JK17","KISHTWAR",IF(LEFT(I369,4)="LA01","KARGIL",IF(LEFT(I369,1)="T","TEMP","NEW")))))))))))))))))</f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>ROW()-1</f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>IF(LEFT(I370,4)="JK13","PULWAMA",IF(LEFT(I370,4)="JK01","SRINAGAR",IF(LEFT(I370,4)="JK04","BUDGAM",IF(LEFT(I370,4)="JK03","ANANTNAG",IF(LEFT(I370,4)="JK05","BARAMULLA",IF(LEFT(I370,4)="26BH","BHARAT",IF(LEFT(I370,4)="25BH","BHARAT",IF(LEFT(I370,4)="JK12","POONCH",IF(LEFT(I370,4)="JK16","GANDERBAL",IF(LEFT(I370,4)="JK18","KULGAM",IF(LEFT(I370,4)="JK22","SHOPIAN",IF(LEFT(I370,4)="JK02","JAMMU",IF(LEFT(I370,4)="JK09","KUPWARA",IF(LEFT(I370,4)="JK15","BANDIPORA",IF(LEFT(I370,4)="JK17","KISHTWAR",IF(LEFT(I370,4)="LA01","KARGIL",IF(LEFT(I370,1)="T","TEMP","NEW")))))))))))))))))</f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>ROW()-1</f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>IF(LEFT(I371,4)="JK13","PULWAMA",IF(LEFT(I371,4)="JK01","SRINAGAR",IF(LEFT(I371,4)="JK04","BUDGAM",IF(LEFT(I371,4)="JK03","ANANTNAG",IF(LEFT(I371,4)="JK05","BARAMULLA",IF(LEFT(I371,4)="26BH","BHARAT",IF(LEFT(I371,4)="25BH","BHARAT",IF(LEFT(I371,4)="JK12","POONCH",IF(LEFT(I371,4)="JK16","GANDERBAL",IF(LEFT(I371,4)="JK18","KULGAM",IF(LEFT(I371,4)="JK22","SHOPIAN",IF(LEFT(I371,4)="JK02","JAMMU",IF(LEFT(I371,4)="JK09","KUPWARA",IF(LEFT(I371,4)="JK15","BANDIPORA",IF(LEFT(I371,4)="JK17","KISHTWAR",IF(LEFT(I371,4)="LA01","KARGIL",IF(LEFT(I371,1)="T","TEMP","NEW")))))))))))))))))</f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>ROW()-1</f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>IF(LEFT(I372,4)="JK13","PULWAMA",IF(LEFT(I372,4)="JK01","SRINAGAR",IF(LEFT(I372,4)="JK04","BUDGAM",IF(LEFT(I372,4)="JK03","ANANTNAG",IF(LEFT(I372,4)="JK05","BARAMULLA",IF(LEFT(I372,4)="26BH","BHARAT",IF(LEFT(I372,4)="25BH","BHARAT",IF(LEFT(I372,4)="JK12","POONCH",IF(LEFT(I372,4)="JK16","GANDERBAL",IF(LEFT(I372,4)="JK18","KULGAM",IF(LEFT(I372,4)="JK22","SHOPIAN",IF(LEFT(I372,4)="JK02","JAMMU",IF(LEFT(I372,4)="JK09","KUPWARA",IF(LEFT(I372,4)="JK15","BANDIPORA",IF(LEFT(I372,4)="JK17","KISHTWAR",IF(LEFT(I372,4)="LA01","KARGIL",IF(LEFT(I372,1)="T","TEMP","NEW")))))))))))))))))</f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>ROW()-1</f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>IF(LEFT(I373,4)="JK13","PULWAMA",IF(LEFT(I373,4)="JK01","SRINAGAR",IF(LEFT(I373,4)="JK04","BUDGAM",IF(LEFT(I373,4)="JK03","ANANTNAG",IF(LEFT(I373,4)="JK05","BARAMULLA",IF(LEFT(I373,4)="26BH","BHARAT",IF(LEFT(I373,4)="25BH","BHARAT",IF(LEFT(I373,4)="JK12","POONCH",IF(LEFT(I373,4)="JK16","GANDERBAL",IF(LEFT(I373,4)="JK18","KULGAM",IF(LEFT(I373,4)="JK22","SHOPIAN",IF(LEFT(I373,4)="JK02","JAMMU",IF(LEFT(I373,4)="JK09","KUPWARA",IF(LEFT(I373,4)="JK15","BANDIPORA",IF(LEFT(I373,4)="JK17","KISHTWAR",IF(LEFT(I373,4)="LA01","KARGIL",IF(LEFT(I373,1)="T","TEMP","NEW")))))))))))))))))</f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>ROW()-1</f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>IF(LEFT(I374,4)="JK13","PULWAMA",IF(LEFT(I374,4)="JK01","SRINAGAR",IF(LEFT(I374,4)="JK04","BUDGAM",IF(LEFT(I374,4)="JK03","ANANTNAG",IF(LEFT(I374,4)="JK05","BARAMULLA",IF(LEFT(I374,4)="26BH","BHARAT",IF(LEFT(I374,4)="25BH","BHARAT",IF(LEFT(I374,4)="JK12","POONCH",IF(LEFT(I374,4)="JK16","GANDERBAL",IF(LEFT(I374,4)="JK18","KULGAM",IF(LEFT(I374,4)="JK22","SHOPIAN",IF(LEFT(I374,4)="JK02","JAMMU",IF(LEFT(I374,4)="JK09","KUPWARA",IF(LEFT(I374,4)="JK15","BANDIPORA",IF(LEFT(I374,4)="JK17","KISHTWAR",IF(LEFT(I374,4)="LA01","KARGIL",IF(LEFT(I374,1)="T","TEMP","NEW")))))))))))))))))</f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>ROW()-1</f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>IF(LEFT(I375,4)="JK13","PULWAMA",IF(LEFT(I375,4)="JK01","SRINAGAR",IF(LEFT(I375,4)="JK04","BUDGAM",IF(LEFT(I375,4)="JK03","ANANTNAG",IF(LEFT(I375,4)="JK05","BARAMULLA",IF(LEFT(I375,4)="26BH","BHARAT",IF(LEFT(I375,4)="25BH","BHARAT",IF(LEFT(I375,4)="JK12","POONCH",IF(LEFT(I375,4)="JK16","GANDERBAL",IF(LEFT(I375,4)="JK18","KULGAM",IF(LEFT(I375,4)="JK22","SHOPIAN",IF(LEFT(I375,4)="JK02","JAMMU",IF(LEFT(I375,4)="JK09","KUPWARA",IF(LEFT(I375,4)="JK15","BANDIPORA",IF(LEFT(I375,4)="JK17","KISHTWAR",IF(LEFT(I375,4)="LA01","KARGIL",IF(LEFT(I375,1)="T","TEMP","NEW")))))))))))))))))</f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>ROW()-1</f>
        <v>375</v>
      </c>
      <c r="B376" s="43" t="s">
        <v>7796</v>
      </c>
      <c r="C376" s="43" t="s">
        <v>7793</v>
      </c>
      <c r="D376" s="43" t="s">
        <v>7794</v>
      </c>
      <c r="E376" s="43" t="s">
        <v>7795</v>
      </c>
      <c r="F376" s="43" t="s">
        <v>67</v>
      </c>
      <c r="G376" s="43" t="s">
        <v>200</v>
      </c>
      <c r="H376" s="43" t="str">
        <f>IF(LEFT(I376,4)="JK13","PULWAMA",IF(LEFT(I376,4)="JK01","SRINAGAR",IF(LEFT(I376,4)="JK04","BUDGAM",IF(LEFT(I376,4)="JK03","ANANTNAG",IF(LEFT(I376,4)="JK05","BARAMULLA",IF(LEFT(I376,4)="26BH","BHARAT",IF(LEFT(I376,4)="25BH","BHARAT",IF(LEFT(I376,4)="JK12","POONCH",IF(LEFT(I376,4)="JK16","GANDERBAL",IF(LEFT(I376,4)="JK18","KULGAM",IF(LEFT(I376,4)="JK22","SHOPIAN",IF(LEFT(I376,4)="JK02","JAMMU",IF(LEFT(I376,4)="JK09","KUPWARA",IF(LEFT(I376,4)="JK15","BANDIPORA",IF(LEFT(I376,4)="JK17","KISHTWAR",IF(LEFT(I376,4)="LA01","KARGIL",IF(LEFT(I376,1)="T","TEMP","NEW")))))))))))))))))</f>
        <v>PULWAMA</v>
      </c>
      <c r="I376" s="43" t="s">
        <v>7807</v>
      </c>
      <c r="J376" s="44">
        <v>46022</v>
      </c>
      <c r="K376" s="43">
        <v>8899294356</v>
      </c>
      <c r="L376" s="43" t="s">
        <v>6520</v>
      </c>
      <c r="M376" s="45" t="s">
        <v>7713</v>
      </c>
      <c r="N376" s="44">
        <v>46028</v>
      </c>
      <c r="O376" s="43" t="s">
        <v>23</v>
      </c>
      <c r="P376" s="46">
        <v>46057</v>
      </c>
      <c r="Q376" s="43" t="s">
        <v>6459</v>
      </c>
      <c r="R376" s="43" t="s">
        <v>8653</v>
      </c>
    </row>
    <row r="377" spans="1:18" x14ac:dyDescent="0.25">
      <c r="A377" s="43">
        <f>ROW()-1</f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>IF(LEFT(I377,4)="JK13","PULWAMA",IF(LEFT(I377,4)="JK01","SRINAGAR",IF(LEFT(I377,4)="JK04","BUDGAM",IF(LEFT(I377,4)="JK03","ANANTNAG",IF(LEFT(I377,4)="JK05","BARAMULLA",IF(LEFT(I377,4)="26BH","BHARAT",IF(LEFT(I377,4)="25BH","BHARAT",IF(LEFT(I377,4)="JK12","POONCH",IF(LEFT(I377,4)="JK16","GANDERBAL",IF(LEFT(I377,4)="JK18","KULGAM",IF(LEFT(I377,4)="JK22","SHOPIAN",IF(LEFT(I377,4)="JK02","JAMMU",IF(LEFT(I377,4)="JK09","KUPWARA",IF(LEFT(I377,4)="JK15","BANDIPORA",IF(LEFT(I377,4)="JK17","KISHTWAR",IF(LEFT(I377,4)="LA01","KARGIL",IF(LEFT(I377,1)="T","TEMP","NEW")))))))))))))))))</f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>ROW()-1</f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>IF(LEFT(I378,4)="JK13","PULWAMA",IF(LEFT(I378,4)="JK01","SRINAGAR",IF(LEFT(I378,4)="JK04","BUDGAM",IF(LEFT(I378,4)="JK03","ANANTNAG",IF(LEFT(I378,4)="JK05","BARAMULLA",IF(LEFT(I378,4)="26BH","BHARAT",IF(LEFT(I378,4)="25BH","BHARAT",IF(LEFT(I378,4)="JK12","POONCH",IF(LEFT(I378,4)="JK16","GANDERBAL",IF(LEFT(I378,4)="JK18","KULGAM",IF(LEFT(I378,4)="JK22","SHOPIAN",IF(LEFT(I378,4)="JK02","JAMMU",IF(LEFT(I378,4)="JK09","KUPWARA",IF(LEFT(I378,4)="JK15","BANDIPORA",IF(LEFT(I378,4)="JK17","KISHTWAR",IF(LEFT(I378,4)="LA01","KARGIL",IF(LEFT(I378,1)="T","TEMP","NEW")))))))))))))))))</f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>ROW()-1</f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>IF(LEFT(I379,4)="JK13","PULWAMA",IF(LEFT(I379,4)="JK01","SRINAGAR",IF(LEFT(I379,4)="JK04","BUDGAM",IF(LEFT(I379,4)="JK03","ANANTNAG",IF(LEFT(I379,4)="JK05","BARAMULLA",IF(LEFT(I379,4)="26BH","BHARAT",IF(LEFT(I379,4)="25BH","BHARAT",IF(LEFT(I379,4)="JK12","POONCH",IF(LEFT(I379,4)="JK16","GANDERBAL",IF(LEFT(I379,4)="JK18","KULGAM",IF(LEFT(I379,4)="JK22","SHOPIAN",IF(LEFT(I379,4)="JK02","JAMMU",IF(LEFT(I379,4)="JK09","KUPWARA",IF(LEFT(I379,4)="JK15","BANDIPORA",IF(LEFT(I379,4)="JK17","KISHTWAR",IF(LEFT(I379,4)="LA01","KARGIL",IF(LEFT(I379,1)="T","TEMP","NEW")))))))))))))))))</f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>ROW()-1</f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>IF(LEFT(I380,4)="JK13","PULWAMA",IF(LEFT(I380,4)="JK01","SRINAGAR",IF(LEFT(I380,4)="JK04","BUDGAM",IF(LEFT(I380,4)="JK03","ANANTNAG",IF(LEFT(I380,4)="JK05","BARAMULLA",IF(LEFT(I380,4)="26BH","BHARAT",IF(LEFT(I380,4)="25BH","BHARAT",IF(LEFT(I380,4)="JK12","POONCH",IF(LEFT(I380,4)="JK16","GANDERBAL",IF(LEFT(I380,4)="JK18","KULGAM",IF(LEFT(I380,4)="JK22","SHOPIAN",IF(LEFT(I380,4)="JK02","JAMMU",IF(LEFT(I380,4)="JK09","KUPWARA",IF(LEFT(I380,4)="JK15","BANDIPORA",IF(LEFT(I380,4)="JK17","KISHTWAR",IF(LEFT(I380,4)="LA01","KARGIL",IF(LEFT(I380,1)="T","TEMP","NEW")))))))))))))))))</f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>ROW()-1</f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>IF(LEFT(I381,4)="JK13","PULWAMA",IF(LEFT(I381,4)="JK01","SRINAGAR",IF(LEFT(I381,4)="JK04","BUDGAM",IF(LEFT(I381,4)="JK03","ANANTNAG",IF(LEFT(I381,4)="JK05","BARAMULLA",IF(LEFT(I381,4)="26BH","BHARAT",IF(LEFT(I381,4)="25BH","BHARAT",IF(LEFT(I381,4)="JK12","POONCH",IF(LEFT(I381,4)="JK16","GANDERBAL",IF(LEFT(I381,4)="JK18","KULGAM",IF(LEFT(I381,4)="JK22","SHOPIAN",IF(LEFT(I381,4)="JK02","JAMMU",IF(LEFT(I381,4)="JK09","KUPWARA",IF(LEFT(I381,4)="JK15","BANDIPORA",IF(LEFT(I381,4)="JK17","KISHTWAR",IF(LEFT(I381,4)="LA01","KARGIL",IF(LEFT(I381,1)="T","TEMP","NEW")))))))))))))))))</f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>ROW()-1</f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>IF(LEFT(I382,4)="JK13","PULWAMA",IF(LEFT(I382,4)="JK01","SRINAGAR",IF(LEFT(I382,4)="JK04","BUDGAM",IF(LEFT(I382,4)="JK03","ANANTNAG",IF(LEFT(I382,4)="JK05","BARAMULLA",IF(LEFT(I382,4)="26BH","BHARAT",IF(LEFT(I382,4)="25BH","BHARAT",IF(LEFT(I382,4)="JK12","POONCH",IF(LEFT(I382,4)="JK16","GANDERBAL",IF(LEFT(I382,4)="JK18","KULGAM",IF(LEFT(I382,4)="JK22","SHOPIAN",IF(LEFT(I382,4)="JK02","JAMMU",IF(LEFT(I382,4)="JK09","KUPWARA",IF(LEFT(I382,4)="JK15","BANDIPORA",IF(LEFT(I382,4)="JK17","KISHTWAR",IF(LEFT(I382,4)="LA01","KARGIL",IF(LEFT(I382,1)="T","TEMP","NEW")))))))))))))))))</f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>ROW()-1</f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>IF(LEFT(I383,4)="JK13","PULWAMA",IF(LEFT(I383,4)="JK01","SRINAGAR",IF(LEFT(I383,4)="JK04","BUDGAM",IF(LEFT(I383,4)="JK03","ANANTNAG",IF(LEFT(I383,4)="JK05","BARAMULLA",IF(LEFT(I383,4)="26BH","BHARAT",IF(LEFT(I383,4)="25BH","BHARAT",IF(LEFT(I383,4)="JK12","POONCH",IF(LEFT(I383,4)="JK16","GANDERBAL",IF(LEFT(I383,4)="JK18","KULGAM",IF(LEFT(I383,4)="JK22","SHOPIAN",IF(LEFT(I383,4)="JK02","JAMMU",IF(LEFT(I383,4)="JK09","KUPWARA",IF(LEFT(I383,4)="JK15","BANDIPORA",IF(LEFT(I383,4)="JK17","KISHTWAR",IF(LEFT(I383,4)="LA01","KARGIL",IF(LEFT(I383,1)="T","TEMP","NEW")))))))))))))))))</f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>ROW()-1</f>
        <v>383</v>
      </c>
      <c r="B384" s="43" t="s">
        <v>7933</v>
      </c>
      <c r="C384" s="43" t="s">
        <v>7925</v>
      </c>
      <c r="D384" s="43" t="s">
        <v>7926</v>
      </c>
      <c r="E384" s="43" t="s">
        <v>7927</v>
      </c>
      <c r="F384" s="43" t="s">
        <v>31</v>
      </c>
      <c r="G384" s="43" t="s">
        <v>199</v>
      </c>
      <c r="H384" s="43" t="str">
        <f>IF(LEFT(I384,4)="JK13","PULWAMA",IF(LEFT(I384,4)="JK01","SRINAGAR",IF(LEFT(I384,4)="JK04","BUDGAM",IF(LEFT(I384,4)="JK03","ANANTNAG",IF(LEFT(I384,4)="JK05","BARAMULLA",IF(LEFT(I384,4)="26BH","BHARAT",IF(LEFT(I384,4)="25BH","BHARAT",IF(LEFT(I384,4)="JK12","POONCH",IF(LEFT(I384,4)="JK16","GANDERBAL",IF(LEFT(I384,4)="JK18","KULGAM",IF(LEFT(I384,4)="JK22","SHOPIAN",IF(LEFT(I384,4)="JK02","JAMMU",IF(LEFT(I384,4)="JK09","KUPWARA",IF(LEFT(I384,4)="JK15","BANDIPORA",IF(LEFT(I384,4)="JK17","KISHTWAR",IF(LEFT(I384,4)="LA01","KARGIL",IF(LEFT(I384,1)="T","TEMP","NEW")))))))))))))))))</f>
        <v>SRINAGAR</v>
      </c>
      <c r="I384" s="43" t="s">
        <v>7934</v>
      </c>
      <c r="J384" s="44">
        <v>46024</v>
      </c>
      <c r="K384" s="43">
        <v>9149695812</v>
      </c>
      <c r="L384" s="43" t="s">
        <v>6520</v>
      </c>
      <c r="M384" s="45" t="s">
        <v>7713</v>
      </c>
      <c r="N384" s="44">
        <v>46050</v>
      </c>
      <c r="O384" s="43"/>
      <c r="P384" s="46"/>
      <c r="Q384" s="43"/>
      <c r="R384" s="43"/>
    </row>
    <row r="385" spans="1:18" x14ac:dyDescent="0.25">
      <c r="A385" s="43">
        <f>ROW()-1</f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>IF(LEFT(I385,4)="JK13","PULWAMA",IF(LEFT(I385,4)="JK01","SRINAGAR",IF(LEFT(I385,4)="JK04","BUDGAM",IF(LEFT(I385,4)="JK03","ANANTNAG",IF(LEFT(I385,4)="JK05","BARAMULLA",IF(LEFT(I385,4)="26BH","BHARAT",IF(LEFT(I385,4)="25BH","BHARAT",IF(LEFT(I385,4)="JK12","POONCH",IF(LEFT(I385,4)="JK16","GANDERBAL",IF(LEFT(I385,4)="JK18","KULGAM",IF(LEFT(I385,4)="JK22","SHOPIAN",IF(LEFT(I385,4)="JK02","JAMMU",IF(LEFT(I385,4)="JK09","KUPWARA",IF(LEFT(I385,4)="JK15","BANDIPORA",IF(LEFT(I385,4)="JK17","KISHTWAR",IF(LEFT(I385,4)="LA01","KARGIL",IF(LEFT(I385,1)="T","TEMP","NEW")))))))))))))))))</f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>ROW()-1</f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>ROW()-1</f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16","GANDERBAL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</f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>ROW()-1</f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>IF(LEFT(I388,4)="JK13","PULWAMA",IF(LEFT(I388,4)="JK01","SRINAGAR",IF(LEFT(I388,4)="JK04","BUDGAM",IF(LEFT(I388,4)="JK03","ANANTNAG",IF(LEFT(I388,4)="JK05","BARAMULLA",IF(LEFT(I388,4)="26BH","BHARAT",IF(LEFT(I388,4)="25BH","BHARAT",IF(LEFT(I388,4)="JK12","POONCH",IF(LEFT(I388,4)="JK16","GANDERBAL",IF(LEFT(I388,4)="JK18","KULGAM",IF(LEFT(I388,4)="JK22","SHOPIAN",IF(LEFT(I388,4)="JK02","JAMMU",IF(LEFT(I388,4)="JK09","KUPWARA",IF(LEFT(I388,4)="JK15","BANDIPORA",IF(LEFT(I388,4)="JK17","KISHTWAR",IF(LEFT(I388,4)="LA01","KARGIL",IF(LEFT(I388,1)="T","TEMP","NEW")))))))))))))))))</f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>ROW()-1</f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16","GANDERBAL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)</f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>ROW()-1</f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>IF(LEFT(I390,4)="JK13","PULWAMA",IF(LEFT(I390,4)="JK01","SRINAGAR",IF(LEFT(I390,4)="JK04","BUDGAM",IF(LEFT(I390,4)="JK03","ANANTNAG",IF(LEFT(I390,4)="JK05","BARAMULLA",IF(LEFT(I390,4)="26BH","BHARAT",IF(LEFT(I390,4)="25BH","BHARAT",IF(LEFT(I390,4)="JK12","POONCH",IF(LEFT(I390,4)="JK16","GANDERBAL",IF(LEFT(I390,4)="JK18","KULGAM",IF(LEFT(I390,4)="JK22","SHOPIAN",IF(LEFT(I390,4)="JK02","JAMMU",IF(LEFT(I390,4)="JK09","KUPWARA",IF(LEFT(I390,4)="JK15","BANDIPORA",IF(LEFT(I390,4)="JK17","KISHTWAR",IF(LEFT(I390,4)="LA01","KARGIL",IF(LEFT(I390,1)="T","TEMP","NEW")))))))))))))))))</f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>ROW()-1</f>
        <v>390</v>
      </c>
      <c r="B391" s="43" t="s">
        <v>8105</v>
      </c>
      <c r="C391" s="43" t="s">
        <v>8106</v>
      </c>
      <c r="D391" s="43" t="s">
        <v>8107</v>
      </c>
      <c r="E391" s="43" t="s">
        <v>2303</v>
      </c>
      <c r="F391" s="43" t="s">
        <v>31</v>
      </c>
      <c r="G391" s="43" t="s">
        <v>175</v>
      </c>
      <c r="H391" s="43" t="str">
        <f>IF(LEFT(I391,4)="JK13","PULWAMA",IF(LEFT(I391,4)="JK01","SRINAGAR",IF(LEFT(I391,4)="JK04","BUDGAM",IF(LEFT(I391,4)="JK03","ANANTNAG",IF(LEFT(I391,4)="JK05","BARAMULLA",IF(LEFT(I391,4)="26BH","BHARAT",IF(LEFT(I391,4)="25BH","BHARAT",IF(LEFT(I391,4)="JK12","POONCH",IF(LEFT(I391,4)="JK16","GANDERBAL",IF(LEFT(I391,4)="JK18","KULGAM",IF(LEFT(I391,4)="JK22","SHOPIAN",IF(LEFT(I391,4)="JK02","JAMMU",IF(LEFT(I391,4)="JK09","KUPWARA",IF(LEFT(I391,4)="JK15","BANDIPORA",IF(LEFT(I391,4)="JK17","KISHTWAR",IF(LEFT(I391,4)="LA01","KARGIL",IF(LEFT(I391,1)="T","TEMP","NEW")))))))))))))))))</f>
        <v>POONCH</v>
      </c>
      <c r="I391" s="43" t="s">
        <v>8113</v>
      </c>
      <c r="J391" s="44">
        <v>46028</v>
      </c>
      <c r="K391" s="43">
        <v>9797443009</v>
      </c>
      <c r="L391" s="43" t="s">
        <v>195</v>
      </c>
      <c r="M391" s="45" t="s">
        <v>8224</v>
      </c>
      <c r="N391" s="44">
        <v>46080</v>
      </c>
      <c r="O391" s="43"/>
      <c r="P391" s="46"/>
      <c r="Q391" s="43"/>
      <c r="R391" s="43"/>
    </row>
    <row r="392" spans="1:18" x14ac:dyDescent="0.25">
      <c r="A392" s="43">
        <f>ROW()-1</f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>IF(LEFT(I392,4)="JK13","PULWAMA",IF(LEFT(I392,4)="JK01","SRINAGAR",IF(LEFT(I392,4)="JK04","BUDGAM",IF(LEFT(I392,4)="JK03","ANANTNAG",IF(LEFT(I392,4)="JK05","BARAMULLA",IF(LEFT(I392,4)="26BH","BHARAT",IF(LEFT(I392,4)="25BH","BHARAT",IF(LEFT(I392,4)="JK12","POONCH",IF(LEFT(I392,4)="JK16","GANDERBAL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)</f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 t="s">
        <v>8224</v>
      </c>
      <c r="N392" s="44">
        <v>46080</v>
      </c>
      <c r="O392" s="43"/>
      <c r="P392" s="46"/>
      <c r="Q392" s="43"/>
      <c r="R392" s="43"/>
    </row>
    <row r="393" spans="1:18" x14ac:dyDescent="0.25">
      <c r="A393" s="43">
        <f>ROW()-1</f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>IF(LEFT(I393,4)="JK13","PULWAMA",IF(LEFT(I393,4)="JK01","SRINAGAR",IF(LEFT(I393,4)="JK04","BUDGAM",IF(LEFT(I393,4)="JK03","ANANTNAG",IF(LEFT(I393,4)="JK05","BARAMULLA",IF(LEFT(I393,4)="26BH","BHARAT",IF(LEFT(I393,4)="25BH","BHARAT",IF(LEFT(I393,4)="JK12","POONCH",IF(LEFT(I393,4)="JK16","GANDERBAL",IF(LEFT(I393,4)="JK18","KULGAM",IF(LEFT(I393,4)="JK22","SHOPIAN",IF(LEFT(I393,4)="JK02","JAMMU",IF(LEFT(I393,4)="JK09","KUPWARA",IF(LEFT(I393,4)="JK15","BANDIPORA",IF(LEFT(I393,4)="JK17","KISHTWAR",IF(LEFT(I393,4)="LA01","KARGIL",IF(LEFT(I393,1)="T","TEMP","NEW")))))))))))))))))</f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>ROW()-1</f>
        <v>393</v>
      </c>
      <c r="B394" s="43" t="s">
        <v>8039</v>
      </c>
      <c r="C394" s="43" t="s">
        <v>8037</v>
      </c>
      <c r="D394" s="43" t="s">
        <v>8038</v>
      </c>
      <c r="E394" s="43" t="s">
        <v>556</v>
      </c>
      <c r="F394" s="43" t="s">
        <v>119</v>
      </c>
      <c r="G394" s="43" t="s">
        <v>200</v>
      </c>
      <c r="H394" s="43" t="str">
        <f>IF(LEFT(I394,4)="JK13","PULWAMA",IF(LEFT(I394,4)="JK01","SRINAGAR",IF(LEFT(I394,4)="JK04","BUDGAM",IF(LEFT(I394,4)="JK03","ANANTNAG",IF(LEFT(I394,4)="JK05","BARAMULLA",IF(LEFT(I394,4)="26BH","BHARAT",IF(LEFT(I394,4)="25BH","BHARAT",IF(LEFT(I394,4)="JK12","POONCH",IF(LEFT(I394,4)="JK16","GANDERBAL",IF(LEFT(I394,4)="JK18","KULGAM",IF(LEFT(I394,4)="JK22","SHOPIAN",IF(LEFT(I394,4)="JK02","JAMMU",IF(LEFT(I394,4)="JK09","KUPWARA",IF(LEFT(I394,4)="JK15","BANDIPORA",IF(LEFT(I394,4)="JK17","KISHTWAR",IF(LEFT(I394,4)="LA01","KARGIL",IF(LEFT(I394,1)="T","TEMP","NEW")))))))))))))))))</f>
        <v>PULWAMA</v>
      </c>
      <c r="I394" s="43" t="s">
        <v>8079</v>
      </c>
      <c r="J394" s="44">
        <v>46027</v>
      </c>
      <c r="K394" s="43">
        <v>7780961447</v>
      </c>
      <c r="L394" s="43" t="s">
        <v>6520</v>
      </c>
      <c r="M394" s="45" t="s">
        <v>7713</v>
      </c>
      <c r="N394" s="44">
        <v>46041</v>
      </c>
      <c r="O394" s="43"/>
      <c r="P394" s="46"/>
      <c r="Q394" s="43"/>
      <c r="R394" s="43"/>
    </row>
    <row r="395" spans="1:18" x14ac:dyDescent="0.25">
      <c r="A395" s="43">
        <f>ROW()-1</f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>IF(LEFT(I395,4)="JK13","PULWAMA",IF(LEFT(I395,4)="JK01","SRINAGAR",IF(LEFT(I395,4)="JK04","BUDGAM",IF(LEFT(I395,4)="JK03","ANANTNAG",IF(LEFT(I395,4)="JK05","BARAMULLA",IF(LEFT(I395,4)="26BH","BHARAT",IF(LEFT(I395,4)="25BH","BHARAT",IF(LEFT(I395,4)="JK12","POONCH",IF(LEFT(I395,4)="JK16","GANDERBAL",IF(LEFT(I395,4)="JK18","KULGAM",IF(LEFT(I395,4)="JK22","SHOPIAN",IF(LEFT(I395,4)="JK02","JAMMU",IF(LEFT(I395,4)="JK09","KUPWARA",IF(LEFT(I395,4)="JK15","BANDIPORA",IF(LEFT(I395,4)="JK17","KISHTWAR",IF(LEFT(I395,4)="LA01","KARGIL",IF(LEFT(I395,1)="T","TEMP","NEW")))))))))))))))))</f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>ROW()-1</f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>IF(LEFT(I396,4)="JK13","PULWAMA",IF(LEFT(I396,4)="JK01","SRINAGAR",IF(LEFT(I396,4)="JK04","BUDGAM",IF(LEFT(I396,4)="JK03","ANANTNAG",IF(LEFT(I396,4)="JK05","BARAMULLA",IF(LEFT(I396,4)="26BH","BHARAT",IF(LEFT(I396,4)="25BH","BHARAT",IF(LEFT(I396,4)="JK12","POONCH",IF(LEFT(I396,4)="JK16","GANDERBAL",IF(LEFT(I396,4)="JK18","KULGAM",IF(LEFT(I396,4)="JK22","SHOPIAN",IF(LEFT(I396,4)="JK02","JAMMU",IF(LEFT(I396,4)="JK09","KUPWARA",IF(LEFT(I396,4)="JK15","BANDIPORA",IF(LEFT(I396,4)="JK17","KISHTWAR",IF(LEFT(I396,4)="LA01","KARGIL",IF(LEFT(I396,1)="T","TEMP","NEW")))))))))))))))))</f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>ROW()-1</f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>IF(LEFT(I397,4)="JK13","PULWAMA",IF(LEFT(I397,4)="JK01","SRINAGAR",IF(LEFT(I397,4)="JK04","BUDGAM",IF(LEFT(I397,4)="JK03","ANANTNAG",IF(LEFT(I397,4)="JK05","BARAMULLA",IF(LEFT(I397,4)="26BH","BHARAT",IF(LEFT(I397,4)="25BH","BHARAT",IF(LEFT(I397,4)="JK12","POONCH",IF(LEFT(I397,4)="JK16","GANDERBAL",IF(LEFT(I397,4)="JK18","KULGAM",IF(LEFT(I397,4)="JK22","SHOPIAN",IF(LEFT(I397,4)="JK02","JAMMU",IF(LEFT(I397,4)="JK09","KUPWARA",IF(LEFT(I397,4)="JK15","BANDIPORA",IF(LEFT(I397,4)="JK17","KISHTWAR",IF(LEFT(I397,4)="LA01","KARGIL",IF(LEFT(I397,1)="T","TEMP","NEW")))))))))))))))))</f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>ROW()-1</f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>IF(LEFT(I398,4)="JK13","PULWAMA",IF(LEFT(I398,4)="JK01","SRINAGAR",IF(LEFT(I398,4)="JK04","BUDGAM",IF(LEFT(I398,4)="JK03","ANANTNAG",IF(LEFT(I398,4)="JK05","BARAMULLA",IF(LEFT(I398,4)="26BH","BHARAT",IF(LEFT(I398,4)="25BH","BHARAT",IF(LEFT(I398,4)="JK12","POONCH",IF(LEFT(I398,4)="JK16","GANDERBAL",IF(LEFT(I398,4)="JK18","KULGAM",IF(LEFT(I398,4)="JK22","SHOPIAN",IF(LEFT(I398,4)="JK02","JAMMU",IF(LEFT(I398,4)="JK09","KUPWARA",IF(LEFT(I398,4)="JK15","BANDIPORA",IF(LEFT(I398,4)="JK17","KISHTWAR",IF(LEFT(I398,4)="LA01","KARGIL",IF(LEFT(I398,1)="T","TEMP","NEW")))))))))))))))))</f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>ROW()-1</f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>IF(LEFT(I399,4)="JK13","PULWAMA",IF(LEFT(I399,4)="JK01","SRINAGAR",IF(LEFT(I399,4)="JK04","BUDGAM",IF(LEFT(I399,4)="JK03","ANANTNAG",IF(LEFT(I399,4)="JK05","BARAMULLA",IF(LEFT(I399,4)="26BH","BHARAT",IF(LEFT(I399,4)="25BH","BHARAT",IF(LEFT(I399,4)="JK12","POONCH",IF(LEFT(I399,4)="JK16","GANDERBAL",IF(LEFT(I399,4)="JK18","KULGAM",IF(LEFT(I399,4)="JK22","SHOPIAN",IF(LEFT(I399,4)="JK02","JAMMU",IF(LEFT(I399,4)="JK09","KUPWARA",IF(LEFT(I399,4)="JK15","BANDIPORA",IF(LEFT(I399,4)="JK17","KISHTWAR",IF(LEFT(I399,4)="LA01","KARGIL",IF(LEFT(I399,1)="T","TEMP","NEW")))))))))))))))))</f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>ROW()-1</f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>IF(LEFT(I400,4)="JK13","PULWAMA",IF(LEFT(I400,4)="JK01","SRINAGAR",IF(LEFT(I400,4)="JK04","BUDGAM",IF(LEFT(I400,4)="JK03","ANANTNAG",IF(LEFT(I400,4)="JK05","BARAMULLA",IF(LEFT(I400,4)="26BH","BHARAT",IF(LEFT(I400,4)="25BH","BHARAT",IF(LEFT(I400,4)="JK12","POONCH",IF(LEFT(I400,4)="JK16","GANDERBAL",IF(LEFT(I400,4)="JK18","KULGAM",IF(LEFT(I400,4)="JK22","SHOPIAN",IF(LEFT(I400,4)="JK02","JAMMU",IF(LEFT(I400,4)="JK09","KUPWARA",IF(LEFT(I400,4)="JK15","BANDIPORA",IF(LEFT(I400,4)="JK17","KISHTWAR",IF(LEFT(I400,4)="LA01","KARGIL",IF(LEFT(I400,1)="T","TEMP","NEW")))))))))))))))))</f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>ROW()-1</f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>IF(LEFT(I401,4)="JK13","PULWAMA",IF(LEFT(I401,4)="JK01","SRINAGAR",IF(LEFT(I401,4)="JK04","BUDGAM",IF(LEFT(I401,4)="JK03","ANANTNAG",IF(LEFT(I401,4)="JK05","BARAMULLA",IF(LEFT(I401,4)="26BH","BHARAT",IF(LEFT(I401,4)="25BH","BHARAT",IF(LEFT(I401,4)="JK12","POONCH",IF(LEFT(I401,4)="JK16","GANDERBAL",IF(LEFT(I401,4)="JK18","KULGAM",IF(LEFT(I401,4)="JK22","SHOPIAN",IF(LEFT(I401,4)="JK02","JAMMU",IF(LEFT(I401,4)="JK09","KUPWARA",IF(LEFT(I401,4)="JK15","BANDIPORA",IF(LEFT(I401,4)="JK17","KISHTWAR",IF(LEFT(I401,4)="LA01","KARGIL",IF(LEFT(I401,1)="T","TEMP","NEW")))))))))))))))))</f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>ROW()-1</f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>IF(LEFT(I402,4)="JK13","PULWAMA",IF(LEFT(I402,4)="JK01","SRINAGAR",IF(LEFT(I402,4)="JK04","BUDGAM",IF(LEFT(I402,4)="JK03","ANANTNAG",IF(LEFT(I402,4)="JK05","BARAMULLA",IF(LEFT(I402,4)="26BH","BHARAT",IF(LEFT(I402,4)="25BH","BHARAT",IF(LEFT(I402,4)="JK12","POONCH",IF(LEFT(I402,4)="JK16","GANDERBAL",IF(LEFT(I402,4)="JK18","KULGAM",IF(LEFT(I402,4)="JK22","SHOPIAN",IF(LEFT(I402,4)="JK02","JAMMU",IF(LEFT(I402,4)="JK09","KUPWARA",IF(LEFT(I402,4)="JK15","BANDIPORA",IF(LEFT(I402,4)="JK17","KISHTWAR",IF(LEFT(I402,4)="LA01","KARGIL",IF(LEFT(I402,1)="T","TEMP","NEW")))))))))))))))))</f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>ROW()-1</f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>IF(LEFT(I403,4)="JK13","PULWAMA",IF(LEFT(I403,4)="JK01","SRINAGAR",IF(LEFT(I403,4)="JK04","BUDGAM",IF(LEFT(I403,4)="JK03","ANANTNAG",IF(LEFT(I403,4)="JK05","BARAMULLA",IF(LEFT(I403,4)="26BH","BHARAT",IF(LEFT(I403,4)="25BH","BHARAT",IF(LEFT(I403,4)="JK12","POONCH",IF(LEFT(I403,4)="JK16","GANDERBAL",IF(LEFT(I403,4)="JK18","KULGAM",IF(LEFT(I403,4)="JK22","SHOPIAN",IF(LEFT(I403,4)="JK02","JAMMU",IF(LEFT(I403,4)="JK09","KUPWARA",IF(LEFT(I403,4)="JK15","BANDIPORA",IF(LEFT(I403,4)="JK17","KISHTWAR",IF(LEFT(I403,4)="LA01","KARGIL",IF(LEFT(I403,1)="T","TEMP","NEW")))))))))))))))))</f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>ROW()-1</f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>IF(LEFT(I404,4)="JK13","PULWAMA",IF(LEFT(I404,4)="JK01","SRINAGAR",IF(LEFT(I404,4)="JK04","BUDGAM",IF(LEFT(I404,4)="JK03","ANANTNAG",IF(LEFT(I404,4)="JK05","BARAMULLA",IF(LEFT(I404,4)="26BH","BHARAT",IF(LEFT(I404,4)="25BH","BHARAT",IF(LEFT(I404,4)="JK12","POONCH",IF(LEFT(I404,4)="JK16","GANDERBAL",IF(LEFT(I404,4)="JK18","KULGAM",IF(LEFT(I404,4)="JK22","SHOPIAN",IF(LEFT(I404,4)="JK02","JAMMU",IF(LEFT(I404,4)="JK09","KUPWARA",IF(LEFT(I404,4)="JK15","BANDIPORA",IF(LEFT(I404,4)="JK17","KISHTWAR",IF(LEFT(I404,4)="LA01","KARGIL",IF(LEFT(I404,1)="T","TEMP","NEW")))))))))))))))))</f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>ROW()-1</f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>IF(LEFT(I405,4)="JK13","PULWAMA",IF(LEFT(I405,4)="JK01","SRINAGAR",IF(LEFT(I405,4)="JK04","BUDGAM",IF(LEFT(I405,4)="JK03","ANANTNAG",IF(LEFT(I405,4)="JK05","BARAMULLA",IF(LEFT(I405,4)="26BH","BHARAT",IF(LEFT(I405,4)="25BH","BHARAT",IF(LEFT(I405,4)="JK12","POONCH",IF(LEFT(I405,4)="JK16","GANDERBAL",IF(LEFT(I405,4)="JK18","KULGAM",IF(LEFT(I405,4)="JK22","SHOPIAN",IF(LEFT(I405,4)="JK02","JAMMU",IF(LEFT(I405,4)="JK09","KUPWARA",IF(LEFT(I405,4)="JK15","BANDIPORA",IF(LEFT(I405,4)="JK17","KISHTWAR",IF(LEFT(I405,4)="LA01","KARGIL",IF(LEFT(I405,1)="T","TEMP","NEW")))))))))))))))))</f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>ROW()-1</f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>IF(LEFT(I406,4)="JK13","PULWAMA",IF(LEFT(I406,4)="JK01","SRINAGAR",IF(LEFT(I406,4)="JK04","BUDGAM",IF(LEFT(I406,4)="JK03","ANANTNAG",IF(LEFT(I406,4)="JK05","BARAMULLA",IF(LEFT(I406,4)="26BH","BHARAT",IF(LEFT(I406,4)="25BH","BHARAT",IF(LEFT(I406,4)="JK12","POONCH",IF(LEFT(I406,4)="JK16","GANDERBAL",IF(LEFT(I406,4)="JK18","KULGAM",IF(LEFT(I406,4)="JK22","SHOPIAN",IF(LEFT(I406,4)="JK02","JAMMU",IF(LEFT(I406,4)="JK09","KUPWARA",IF(LEFT(I406,4)="JK15","BANDIPORA",IF(LEFT(I406,4)="JK17","KISHTWAR",IF(LEFT(I406,4)="LA01","KARGIL",IF(LEFT(I406,1)="T","TEMP","NEW")))))))))))))))))</f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>ROW()-1</f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>IF(LEFT(I407,4)="JK13","PULWAMA",IF(LEFT(I407,4)="JK01","SRINAGAR",IF(LEFT(I407,4)="JK04","BUDGAM",IF(LEFT(I407,4)="JK03","ANANTNAG",IF(LEFT(I407,4)="JK05","BARAMULLA",IF(LEFT(I407,4)="26BH","BHARAT",IF(LEFT(I407,4)="25BH","BHARAT",IF(LEFT(I407,4)="JK12","POONCH",IF(LEFT(I407,4)="JK16","GANDERBAL",IF(LEFT(I407,4)="JK18","KULGAM",IF(LEFT(I407,4)="JK22","SHOPIAN",IF(LEFT(I407,4)="JK02","JAMMU",IF(LEFT(I407,4)="JK09","KUPWARA",IF(LEFT(I407,4)="JK15","BANDIPORA",IF(LEFT(I407,4)="JK17","KISHTWAR",IF(LEFT(I407,4)="LA01","KARGIL",IF(LEFT(I407,1)="T","TEMP","NEW")))))))))))))))))</f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>ROW()-1</f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>IF(LEFT(I408,4)="JK13","PULWAMA",IF(LEFT(I408,4)="JK01","SRINAGAR",IF(LEFT(I408,4)="JK04","BUDGAM",IF(LEFT(I408,4)="JK03","ANANTNAG",IF(LEFT(I408,4)="JK05","BARAMULLA",IF(LEFT(I408,4)="26BH","BHARAT",IF(LEFT(I408,4)="25BH","BHARAT",IF(LEFT(I408,4)="JK12","POONCH",IF(LEFT(I408,4)="JK16","GANDERBAL",IF(LEFT(I408,4)="JK18","KULGAM",IF(LEFT(I408,4)="JK22","SHOPIAN",IF(LEFT(I408,4)="JK02","JAMMU",IF(LEFT(I408,4)="JK09","KUPWARA",IF(LEFT(I408,4)="JK15","BANDIPORA",IF(LEFT(I408,4)="JK17","KISHTWAR",IF(LEFT(I408,4)="LA01","KARGIL",IF(LEFT(I408,1)="T","TEMP","NEW")))))))))))))))))</f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>ROW()-1</f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>IF(LEFT(I409,4)="JK13","PULWAMA",IF(LEFT(I409,4)="JK01","SRINAGAR",IF(LEFT(I409,4)="JK04","BUDGAM",IF(LEFT(I409,4)="JK03","ANANTNAG",IF(LEFT(I409,4)="JK05","BARAMULLA",IF(LEFT(I409,4)="26BH","BHARAT",IF(LEFT(I409,4)="25BH","BHARAT",IF(LEFT(I409,4)="JK12","POONCH",IF(LEFT(I409,4)="JK16","GANDERBAL",IF(LEFT(I409,4)="JK18","KULGAM",IF(LEFT(I409,4)="JK22","SHOPIAN",IF(LEFT(I409,4)="JK02","JAMMU",IF(LEFT(I409,4)="JK09","KUPWARA",IF(LEFT(I409,4)="JK15","BANDIPORA",IF(LEFT(I409,4)="JK17","KISHTWAR",IF(LEFT(I409,4)="LA01","KARGIL",IF(LEFT(I409,1)="T","TEMP","NEW")))))))))))))))))</f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>ROW()-1</f>
        <v>409</v>
      </c>
      <c r="B410" s="43" t="s">
        <v>8056</v>
      </c>
      <c r="C410" s="43" t="s">
        <v>8053</v>
      </c>
      <c r="D410" s="43" t="s">
        <v>8054</v>
      </c>
      <c r="E410" s="43" t="s">
        <v>8055</v>
      </c>
      <c r="F410" s="43" t="s">
        <v>12</v>
      </c>
      <c r="G410" s="43" t="s">
        <v>200</v>
      </c>
      <c r="H410" s="43" t="str">
        <f>IF(LEFT(I410,4)="JK13","PULWAMA",IF(LEFT(I410,4)="JK01","SRINAGAR",IF(LEFT(I410,4)="JK04","BUDGAM",IF(LEFT(I410,4)="JK03","ANANTNAG",IF(LEFT(I410,4)="JK05","BARAMULLA",IF(LEFT(I410,4)="26BH","BHARAT",IF(LEFT(I410,4)="25BH","BHARAT",IF(LEFT(I410,4)="JK12","POONCH",IF(LEFT(I410,4)="JK16","GANDERBAL",IF(LEFT(I410,4)="JK18","KULGAM",IF(LEFT(I410,4)="JK22","SHOPIAN",IF(LEFT(I410,4)="JK02","JAMMU",IF(LEFT(I410,4)="JK09","KUPWARA",IF(LEFT(I410,4)="JK15","BANDIPORA",IF(LEFT(I410,4)="JK17","KISHTWAR",IF(LEFT(I410,4)="LA01","KARGIL",IF(LEFT(I410,1)="T","TEMP","NEW")))))))))))))))))</f>
        <v>PULWAMA</v>
      </c>
      <c r="I410" s="43" t="s">
        <v>8080</v>
      </c>
      <c r="J410" s="44">
        <v>46027</v>
      </c>
      <c r="K410" s="43">
        <v>7298487838</v>
      </c>
      <c r="L410" s="43" t="s">
        <v>6520</v>
      </c>
      <c r="M410" s="45" t="s">
        <v>7713</v>
      </c>
      <c r="N410" s="44">
        <v>46050</v>
      </c>
      <c r="O410" s="43"/>
      <c r="P410" s="46"/>
      <c r="Q410" s="43"/>
      <c r="R410" s="43"/>
    </row>
    <row r="411" spans="1:18" x14ac:dyDescent="0.25">
      <c r="A411" s="43">
        <f>ROW()-1</f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>IF(LEFT(I411,4)="JK13","PULWAMA",IF(LEFT(I411,4)="JK01","SRINAGAR",IF(LEFT(I411,4)="JK04","BUDGAM",IF(LEFT(I411,4)="JK03","ANANTNAG",IF(LEFT(I411,4)="JK05","BARAMULLA",IF(LEFT(I411,4)="26BH","BHARAT",IF(LEFT(I411,4)="25BH","BHARAT",IF(LEFT(I411,4)="JK12","POONCH",IF(LEFT(I411,4)="JK16","GANDERBAL",IF(LEFT(I411,4)="JK18","KULGAM",IF(LEFT(I411,4)="JK22","SHOPIAN",IF(LEFT(I411,4)="JK02","JAMMU",IF(LEFT(I411,4)="JK09","KUPWARA",IF(LEFT(I411,4)="JK15","BANDIPORA",IF(LEFT(I411,4)="JK17","KISHTWAR",IF(LEFT(I411,4)="LA01","KARGIL",IF(LEFT(I411,1)="T","TEMP","NEW")))))))))))))))))</f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>ROW()-1</f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>IF(LEFT(I412,4)="JK13","PULWAMA",IF(LEFT(I412,4)="JK01","SRINAGAR",IF(LEFT(I412,4)="JK04","BUDGAM",IF(LEFT(I412,4)="JK03","ANANTNAG",IF(LEFT(I412,4)="JK05","BARAMULLA",IF(LEFT(I412,4)="26BH","BHARAT",IF(LEFT(I412,4)="25BH","BHARAT",IF(LEFT(I412,4)="JK12","POONCH",IF(LEFT(I412,4)="JK16","GANDERBAL",IF(LEFT(I412,4)="JK18","KULGAM",IF(LEFT(I412,4)="JK22","SHOPIAN",IF(LEFT(I412,4)="JK02","JAMMU",IF(LEFT(I412,4)="JK09","KUPWARA",IF(LEFT(I412,4)="JK15","BANDIPORA",IF(LEFT(I412,4)="JK17","KISHTWAR",IF(LEFT(I412,4)="LA01","KARGIL",IF(LEFT(I412,1)="T","TEMP","NEW")))))))))))))))))</f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 t="s">
        <v>9042</v>
      </c>
      <c r="N412" s="44">
        <v>46078</v>
      </c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>ROW()-1</f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>IF(LEFT(I413,4)="JK13","PULWAMA",IF(LEFT(I413,4)="JK01","SRINAGAR",IF(LEFT(I413,4)="JK04","BUDGAM",IF(LEFT(I413,4)="JK03","ANANTNAG",IF(LEFT(I413,4)="JK05","BARAMULLA",IF(LEFT(I413,4)="26BH","BHARAT",IF(LEFT(I413,4)="25BH","BHARAT",IF(LEFT(I413,4)="JK12","POONCH",IF(LEFT(I413,4)="JK16","GANDERBAL",IF(LEFT(I413,4)="JK18","KULGAM",IF(LEFT(I413,4)="JK22","SHOPIAN",IF(LEFT(I413,4)="JK02","JAMMU",IF(LEFT(I413,4)="JK09","KUPWARA",IF(LEFT(I413,4)="JK15","BANDIPORA",IF(LEFT(I413,4)="JK17","KISHTWAR",IF(LEFT(I413,4)="LA01","KARGIL",IF(LEFT(I413,1)="T","TEMP","NEW")))))))))))))))))</f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>ROW()-1</f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>ROW()-1</f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>IF(LEFT(I415,4)="JK13","PULWAMA",IF(LEFT(I415,4)="JK01","SRINAGAR",IF(LEFT(I415,4)="JK04","BUDGAM",IF(LEFT(I415,4)="JK03","ANANTNAG",IF(LEFT(I415,4)="JK05","BARAMULLA",IF(LEFT(I415,4)="26BH","BHARAT",IF(LEFT(I415,4)="25BH","BHARAT",IF(LEFT(I415,4)="JK12","POONCH",IF(LEFT(I415,4)="JK16","GANDERBAL",IF(LEFT(I415,4)="JK18","KULGAM",IF(LEFT(I415,4)="JK22","SHOPIAN",IF(LEFT(I415,4)="JK02","JAMMU",IF(LEFT(I415,4)="JK09","KUPWARA",IF(LEFT(I415,4)="JK15","BANDIPORA",IF(LEFT(I415,4)="JK17","KISHTWAR",IF(LEFT(I415,4)="LA01","KARGIL",IF(LEFT(I415,1)="T","TEMP","NEW")))))))))))))))))</f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>ROW()-1</f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>IF(LEFT(I416,4)="JK13","PULWAMA",IF(LEFT(I416,4)="JK01","SRINAGAR",IF(LEFT(I416,4)="JK04","BUDGAM",IF(LEFT(I416,4)="JK03","ANANTNAG",IF(LEFT(I416,4)="JK05","BARAMULLA",IF(LEFT(I416,4)="26BH","BHARAT",IF(LEFT(I416,4)="25BH","BHARAT",IF(LEFT(I416,4)="JK12","POONCH",IF(LEFT(I416,4)="JK16","GANDERBAL",IF(LEFT(I416,4)="JK18","KULGAM",IF(LEFT(I416,4)="JK22","SHOPIAN",IF(LEFT(I416,4)="JK02","JAMMU",IF(LEFT(I416,4)="JK09","KUPWARA",IF(LEFT(I416,4)="JK15","BANDIPORA",IF(LEFT(I416,4)="JK17","KISHTWAR",IF(LEFT(I416,4)="LA01","KARGIL",IF(LEFT(I416,1)="T","TEMP","NEW")))))))))))))))))</f>
        <v>BARAMULLA</v>
      </c>
      <c r="I416" s="43" t="s">
        <v>8485</v>
      </c>
      <c r="J416" s="44">
        <v>46052</v>
      </c>
      <c r="K416" s="43">
        <v>7006407965</v>
      </c>
      <c r="L416" s="43" t="s">
        <v>8960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>ROW()-1</f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>IF(LEFT(I417,4)="JK13","PULWAMA",IF(LEFT(I417,4)="JK01","SRINAGAR",IF(LEFT(I417,4)="JK04","BUDGAM",IF(LEFT(I417,4)="JK03","ANANTNAG",IF(LEFT(I417,4)="JK05","BARAMULLA",IF(LEFT(I417,4)="26BH","BHARAT",IF(LEFT(I417,4)="25BH","BHARAT",IF(LEFT(I417,4)="JK12","POONCH",IF(LEFT(I417,4)="JK16","GANDERBAL",IF(LEFT(I417,4)="JK18","KULGAM",IF(LEFT(I417,4)="JK22","SHOPIAN",IF(LEFT(I417,4)="JK02","JAMMU",IF(LEFT(I417,4)="JK09","KUPWARA",IF(LEFT(I417,4)="JK15","BANDIPORA",IF(LEFT(I417,4)="JK17","KISHTWAR",IF(LEFT(I417,4)="LA01","KARGIL",IF(LEFT(I417,1)="T","TEMP","NEW")))))))))))))))))</f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>ROW()-1</f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>IF(LEFT(I418,4)="JK13","PULWAMA",IF(LEFT(I418,4)="JK01","SRINAGAR",IF(LEFT(I418,4)="JK04","BUDGAM",IF(LEFT(I418,4)="JK03","ANANTNAG",IF(LEFT(I418,4)="JK05","BARAMULLA",IF(LEFT(I418,4)="26BH","BHARAT",IF(LEFT(I418,4)="25BH","BHARAT",IF(LEFT(I418,4)="JK12","POONCH",IF(LEFT(I418,4)="JK16","GANDERBAL",IF(LEFT(I418,4)="JK18","KULGAM",IF(LEFT(I418,4)="JK22","SHOPIAN",IF(LEFT(I418,4)="JK02","JAMMU",IF(LEFT(I418,4)="JK09","KUPWARA",IF(LEFT(I418,4)="JK15","BANDIPORA",IF(LEFT(I418,4)="JK17","KISHTWAR",IF(LEFT(I418,4)="LA01","KARGIL",IF(LEFT(I418,1)="T","TEMP","NEW")))))))))))))))))</f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>ROW()-1</f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>IF(LEFT(I419,4)="JK13","PULWAMA",IF(LEFT(I419,4)="JK01","SRINAGAR",IF(LEFT(I419,4)="JK04","BUDGAM",IF(LEFT(I419,4)="JK03","ANANTNAG",IF(LEFT(I419,4)="JK05","BARAMULLA",IF(LEFT(I419,4)="26BH","BHARAT",IF(LEFT(I419,4)="25BH","BHARAT",IF(LEFT(I419,4)="JK12","POONCH",IF(LEFT(I419,4)="JK16","GANDERBAL",IF(LEFT(I419,4)="JK18","KULGAM",IF(LEFT(I419,4)="JK22","SHOPIAN",IF(LEFT(I419,4)="JK02","JAMMU",IF(LEFT(I419,4)="JK09","KUPWARA",IF(LEFT(I419,4)="JK15","BANDIPORA",IF(LEFT(I419,4)="JK17","KISHTWAR",IF(LEFT(I419,4)="LA01","KARGIL",IF(LEFT(I419,1)="T","TEMP","NEW")))))))))))))))))</f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>ROW()-1</f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>IF(LEFT(I420,4)="JK13","PULWAMA",IF(LEFT(I420,4)="JK01","SRINAGAR",IF(LEFT(I420,4)="JK04","BUDGAM",IF(LEFT(I420,4)="JK03","ANANTNAG",IF(LEFT(I420,4)="JK05","BARAMULLA",IF(LEFT(I420,4)="26BH","BHARAT",IF(LEFT(I420,4)="25BH","BHARAT",IF(LEFT(I420,4)="JK12","POONCH",IF(LEFT(I420,4)="JK16","GANDERBAL",IF(LEFT(I420,4)="JK18","KULGAM",IF(LEFT(I420,4)="JK22","SHOPIAN",IF(LEFT(I420,4)="JK02","JAMMU",IF(LEFT(I420,4)="JK09","KUPWARA",IF(LEFT(I420,4)="JK15","BANDIPORA",IF(LEFT(I420,4)="JK17","KISHTWAR",IF(LEFT(I420,4)="LA01","KARGIL",IF(LEFT(I420,1)="T","TEMP","NEW")))))))))))))))))</f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>ROW()-1</f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>IF(LEFT(I421,4)="JK13","PULWAMA",IF(LEFT(I421,4)="JK01","SRINAGAR",IF(LEFT(I421,4)="JK04","BUDGAM",IF(LEFT(I421,4)="JK03","ANANTNAG",IF(LEFT(I421,4)="JK05","BARAMULLA",IF(LEFT(I421,4)="26BH","BHARAT",IF(LEFT(I421,4)="25BH","BHARAT",IF(LEFT(I421,4)="JK12","POONCH",IF(LEFT(I421,4)="JK16","GANDERBAL",IF(LEFT(I421,4)="JK18","KULGAM",IF(LEFT(I421,4)="JK22","SHOPIAN",IF(LEFT(I421,4)="JK02","JAMMU",IF(LEFT(I421,4)="JK09","KUPWARA",IF(LEFT(I421,4)="JK15","BANDIPORA",IF(LEFT(I421,4)="JK17","KISHTWAR",IF(LEFT(I421,4)="LA01","KARGIL",IF(LEFT(I421,1)="T","TEMP","NEW")))))))))))))))))</f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>ROW()-1</f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>IF(LEFT(I422,4)="JK13","PULWAMA",IF(LEFT(I422,4)="JK01","SRINAGAR",IF(LEFT(I422,4)="JK04","BUDGAM",IF(LEFT(I422,4)="JK03","ANANTNAG",IF(LEFT(I422,4)="JK05","BARAMULLA",IF(LEFT(I422,4)="26BH","BHARAT",IF(LEFT(I422,4)="25BH","BHARAT",IF(LEFT(I422,4)="JK12","POONCH",IF(LEFT(I422,4)="JK16","GANDERBAL",IF(LEFT(I422,4)="JK18","KULGAM",IF(LEFT(I422,4)="JK22","SHOPIAN",IF(LEFT(I422,4)="JK02","JAMMU",IF(LEFT(I422,4)="JK09","KUPWARA",IF(LEFT(I422,4)="JK15","BANDIPORA",IF(LEFT(I422,4)="JK17","KISHTWAR",IF(LEFT(I422,4)="LA01","KARGIL",IF(LEFT(I422,1)="T","TEMP","NEW")))))))))))))))))</f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>ROW()-1</f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>IF(LEFT(I423,4)="JK13","PULWAMA",IF(LEFT(I423,4)="JK01","SRINAGAR",IF(LEFT(I423,4)="JK04","BUDGAM",IF(LEFT(I423,4)="JK03","ANANTNAG",IF(LEFT(I423,4)="JK05","BARAMULLA",IF(LEFT(I423,4)="26BH","BHARAT",IF(LEFT(I423,4)="25BH","BHARAT",IF(LEFT(I423,4)="JK12","POONCH",IF(LEFT(I423,4)="JK16","GANDERBAL",IF(LEFT(I423,4)="JK18","KULGAM",IF(LEFT(I423,4)="JK22","SHOPIAN",IF(LEFT(I423,4)="JK02","JAMMU",IF(LEFT(I423,4)="JK09","KUPWARA",IF(LEFT(I423,4)="JK15","BANDIPORA",IF(LEFT(I423,4)="JK17","KISHTWAR",IF(LEFT(I423,4)="LA01","KARGIL",IF(LEFT(I423,1)="T","TEMP","NEW")))))))))))))))))</f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>ROW()-1</f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>IF(LEFT(I424,4)="JK13","PULWAMA",IF(LEFT(I424,4)="JK01","SRINAGAR",IF(LEFT(I424,4)="JK04","BUDGAM",IF(LEFT(I424,4)="JK03","ANANTNAG",IF(LEFT(I424,4)="JK05","BARAMULLA",IF(LEFT(I424,4)="26BH","BHARAT",IF(LEFT(I424,4)="25BH","BHARAT",IF(LEFT(I424,4)="JK12","POONCH",IF(LEFT(I424,4)="JK16","GANDERBAL",IF(LEFT(I424,4)="JK18","KULGAM",IF(LEFT(I424,4)="JK22","SHOPIAN",IF(LEFT(I424,4)="JK02","JAMMU",IF(LEFT(I424,4)="JK09","KUPWARA",IF(LEFT(I424,4)="JK15","BANDIPORA",IF(LEFT(I424,4)="JK17","KISHTWAR",IF(LEFT(I424,4)="LA01","KARGIL",IF(LEFT(I424,1)="T","TEMP","NEW")))))))))))))))))</f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>ROW()-1</f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>IF(LEFT(I425,4)="JK13","PULWAMA",IF(LEFT(I425,4)="JK01","SRINAGAR",IF(LEFT(I425,4)="JK04","BUDGAM",IF(LEFT(I425,4)="JK03","ANANTNAG",IF(LEFT(I425,4)="JK05","BARAMULLA",IF(LEFT(I425,4)="26BH","BHARAT",IF(LEFT(I425,4)="25BH","BHARAT",IF(LEFT(I425,4)="JK12","POONCH",IF(LEFT(I425,4)="JK16","GANDERBAL",IF(LEFT(I425,4)="JK18","KULGAM",IF(LEFT(I425,4)="JK22","SHOPIAN",IF(LEFT(I425,4)="JK02","JAMMU",IF(LEFT(I425,4)="JK09","KUPWARA",IF(LEFT(I425,4)="JK15","BANDIPORA",IF(LEFT(I425,4)="JK17","KISHTWAR",IF(LEFT(I425,4)="LA01","KARGIL",IF(LEFT(I425,1)="T","TEMP","NEW")))))))))))))))))</f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>ROW()-1</f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>IF(LEFT(I426,4)="JK13","PULWAMA",IF(LEFT(I426,4)="JK01","SRINAGAR",IF(LEFT(I426,4)="JK04","BUDGAM",IF(LEFT(I426,4)="JK03","ANANTNAG",IF(LEFT(I426,4)="JK05","BARAMULLA",IF(LEFT(I426,4)="26BH","BHARAT",IF(LEFT(I426,4)="25BH","BHARAT",IF(LEFT(I426,4)="JK12","POONCH",IF(LEFT(I426,4)="JK16","GANDERBAL",IF(LEFT(I426,4)="JK18","KULGAM",IF(LEFT(I426,4)="JK22","SHOPIAN",IF(LEFT(I426,4)="JK02","JAMMU",IF(LEFT(I426,4)="JK09","KUPWARA",IF(LEFT(I426,4)="JK15","BANDIPORA",IF(LEFT(I426,4)="JK17","KISHTWAR",IF(LEFT(I426,4)="LA01","KARGIL",IF(LEFT(I426,1)="T","TEMP","NEW")))))))))))))))))</f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>ROW()-1</f>
        <v>426</v>
      </c>
      <c r="B427" s="43" t="s">
        <v>7046</v>
      </c>
      <c r="C427" s="43" t="s">
        <v>7047</v>
      </c>
      <c r="D427" s="43" t="s">
        <v>7048</v>
      </c>
      <c r="E427" s="43" t="s">
        <v>7049</v>
      </c>
      <c r="F427" s="43" t="s">
        <v>31</v>
      </c>
      <c r="G427" s="43" t="s">
        <v>221</v>
      </c>
      <c r="H427" s="43" t="str">
        <f>IF(LEFT(I427,4)="JK13","PULWAMA",IF(LEFT(I427,4)="JK01","SRINAGAR",IF(LEFT(I427,4)="JK04","BUDGAM",IF(LEFT(I427,4)="JK03","ANANTNAG",IF(LEFT(I427,4)="JK05","BARAMULLA",IF(LEFT(I427,4)="26BH","BHARAT",IF(LEFT(I427,4)="25BH","BHARAT",IF(LEFT(I427,4)="JK12","POONCH",IF(LEFT(I427,4)="JK16","GANDERBAL",IF(LEFT(I427,4)="JK18","KULGAM",IF(LEFT(I427,4)="JK22","SHOPIAN",IF(LEFT(I427,4)="JK02","JAMMU",IF(LEFT(I427,4)="JK09","KUPWARA",IF(LEFT(I427,4)="JK15","BANDIPORA",IF(LEFT(I427,4)="JK17","KISHTWAR",IF(LEFT(I427,4)="LA01","KARGIL",IF(LEFT(I427,1)="T","TEMP","NEW")))))))))))))))))</f>
        <v>SRINAGAR</v>
      </c>
      <c r="I427" s="43" t="s">
        <v>7059</v>
      </c>
      <c r="J427" s="44">
        <v>46003</v>
      </c>
      <c r="K427" s="43">
        <v>7006646319</v>
      </c>
      <c r="L427" s="43" t="s">
        <v>6520</v>
      </c>
      <c r="M427" s="45" t="s">
        <v>7260</v>
      </c>
      <c r="N427" s="44">
        <v>46009</v>
      </c>
      <c r="O427" s="43" t="s">
        <v>23</v>
      </c>
      <c r="P427" s="46">
        <v>46009</v>
      </c>
      <c r="Q427" s="43" t="s">
        <v>6459</v>
      </c>
      <c r="R427" s="43"/>
    </row>
    <row r="428" spans="1:18" x14ac:dyDescent="0.25">
      <c r="A428" s="43">
        <f>ROW()-1</f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>IF(LEFT(I428,4)="JK13","PULWAMA",IF(LEFT(I428,4)="JK01","SRINAGAR",IF(LEFT(I428,4)="JK04","BUDGAM",IF(LEFT(I428,4)="JK03","ANANTNAG",IF(LEFT(I428,4)="JK05","BARAMULLA",IF(LEFT(I428,4)="26BH","BHARAT",IF(LEFT(I428,4)="25BH","BHARAT",IF(LEFT(I428,4)="JK12","POONCH",IF(LEFT(I428,4)="JK16","GANDERBAL",IF(LEFT(I428,4)="JK18","KULGAM",IF(LEFT(I428,4)="JK22","SHOPIAN",IF(LEFT(I428,4)="JK02","JAMMU",IF(LEFT(I428,4)="JK09","KUPWARA",IF(LEFT(I428,4)="JK15","BANDIPORA",IF(LEFT(I428,4)="JK17","KISHTWAR",IF(LEFT(I428,4)="LA01","KARGIL",IF(LEFT(I428,1)="T","TEMP","NEW")))))))))))))))))</f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>ROW()-1</f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>IF(LEFT(I429,4)="JK13","PULWAMA",IF(LEFT(I429,4)="JK01","SRINAGAR",IF(LEFT(I429,4)="JK04","BUDGAM",IF(LEFT(I429,4)="JK03","ANANTNAG",IF(LEFT(I429,4)="JK05","BARAMULLA",IF(LEFT(I429,4)="26BH","BHARAT",IF(LEFT(I429,4)="25BH","BHARAT",IF(LEFT(I429,4)="JK12","POONCH",IF(LEFT(I429,4)="JK16","GANDERBAL",IF(LEFT(I429,4)="JK18","KULGAM",IF(LEFT(I429,4)="JK22","SHOPIAN",IF(LEFT(I429,4)="JK02","JAMMU",IF(LEFT(I429,4)="JK09","KUPWARA",IF(LEFT(I429,4)="JK15","BANDIPORA",IF(LEFT(I429,4)="JK17","KISHTWAR",IF(LEFT(I429,4)="LA01","KARGIL",IF(LEFT(I429,1)="T","TEMP","NEW")))))))))))))))))</f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>ROW()-1</f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>IF(LEFT(I430,4)="JK13","PULWAMA",IF(LEFT(I430,4)="JK01","SRINAGAR",IF(LEFT(I430,4)="JK04","BUDGAM",IF(LEFT(I430,4)="JK03","ANANTNAG",IF(LEFT(I430,4)="JK05","BARAMULLA",IF(LEFT(I430,4)="26BH","BHARAT",IF(LEFT(I430,4)="25BH","BHARAT",IF(LEFT(I430,4)="JK12","POONCH",IF(LEFT(I430,4)="JK16","GANDERBAL",IF(LEFT(I430,4)="JK18","KULGAM",IF(LEFT(I430,4)="JK22","SHOPIAN",IF(LEFT(I430,4)="JK02","JAMMU",IF(LEFT(I430,4)="JK09","KUPWARA",IF(LEFT(I430,4)="JK15","BANDIPORA",IF(LEFT(I430,4)="JK17","KISHTWAR",IF(LEFT(I430,4)="LA01","KARGIL",IF(LEFT(I430,1)="T","TEMP","NEW")))))))))))))))))</f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>ROW()-1</f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>IF(LEFT(I431,4)="JK13","PULWAMA",IF(LEFT(I431,4)="JK01","SRINAGAR",IF(LEFT(I431,4)="JK04","BUDGAM",IF(LEFT(I431,4)="JK03","ANANTNAG",IF(LEFT(I431,4)="JK05","BARAMULLA",IF(LEFT(I431,4)="26BH","BHARAT",IF(LEFT(I431,4)="25BH","BHARAT",IF(LEFT(I431,4)="JK12","POONCH",IF(LEFT(I431,4)="JK16","GANDERBAL",IF(LEFT(I431,4)="JK18","KULGAM",IF(LEFT(I431,4)="JK22","SHOPIAN",IF(LEFT(I431,4)="JK02","JAMMU",IF(LEFT(I431,4)="JK09","KUPWARA",IF(LEFT(I431,4)="JK15","BANDIPORA",IF(LEFT(I431,4)="JK17","KISHTWAR",IF(LEFT(I431,4)="LA01","KARGIL",IF(LEFT(I431,1)="T","TEMP","NEW")))))))))))))))))</f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>ROW()-1</f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>IF(LEFT(I432,4)="JK13","PULWAMA",IF(LEFT(I432,4)="JK01","SRINAGAR",IF(LEFT(I432,4)="JK04","BUDGAM",IF(LEFT(I432,4)="JK03","ANANTNAG",IF(LEFT(I432,4)="JK05","BARAMULLA",IF(LEFT(I432,4)="26BH","BHARAT",IF(LEFT(I432,4)="25BH","BHARAT",IF(LEFT(I432,4)="JK12","POONCH",IF(LEFT(I432,4)="JK16","GANDERBAL",IF(LEFT(I432,4)="JK18","KULGAM",IF(LEFT(I432,4)="JK22","SHOPIAN",IF(LEFT(I432,4)="JK02","JAMMU",IF(LEFT(I432,4)="JK09","KUPWARA",IF(LEFT(I432,4)="JK15","BANDIPORA",IF(LEFT(I432,4)="JK17","KISHTWAR",IF(LEFT(I432,4)="LA01","KARGIL",IF(LEFT(I432,1)="T","TEMP","NEW")))))))))))))))))</f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>ROW()-1</f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>IF(LEFT(I433,4)="JK13","PULWAMA",IF(LEFT(I433,4)="JK01","SRINAGAR",IF(LEFT(I433,4)="JK04","BUDGAM",IF(LEFT(I433,4)="JK03","ANANTNAG",IF(LEFT(I433,4)="JK05","BARAMULLA",IF(LEFT(I433,4)="26BH","BHARAT",IF(LEFT(I433,4)="25BH","BHARAT",IF(LEFT(I433,4)="JK12","POONCH",IF(LEFT(I433,4)="JK16","GANDERBAL",IF(LEFT(I433,4)="JK18","KULGAM",IF(LEFT(I433,4)="JK22","SHOPIAN",IF(LEFT(I433,4)="JK02","JAMMU",IF(LEFT(I433,4)="JK09","KUPWARA",IF(LEFT(I433,4)="JK15","BANDIPORA",IF(LEFT(I433,4)="JK17","KISHTWAR",IF(LEFT(I433,4)="LA01","KARGIL",IF(LEFT(I433,1)="T","TEMP","NEW")))))))))))))))))</f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>ROW()-1</f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>IF(LEFT(I434,4)="JK13","PULWAMA",IF(LEFT(I434,4)="JK01","SRINAGAR",IF(LEFT(I434,4)="JK04","BUDGAM",IF(LEFT(I434,4)="JK03","ANANTNAG",IF(LEFT(I434,4)="JK05","BARAMULLA",IF(LEFT(I434,4)="26BH","BHARAT",IF(LEFT(I434,4)="25BH","BHARAT",IF(LEFT(I434,4)="JK12","POONCH",IF(LEFT(I434,4)="JK16","GANDERBAL",IF(LEFT(I434,4)="JK18","KULGAM",IF(LEFT(I434,4)="JK22","SHOPIAN",IF(LEFT(I434,4)="JK02","JAMMU",IF(LEFT(I434,4)="JK09","KUPWARA",IF(LEFT(I434,4)="JK15","BANDIPORA",IF(LEFT(I434,4)="JK17","KISHTWAR",IF(LEFT(I434,4)="LA01","KARGIL",IF(LEFT(I434,1)="T","TEMP","NEW")))))))))))))))))</f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>ROW()-1</f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>IF(LEFT(I435,4)="JK13","PULWAMA",IF(LEFT(I435,4)="JK01","SRINAGAR",IF(LEFT(I435,4)="JK04","BUDGAM",IF(LEFT(I435,4)="JK03","ANANTNAG",IF(LEFT(I435,4)="JK05","BARAMULLA",IF(LEFT(I435,4)="26BH","BHARAT",IF(LEFT(I435,4)="25BH","BHARAT",IF(LEFT(I435,4)="JK12","POONCH",IF(LEFT(I435,4)="JK16","GANDERBAL",IF(LEFT(I435,4)="JK18","KULGAM",IF(LEFT(I435,4)="JK22","SHOPIAN",IF(LEFT(I435,4)="JK02","JAMMU",IF(LEFT(I435,4)="JK09","KUPWARA",IF(LEFT(I435,4)="JK15","BANDIPORA",IF(LEFT(I435,4)="JK17","KISHTWAR",IF(LEFT(I435,4)="LA01","KARGIL",IF(LEFT(I435,1)="T","TEMP","NEW")))))))))))))))))</f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>ROW()-1</f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>IF(LEFT(I436,4)="JK13","PULWAMA",IF(LEFT(I436,4)="JK01","SRINAGAR",IF(LEFT(I436,4)="JK04","BUDGAM",IF(LEFT(I436,4)="JK03","ANANTNAG",IF(LEFT(I436,4)="JK05","BARAMULLA",IF(LEFT(I436,4)="26BH","BHARAT",IF(LEFT(I436,4)="25BH","BHARAT",IF(LEFT(I436,4)="JK12","POONCH",IF(LEFT(I436,4)="JK16","GANDERBAL",IF(LEFT(I436,4)="JK18","KULGAM",IF(LEFT(I436,4)="JK22","SHOPIAN",IF(LEFT(I436,4)="JK02","JAMMU",IF(LEFT(I436,4)="JK09","KUPWARA",IF(LEFT(I436,4)="JK15","BANDIPORA",IF(LEFT(I436,4)="JK17","KISHTWAR",IF(LEFT(I436,4)="LA01","KARGIL",IF(LEFT(I436,1)="T","TEMP","NEW")))))))))))))))))</f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>ROW()-1</f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>IF(LEFT(I437,4)="JK13","PULWAMA",IF(LEFT(I437,4)="JK01","SRINAGAR",IF(LEFT(I437,4)="JK04","BUDGAM",IF(LEFT(I437,4)="JK03","ANANTNAG",IF(LEFT(I437,4)="JK05","BARAMULLA",IF(LEFT(I437,4)="26BH","BHARAT",IF(LEFT(I437,4)="25BH","BHARAT",IF(LEFT(I437,4)="JK12","POONCH",IF(LEFT(I437,4)="JK16","GANDERBAL",IF(LEFT(I437,4)="JK18","KULGAM",IF(LEFT(I437,4)="JK22","SHOPIAN",IF(LEFT(I437,4)="JK02","JAMMU",IF(LEFT(I437,4)="JK09","KUPWARA",IF(LEFT(I437,4)="JK15","BANDIPORA",IF(LEFT(I437,4)="JK17","KISHTWAR",IF(LEFT(I437,4)="LA01","KARGIL",IF(LEFT(I437,1)="T","TEMP","NEW")))))))))))))))))</f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>ROW()-1</f>
        <v>437</v>
      </c>
      <c r="B438" s="43" t="s">
        <v>6556</v>
      </c>
      <c r="C438" s="43" t="s">
        <v>6559</v>
      </c>
      <c r="D438" s="43"/>
      <c r="E438" s="43" t="s">
        <v>6560</v>
      </c>
      <c r="F438" s="43" t="s">
        <v>125</v>
      </c>
      <c r="G438" s="43" t="s">
        <v>175</v>
      </c>
      <c r="H438" s="43" t="str">
        <f>IF(LEFT(I438,4)="JK13","PULWAMA",IF(LEFT(I438,4)="JK01","SRINAGAR",IF(LEFT(I438,4)="JK04","BUDGAM",IF(LEFT(I438,4)="JK03","ANANTNAG",IF(LEFT(I438,4)="JK05","BARAMULLA",IF(LEFT(I438,4)="26BH","BHARAT",IF(LEFT(I438,4)="25BH","BHARAT",IF(LEFT(I438,4)="JK12","POONCH",IF(LEFT(I438,4)="JK16","GANDERBAL",IF(LEFT(I438,4)="JK18","KULGAM",IF(LEFT(I438,4)="JK22","SHOPIAN",IF(LEFT(I438,4)="JK02","JAMMU",IF(LEFT(I438,4)="JK09","KUPWARA",IF(LEFT(I438,4)="JK15","BANDIPORA",IF(LEFT(I438,4)="JK17","KISHTWAR",IF(LEFT(I438,4)="LA01","KARGIL",IF(LEFT(I438,1)="T","TEMP","NEW")))))))))))))))))</f>
        <v>PULWAMA</v>
      </c>
      <c r="I438" s="43" t="s">
        <v>6563</v>
      </c>
      <c r="J438" s="44">
        <v>45981</v>
      </c>
      <c r="K438" s="43">
        <v>9906121652</v>
      </c>
      <c r="L438" s="43" t="s">
        <v>6520</v>
      </c>
      <c r="M438" s="45" t="s">
        <v>6628</v>
      </c>
      <c r="N438" s="44">
        <v>45986</v>
      </c>
      <c r="O438" s="43" t="s">
        <v>23</v>
      </c>
      <c r="P438" s="46">
        <v>45986</v>
      </c>
      <c r="Q438" s="43" t="s">
        <v>6459</v>
      </c>
      <c r="R438" s="43"/>
    </row>
    <row r="439" spans="1:18" x14ac:dyDescent="0.25">
      <c r="A439" s="43">
        <f>ROW()-1</f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>IF(LEFT(I439,4)="JK13","PULWAMA",IF(LEFT(I439,4)="JK01","SRINAGAR",IF(LEFT(I439,4)="JK04","BUDGAM",IF(LEFT(I439,4)="JK03","ANANTNAG",IF(LEFT(I439,4)="JK05","BARAMULLA",IF(LEFT(I439,4)="26BH","BHARAT",IF(LEFT(I439,4)="25BH","BHARAT",IF(LEFT(I439,4)="JK12","POONCH",IF(LEFT(I439,4)="JK16","GANDERBAL",IF(LEFT(I439,4)="JK18","KULGAM",IF(LEFT(I439,4)="JK22","SHOPIAN",IF(LEFT(I439,4)="JK02","JAMMU",IF(LEFT(I439,4)="JK09","KUPWARA",IF(LEFT(I439,4)="JK15","BANDIPORA",IF(LEFT(I439,4)="JK17","KISHTWAR",IF(LEFT(I439,4)="LA01","KARGIL",IF(LEFT(I439,1)="T","TEMP","NEW")))))))))))))))))</f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>ROW()-1</f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>IF(LEFT(I440,4)="JK13","PULWAMA",IF(LEFT(I440,4)="JK01","SRINAGAR",IF(LEFT(I440,4)="JK04","BUDGAM",IF(LEFT(I440,4)="JK03","ANANTNAG",IF(LEFT(I440,4)="JK05","BARAMULLA",IF(LEFT(I440,4)="26BH","BHARAT",IF(LEFT(I440,4)="25BH","BHARAT",IF(LEFT(I440,4)="JK12","POONCH",IF(LEFT(I440,4)="JK16","GANDERBAL",IF(LEFT(I440,4)="JK18","KULGAM",IF(LEFT(I440,4)="JK22","SHOPIAN",IF(LEFT(I440,4)="JK02","JAMMU",IF(LEFT(I440,4)="JK09","KUPWARA",IF(LEFT(I440,4)="JK15","BANDIPORA",IF(LEFT(I440,4)="JK17","KISHTWAR",IF(LEFT(I440,4)="LA01","KARGIL",IF(LEFT(I440,1)="T","TEMP","NEW")))))))))))))))))</f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>ROW()-1</f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>IF(LEFT(I441,4)="JK13","PULWAMA",IF(LEFT(I441,4)="JK01","SRINAGAR",IF(LEFT(I441,4)="JK04","BUDGAM",IF(LEFT(I441,4)="JK03","ANANTNAG",IF(LEFT(I441,4)="JK05","BARAMULLA",IF(LEFT(I441,4)="26BH","BHARAT",IF(LEFT(I441,4)="25BH","BHARAT",IF(LEFT(I441,4)="JK12","POONCH",IF(LEFT(I441,4)="JK16","GANDERBAL",IF(LEFT(I441,4)="JK18","KULGAM",IF(LEFT(I441,4)="JK22","SHOPIAN",IF(LEFT(I441,4)="JK02","JAMMU",IF(LEFT(I441,4)="JK09","KUPWARA",IF(LEFT(I441,4)="JK15","BANDIPORA",IF(LEFT(I441,4)="JK17","KISHTWAR",IF(LEFT(I441,4)="LA01","KARGIL",IF(LEFT(I441,1)="T","TEMP","NEW")))))))))))))))))</f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>ROW()-1</f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>IF(LEFT(I442,4)="JK13","PULWAMA",IF(LEFT(I442,4)="JK01","SRINAGAR",IF(LEFT(I442,4)="JK04","BUDGAM",IF(LEFT(I442,4)="JK03","ANANTNAG",IF(LEFT(I442,4)="JK05","BARAMULLA",IF(LEFT(I442,4)="26BH","BHARAT",IF(LEFT(I442,4)="25BH","BHARAT",IF(LEFT(I442,4)="JK12","POONCH",IF(LEFT(I442,4)="JK16","GANDERBAL",IF(LEFT(I442,4)="JK18","KULGAM",IF(LEFT(I442,4)="JK22","SHOPIAN",IF(LEFT(I442,4)="JK02","JAMMU",IF(LEFT(I442,4)="JK09","KUPWARA",IF(LEFT(I442,4)="JK15","BANDIPORA",IF(LEFT(I442,4)="JK17","KISHTWAR",IF(LEFT(I442,4)="LA01","KARGIL",IF(LEFT(I442,1)="T","TEMP","NEW")))))))))))))))))</f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>ROW()-1</f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>IF(LEFT(I443,4)="JK13","PULWAMA",IF(LEFT(I443,4)="JK01","SRINAGAR",IF(LEFT(I443,4)="JK04","BUDGAM",IF(LEFT(I443,4)="JK03","ANANTNAG",IF(LEFT(I443,4)="JK05","BARAMULLA",IF(LEFT(I443,4)="26BH","BHARAT",IF(LEFT(I443,4)="25BH","BHARAT",IF(LEFT(I443,4)="JK12","POONCH",IF(LEFT(I443,4)="JK16","GANDERBAL",IF(LEFT(I443,4)="JK18","KULGAM",IF(LEFT(I443,4)="JK22","SHOPIAN",IF(LEFT(I443,4)="JK02","JAMMU",IF(LEFT(I443,4)="JK09","KUPWARA",IF(LEFT(I443,4)="JK15","BANDIPORA",IF(LEFT(I443,4)="JK17","KISHTWAR",IF(LEFT(I443,4)="LA01","KARGIL",IF(LEFT(I443,1)="T","TEMP","NEW")))))))))))))))))</f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>ROW()-1</f>
        <v>443</v>
      </c>
      <c r="B444" s="43" t="s">
        <v>6517</v>
      </c>
      <c r="C444" s="43" t="s">
        <v>6518</v>
      </c>
      <c r="D444" s="43"/>
      <c r="E444" s="43" t="s">
        <v>6519</v>
      </c>
      <c r="F444" s="43" t="s">
        <v>37</v>
      </c>
      <c r="G444" s="43" t="s">
        <v>181</v>
      </c>
      <c r="H444" s="43" t="str">
        <f>IF(LEFT(I444,4)="JK13","PULWAMA",IF(LEFT(I444,4)="JK01","SRINAGAR",IF(LEFT(I444,4)="JK04","BUDGAM",IF(LEFT(I444,4)="JK03","ANANTNAG",IF(LEFT(I444,4)="JK05","BARAMULLA",IF(LEFT(I444,4)="26BH","BHARAT",IF(LEFT(I444,4)="25BH","BHARAT",IF(LEFT(I444,4)="JK12","POONCH",IF(LEFT(I444,4)="JK16","GANDERBAL",IF(LEFT(I444,4)="JK18","KULGAM",IF(LEFT(I444,4)="JK22","SHOPIAN",IF(LEFT(I444,4)="JK02","JAMMU",IF(LEFT(I444,4)="JK09","KUPWARA",IF(LEFT(I444,4)="JK15","BANDIPORA",IF(LEFT(I444,4)="JK17","KISHTWAR",IF(LEFT(I444,4)="LA01","KARGIL",IF(LEFT(I444,1)="T","TEMP","NEW")))))))))))))))))</f>
        <v>PULWAMA</v>
      </c>
      <c r="I444" s="43" t="s">
        <v>6522</v>
      </c>
      <c r="J444" s="44">
        <v>45979</v>
      </c>
      <c r="K444" s="43">
        <v>9541759422</v>
      </c>
      <c r="L444" s="43" t="s">
        <v>6520</v>
      </c>
      <c r="M444" s="45" t="s">
        <v>7713</v>
      </c>
      <c r="N444" s="53">
        <v>46003</v>
      </c>
      <c r="O444" s="43"/>
      <c r="P444" s="46"/>
      <c r="Q444" s="43"/>
      <c r="R444" s="43"/>
    </row>
    <row r="445" spans="1:18" x14ac:dyDescent="0.25">
      <c r="A445" s="43">
        <f>ROW()-1</f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>IF(LEFT(I445,4)="JK13","PULWAMA",IF(LEFT(I445,4)="JK01","SRINAGAR",IF(LEFT(I445,4)="JK04","BUDGAM",IF(LEFT(I445,4)="JK03","ANANTNAG",IF(LEFT(I445,4)="JK05","BARAMULLA",IF(LEFT(I445,4)="26BH","BHARAT",IF(LEFT(I445,4)="25BH","BHARAT",IF(LEFT(I445,4)="JK12","POONCH",IF(LEFT(I445,4)="JK16","GANDERBAL",IF(LEFT(I445,4)="JK18","KULGAM",IF(LEFT(I445,4)="JK22","SHOPIAN",IF(LEFT(I445,4)="JK02","JAMMU",IF(LEFT(I445,4)="JK09","KUPWARA",IF(LEFT(I445,4)="JK15","BANDIPORA",IF(LEFT(I445,4)="JK17","KISHTWAR",IF(LEFT(I445,4)="LA01","KARGIL",IF(LEFT(I445,1)="T","TEMP","NEW")))))))))))))))))</f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>ROW()-1</f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>IF(LEFT(I446,4)="JK13","PULWAMA",IF(LEFT(I446,4)="JK01","SRINAGAR",IF(LEFT(I446,4)="JK04","BUDGAM",IF(LEFT(I446,4)="JK03","ANANTNAG",IF(LEFT(I446,4)="JK05","BARAMULLA",IF(LEFT(I446,4)="26BH","BHARAT",IF(LEFT(I446,4)="25BH","BHARAT",IF(LEFT(I446,4)="JK12","POONCH",IF(LEFT(I446,4)="JK16","GANDERBAL",IF(LEFT(I446,4)="JK18","KULGAM",IF(LEFT(I446,4)="JK22","SHOPIAN",IF(LEFT(I446,4)="JK02","JAMMU",IF(LEFT(I446,4)="JK09","KUPWARA",IF(LEFT(I446,4)="JK15","BANDIPORA",IF(LEFT(I446,4)="JK17","KISHTWAR",IF(LEFT(I446,4)="LA01","KARGIL",IF(LEFT(I446,1)="T","TEMP","NEW")))))))))))))))))</f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>ROW()-1</f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>IF(LEFT(I447,4)="JK13","PULWAMA",IF(LEFT(I447,4)="JK01","SRINAGAR",IF(LEFT(I447,4)="JK04","BUDGAM",IF(LEFT(I447,4)="JK03","ANANTNAG",IF(LEFT(I447,4)="JK05","BARAMULLA",IF(LEFT(I447,4)="26BH","BHARAT",IF(LEFT(I447,4)="25BH","BHARAT",IF(LEFT(I447,4)="JK12","POONCH",IF(LEFT(I447,4)="JK16","GANDERBAL",IF(LEFT(I447,4)="JK18","KULGAM",IF(LEFT(I447,4)="JK22","SHOPIAN",IF(LEFT(I447,4)="JK02","JAMMU",IF(LEFT(I447,4)="JK09","KUPWARA",IF(LEFT(I447,4)="JK15","BANDIPORA",IF(LEFT(I447,4)="JK17","KISHTWAR",IF(LEFT(I447,4)="LA01","KARGIL",IF(LEFT(I447,1)="T","TEMP","NEW")))))))))))))))))</f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>ROW()-1</f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>IF(LEFT(I448,4)="JK13","PULWAMA",IF(LEFT(I448,4)="JK01","SRINAGAR",IF(LEFT(I448,4)="JK04","BUDGAM",IF(LEFT(I448,4)="JK03","ANANTNAG",IF(LEFT(I448,4)="JK05","BARAMULLA",IF(LEFT(I448,4)="26BH","BHARAT",IF(LEFT(I448,4)="25BH","BHARAT",IF(LEFT(I448,4)="JK12","POONCH",IF(LEFT(I448,4)="JK16","GANDERBAL",IF(LEFT(I448,4)="JK18","KULGAM",IF(LEFT(I448,4)="JK22","SHOPIAN",IF(LEFT(I448,4)="JK02","JAMMU",IF(LEFT(I448,4)="JK09","KUPWARA",IF(LEFT(I448,4)="JK15","BANDIPORA",IF(LEFT(I448,4)="JK17","KISHTWAR",IF(LEFT(I448,4)="LA01","KARGIL",IF(LEFT(I448,1)="T","TEMP","NEW")))))))))))))))))</f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>ROW()-1</f>
        <v>448</v>
      </c>
      <c r="B449" s="43" t="s">
        <v>6624</v>
      </c>
      <c r="C449" s="43" t="s">
        <v>6626</v>
      </c>
      <c r="D449" s="43"/>
      <c r="E449" s="43" t="s">
        <v>6625</v>
      </c>
      <c r="F449" s="43" t="s">
        <v>31</v>
      </c>
      <c r="G449" s="43" t="s">
        <v>200</v>
      </c>
      <c r="H449" s="43" t="str">
        <f>IF(LEFT(I449,4)="JK13","PULWAMA",IF(LEFT(I449,4)="JK01","SRINAGAR",IF(LEFT(I449,4)="JK04","BUDGAM",IF(LEFT(I449,4)="JK03","ANANTNAG",IF(LEFT(I449,4)="JK05","BARAMULLA",IF(LEFT(I449,4)="26BH","BHARAT",IF(LEFT(I449,4)="25BH","BHARAT",IF(LEFT(I449,4)="JK12","POONCH",IF(LEFT(I449,4)="JK16","GANDERBAL",IF(LEFT(I449,4)="JK18","KULGAM",IF(LEFT(I449,4)="JK22","SHOPIAN",IF(LEFT(I449,4)="JK02","JAMMU",IF(LEFT(I449,4)="JK09","KUPWARA",IF(LEFT(I449,4)="JK15","BANDIPORA",IF(LEFT(I449,4)="JK17","KISHTWAR",IF(LEFT(I449,4)="LA01","KARGIL",IF(LEFT(I449,1)="T","TEMP","NEW")))))))))))))))))</f>
        <v>PULWAMA</v>
      </c>
      <c r="I449" s="43" t="s">
        <v>6629</v>
      </c>
      <c r="J449" s="44">
        <v>45986</v>
      </c>
      <c r="K449" s="43">
        <v>9622137310</v>
      </c>
      <c r="L449" s="43" t="s">
        <v>6627</v>
      </c>
      <c r="M449" s="45" t="s">
        <v>7713</v>
      </c>
      <c r="N449" s="53">
        <v>45992</v>
      </c>
      <c r="O449" s="43" t="s">
        <v>23</v>
      </c>
      <c r="P449" s="46">
        <v>45986</v>
      </c>
      <c r="Q449" s="43" t="s">
        <v>6459</v>
      </c>
      <c r="R449" s="43"/>
    </row>
    <row r="450" spans="1:18" x14ac:dyDescent="0.25">
      <c r="A450" s="43">
        <f>ROW()-1</f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>ROW()-1</f>
        <v>450</v>
      </c>
      <c r="B451" s="43" t="s">
        <v>7356</v>
      </c>
      <c r="C451" s="43" t="s">
        <v>7357</v>
      </c>
      <c r="D451" s="43" t="s">
        <v>7358</v>
      </c>
      <c r="E451" s="43" t="s">
        <v>7359</v>
      </c>
      <c r="F451" s="43" t="s">
        <v>238</v>
      </c>
      <c r="G451" s="43" t="s">
        <v>200</v>
      </c>
      <c r="H451" s="43" t="str">
        <f>IF(LEFT(I451,4)="JK13","PULWAMA",IF(LEFT(I451,4)="JK01","SRINAGAR",IF(LEFT(I451,4)="JK04","BUDGAM",IF(LEFT(I451,4)="JK03","ANANTNAG",IF(LEFT(I451,4)="JK05","BARAMULLA",IF(LEFT(I451,4)="26BH","BHARAT",IF(LEFT(I451,4)="25BH","BHARAT",IF(LEFT(I451,4)="JK12","POONCH",IF(LEFT(I451,4)="JK16","GANDERBAL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</f>
        <v>PULWAMA</v>
      </c>
      <c r="I451" s="43" t="s">
        <v>7377</v>
      </c>
      <c r="J451" s="44">
        <v>46012</v>
      </c>
      <c r="K451" s="43">
        <v>6005579912</v>
      </c>
      <c r="L451" s="43" t="s">
        <v>7236</v>
      </c>
      <c r="M451" s="45" t="s">
        <v>7713</v>
      </c>
      <c r="N451" s="53">
        <v>46018</v>
      </c>
      <c r="O451" s="43" t="s">
        <v>23</v>
      </c>
      <c r="P451" s="46">
        <v>46018</v>
      </c>
      <c r="Q451" s="43" t="s">
        <v>6459</v>
      </c>
      <c r="R451" s="43"/>
    </row>
    <row r="452" spans="1:18" x14ac:dyDescent="0.25">
      <c r="A452" s="43">
        <f>ROW()-1</f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16","GANDERBAL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)</f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>ROW()-1</f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>IF(LEFT(I453,4)="JK13","PULWAMA",IF(LEFT(I453,4)="JK01","SRINAGAR",IF(LEFT(I453,4)="JK04","BUDGAM",IF(LEFT(I453,4)="JK03","ANANTNAG",IF(LEFT(I453,4)="JK05","BARAMULLA",IF(LEFT(I453,4)="26BH","BHARAT",IF(LEFT(I453,4)="25BH","BHARAT",IF(LEFT(I453,4)="JK12","POONCH",IF(LEFT(I453,4)="JK16","GANDERBAL",IF(LEFT(I453,4)="JK18","KULGAM",IF(LEFT(I453,4)="JK22","SHOPIAN",IF(LEFT(I453,4)="JK02","JAMMU",IF(LEFT(I453,4)="JK09","KUPWARA",IF(LEFT(I453,4)="JK15","BANDIPORA",IF(LEFT(I453,4)="JK17","KISHTWAR",IF(LEFT(I453,4)="LA01","KARGIL",IF(LEFT(I453,1)="T","TEMP","NEW")))))))))))))))))</f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 t="s">
        <v>8224</v>
      </c>
      <c r="N453" s="44">
        <v>46080</v>
      </c>
      <c r="O453" s="43"/>
      <c r="P453" s="46"/>
      <c r="Q453" s="43"/>
      <c r="R453" s="43"/>
    </row>
    <row r="454" spans="1:18" x14ac:dyDescent="0.25">
      <c r="A454" s="43">
        <f>ROW()-1</f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>IF(LEFT(I454,4)="JK13","PULWAMA",IF(LEFT(I454,4)="JK01","SRINAGAR",IF(LEFT(I454,4)="JK04","BUDGAM",IF(LEFT(I454,4)="JK03","ANANTNAG",IF(LEFT(I454,4)="JK05","BARAMULLA",IF(LEFT(I454,4)="26BH","BHARAT",IF(LEFT(I454,4)="25BH","BHARAT",IF(LEFT(I454,4)="JK12","POONCH",IF(LEFT(I454,4)="JK16","GANDERBAL",IF(LEFT(I454,4)="JK18","KULGAM",IF(LEFT(I454,4)="JK22","SHOPIAN",IF(LEFT(I454,4)="JK02","JAMMU",IF(LEFT(I454,4)="JK09","KUPWARA",IF(LEFT(I454,4)="JK15","BANDIPORA",IF(LEFT(I454,4)="JK17","KISHTWAR",IF(LEFT(I454,4)="LA01","KARGIL",IF(LEFT(I454,1)="T","TEMP","NEW")))))))))))))))))</f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>ROW()-1</f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>IF(LEFT(I455,4)="JK13","PULWAMA",IF(LEFT(I455,4)="JK01","SRINAGAR",IF(LEFT(I455,4)="JK04","BUDGAM",IF(LEFT(I455,4)="JK03","ANANTNAG",IF(LEFT(I455,4)="JK05","BARAMULLA",IF(LEFT(I455,4)="26BH","BHARAT",IF(LEFT(I455,4)="25BH","BHARAT",IF(LEFT(I455,4)="JK12","POONCH",IF(LEFT(I455,4)="JK16","GANDERBAL",IF(LEFT(I455,4)="JK18","KULGAM",IF(LEFT(I455,4)="JK22","SHOPIAN",IF(LEFT(I455,4)="JK02","JAMMU",IF(LEFT(I455,4)="JK09","KUPWARA",IF(LEFT(I455,4)="JK15","BANDIPORA",IF(LEFT(I455,4)="JK17","KISHTWAR",IF(LEFT(I455,4)="LA01","KARGIL",IF(LEFT(I455,1)="T","TEMP","NEW")))))))))))))))))</f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>ROW()-1</f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>IF(LEFT(I456,4)="JK13","PULWAMA",IF(LEFT(I456,4)="JK01","SRINAGAR",IF(LEFT(I456,4)="JK04","BUDGAM",IF(LEFT(I456,4)="JK03","ANANTNAG",IF(LEFT(I456,4)="JK05","BARAMULLA",IF(LEFT(I456,4)="26BH","BHARAT",IF(LEFT(I456,4)="25BH","BHARAT",IF(LEFT(I456,4)="JK12","POONCH",IF(LEFT(I456,4)="JK16","GANDERBAL",IF(LEFT(I456,4)="JK18","KULGAM",IF(LEFT(I456,4)="JK22","SHOPIAN",IF(LEFT(I456,4)="JK02","JAMMU",IF(LEFT(I456,4)="JK09","KUPWARA",IF(LEFT(I456,4)="JK15","BANDIPORA",IF(LEFT(I456,4)="JK17","KISHTWAR",IF(LEFT(I456,4)="LA01","KARGIL",IF(LEFT(I456,1)="T","TEMP","NEW")))))))))))))))))</f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>ROW()-1</f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16","GANDERBAL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)</f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>ROW()-1</f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>IF(LEFT(I458,4)="JK13","PULWAMA",IF(LEFT(I458,4)="JK01","SRINAGAR",IF(LEFT(I458,4)="JK04","BUDGAM",IF(LEFT(I458,4)="JK03","ANANTNAG",IF(LEFT(I458,4)="JK05","BARAMULLA",IF(LEFT(I458,4)="26BH","BHARAT",IF(LEFT(I458,4)="25BH","BHARAT",IF(LEFT(I458,4)="JK12","POONCH",IF(LEFT(I458,4)="JK16","GANDERBAL",IF(LEFT(I458,4)="JK18","KULGAM",IF(LEFT(I458,4)="JK22","SHOPIAN",IF(LEFT(I458,4)="JK02","JAMMU",IF(LEFT(I458,4)="JK09","KUPWARA",IF(LEFT(I458,4)="JK15","BANDIPORA",IF(LEFT(I458,4)="JK17","KISHTWAR",IF(LEFT(I458,4)="LA01","KARGIL",IF(LEFT(I458,1)="T","TEMP","NEW")))))))))))))))))</f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>ROW()-1</f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>IF(LEFT(I459,4)="JK13","PULWAMA",IF(LEFT(I459,4)="JK01","SRINAGAR",IF(LEFT(I459,4)="JK04","BUDGAM",IF(LEFT(I459,4)="JK03","ANANTNAG",IF(LEFT(I459,4)="JK05","BARAMULLA",IF(LEFT(I459,4)="26BH","BHARAT",IF(LEFT(I459,4)="25BH","BHARAT",IF(LEFT(I459,4)="JK12","POONCH",IF(LEFT(I459,4)="JK16","GANDERBAL",IF(LEFT(I459,4)="JK18","KULGAM",IF(LEFT(I459,4)="JK22","SHOPIAN",IF(LEFT(I459,4)="JK02","JAMMU",IF(LEFT(I459,4)="JK09","KUPWARA",IF(LEFT(I459,4)="JK15","BANDIPORA",IF(LEFT(I459,4)="JK17","KISHTWAR",IF(LEFT(I459,4)="LA01","KARGIL",IF(LEFT(I459,1)="T","TEMP","NEW")))))))))))))))))</f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 t="s">
        <v>8224</v>
      </c>
      <c r="N459" s="44">
        <v>46080</v>
      </c>
      <c r="O459" s="43"/>
      <c r="P459" s="46"/>
      <c r="Q459" s="43"/>
      <c r="R459" s="43"/>
    </row>
    <row r="460" spans="1:18" x14ac:dyDescent="0.25">
      <c r="A460" s="43">
        <f>ROW()-1</f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>IF(LEFT(I460,4)="JK13","PULWAMA",IF(LEFT(I460,4)="JK01","SRINAGAR",IF(LEFT(I460,4)="JK04","BUDGAM",IF(LEFT(I460,4)="JK03","ANANTNAG",IF(LEFT(I460,4)="JK05","BARAMULLA",IF(LEFT(I460,4)="26BH","BHARAT",IF(LEFT(I460,4)="25BH","BHARAT",IF(LEFT(I460,4)="JK12","POONCH",IF(LEFT(I460,4)="JK16","GANDERBAL",IF(LEFT(I460,4)="JK18","KULGAM",IF(LEFT(I460,4)="JK22","SHOPIAN",IF(LEFT(I460,4)="JK02","JAMMU",IF(LEFT(I460,4)="JK09","KUPWARA",IF(LEFT(I460,4)="JK15","BANDIPORA",IF(LEFT(I460,4)="JK17","KISHTWAR",IF(LEFT(I460,4)="LA01","KARGIL",IF(LEFT(I460,1)="T","TEMP","NEW")))))))))))))))))</f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>ROW()-1</f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>IF(LEFT(I461,4)="JK13","PULWAMA",IF(LEFT(I461,4)="JK01","SRINAGAR",IF(LEFT(I461,4)="JK04","BUDGAM",IF(LEFT(I461,4)="JK03","ANANTNAG",IF(LEFT(I461,4)="JK05","BARAMULLA",IF(LEFT(I461,4)="26BH","BHARAT",IF(LEFT(I461,4)="25BH","BHARAT",IF(LEFT(I461,4)="JK12","POONCH",IF(LEFT(I461,4)="JK16","GANDERBAL",IF(LEFT(I461,4)="JK18","KULGAM",IF(LEFT(I461,4)="JK22","SHOPIAN",IF(LEFT(I461,4)="JK02","JAMMU",IF(LEFT(I461,4)="JK09","KUPWARA",IF(LEFT(I461,4)="JK15","BANDIPORA",IF(LEFT(I461,4)="JK17","KISHTWAR",IF(LEFT(I461,4)="LA01","KARGIL",IF(LEFT(I461,1)="T","TEMP","NEW")))))))))))))))))</f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>ROW()-1</f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>IF(LEFT(I462,4)="JK13","PULWAMA",IF(LEFT(I462,4)="JK01","SRINAGAR",IF(LEFT(I462,4)="JK04","BUDGAM",IF(LEFT(I462,4)="JK03","ANANTNAG",IF(LEFT(I462,4)="JK05","BARAMULLA",IF(LEFT(I462,4)="26BH","BHARAT",IF(LEFT(I462,4)="25BH","BHARAT",IF(LEFT(I462,4)="JK12","POONCH",IF(LEFT(I462,4)="JK16","GANDERBAL",IF(LEFT(I462,4)="JK18","KULGAM",IF(LEFT(I462,4)="JK22","SHOPIAN",IF(LEFT(I462,4)="JK02","JAMMU",IF(LEFT(I462,4)="JK09","KUPWARA",IF(LEFT(I462,4)="JK15","BANDIPORA",IF(LEFT(I462,4)="JK17","KISHTWAR",IF(LEFT(I462,4)="LA01","KARGIL",IF(LEFT(I462,1)="T","TEMP","NEW")))))))))))))))))</f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>ROW()-1</f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>IF(LEFT(I463,4)="JK13","PULWAMA",IF(LEFT(I463,4)="JK01","SRINAGAR",IF(LEFT(I463,4)="JK04","BUDGAM",IF(LEFT(I463,4)="JK03","ANANTNAG",IF(LEFT(I463,4)="JK05","BARAMULLA",IF(LEFT(I463,4)="26BH","BHARAT",IF(LEFT(I463,4)="25BH","BHARAT",IF(LEFT(I463,4)="JK12","POONCH",IF(LEFT(I463,4)="JK16","GANDERBAL",IF(LEFT(I463,4)="JK18","KULGAM",IF(LEFT(I463,4)="JK22","SHOPIAN",IF(LEFT(I463,4)="JK02","JAMMU",IF(LEFT(I463,4)="JK09","KUPWARA",IF(LEFT(I463,4)="JK15","BANDIPORA",IF(LEFT(I463,4)="JK17","KISHTWAR",IF(LEFT(I463,4)="LA01","KARGIL",IF(LEFT(I463,1)="T","TEMP","NEW")))))))))))))))))</f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 t="s">
        <v>9027</v>
      </c>
      <c r="N463" s="44">
        <v>46077</v>
      </c>
      <c r="O463" s="43"/>
      <c r="P463" s="46"/>
      <c r="Q463" s="43"/>
      <c r="R463" s="43" t="s">
        <v>8800</v>
      </c>
    </row>
    <row r="464" spans="1:18" x14ac:dyDescent="0.25">
      <c r="A464" s="43">
        <f>ROW()-1</f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>IF(LEFT(I464,4)="JK13","PULWAMA",IF(LEFT(I464,4)="JK01","SRINAGAR",IF(LEFT(I464,4)="JK04","BUDGAM",IF(LEFT(I464,4)="JK03","ANANTNAG",IF(LEFT(I464,4)="JK05","BARAMULLA",IF(LEFT(I464,4)="26BH","BHARAT",IF(LEFT(I464,4)="25BH","BHARAT",IF(LEFT(I464,4)="JK12","POONCH",IF(LEFT(I464,4)="JK16","GANDERBAL",IF(LEFT(I464,4)="JK18","KULGAM",IF(LEFT(I464,4)="JK22","SHOPIAN",IF(LEFT(I464,4)="JK02","JAMMU",IF(LEFT(I464,4)="JK09","KUPWARA",IF(LEFT(I464,4)="JK15","BANDIPORA",IF(LEFT(I464,4)="JK17","KISHTWAR",IF(LEFT(I464,4)="LA01","KARGIL",IF(LEFT(I464,1)="T","TEMP","NEW")))))))))))))))))</f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>ROW()-1</f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>IF(LEFT(I465,4)="JK13","PULWAMA",IF(LEFT(I465,4)="JK01","SRINAGAR",IF(LEFT(I465,4)="JK04","BUDGAM",IF(LEFT(I465,4)="JK03","ANANTNAG",IF(LEFT(I465,4)="JK05","BARAMULLA",IF(LEFT(I465,4)="26BH","BHARAT",IF(LEFT(I465,4)="25BH","BHARAT",IF(LEFT(I465,4)="JK12","POONCH",IF(LEFT(I465,4)="JK16","GANDERBAL",IF(LEFT(I465,4)="JK18","KULGAM",IF(LEFT(I465,4)="JK22","SHOPIAN",IF(LEFT(I465,4)="JK02","JAMMU",IF(LEFT(I465,4)="JK09","KUPWARA",IF(LEFT(I465,4)="JK15","BANDIPORA",IF(LEFT(I465,4)="JK17","KISHTWAR",IF(LEFT(I465,4)="LA01","KARGIL",IF(LEFT(I465,1)="T","TEMP","NEW")))))))))))))))))</f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>ROW()-1</f>
        <v>465</v>
      </c>
      <c r="B466" s="43" t="s">
        <v>7885</v>
      </c>
      <c r="C466" s="43" t="s">
        <v>7878</v>
      </c>
      <c r="D466" s="43" t="s">
        <v>7879</v>
      </c>
      <c r="E466" s="43" t="s">
        <v>7880</v>
      </c>
      <c r="F466" s="43" t="s">
        <v>290</v>
      </c>
      <c r="G466" s="43" t="s">
        <v>200</v>
      </c>
      <c r="H466" s="43" t="str">
        <f>IF(LEFT(I466,4)="JK13","PULWAMA",IF(LEFT(I466,4)="JK01","SRINAGAR",IF(LEFT(I466,4)="JK04","BUDGAM",IF(LEFT(I466,4)="JK03","ANANTNAG",IF(LEFT(I466,4)="JK05","BARAMULLA",IF(LEFT(I466,4)="26BH","BHARAT",IF(LEFT(I466,4)="25BH","BHARAT",IF(LEFT(I466,4)="JK12","POONCH",IF(LEFT(I466,4)="JK16","GANDERBAL",IF(LEFT(I466,4)="JK18","KULGAM",IF(LEFT(I466,4)="JK22","SHOPIAN",IF(LEFT(I466,4)="JK02","JAMMU",IF(LEFT(I466,4)="JK09","KUPWARA",IF(LEFT(I466,4)="JK15","BANDIPORA",IF(LEFT(I466,4)="JK17","KISHTWAR",IF(LEFT(I466,4)="LA01","KARGIL",IF(LEFT(I466,1)="T","TEMP","NEW")))))))))))))))))</f>
        <v>SRINAGAR</v>
      </c>
      <c r="I466" s="43" t="s">
        <v>7890</v>
      </c>
      <c r="J466" s="44">
        <v>46023</v>
      </c>
      <c r="K466" s="43">
        <v>7006759527</v>
      </c>
      <c r="L466" s="43" t="s">
        <v>8237</v>
      </c>
      <c r="M466" s="45" t="s">
        <v>9206</v>
      </c>
      <c r="N466" s="44"/>
      <c r="O466" s="43"/>
      <c r="P466" s="46"/>
      <c r="Q466" s="43"/>
      <c r="R466" s="43" t="s">
        <v>7939</v>
      </c>
    </row>
    <row r="467" spans="1:18" x14ac:dyDescent="0.25">
      <c r="A467" s="43">
        <f>ROW()-1</f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>IF(LEFT(I467,4)="JK13","PULWAMA",IF(LEFT(I467,4)="JK01","SRINAGAR",IF(LEFT(I467,4)="JK04","BUDGAM",IF(LEFT(I467,4)="JK03","ANANTNAG",IF(LEFT(I467,4)="JK05","BARAMULLA",IF(LEFT(I467,4)="26BH","BHARAT",IF(LEFT(I467,4)="25BH","BHARAT",IF(LEFT(I467,4)="JK12","POONCH",IF(LEFT(I467,4)="JK16","GANDERBAL",IF(LEFT(I467,4)="JK18","KULGAM",IF(LEFT(I467,4)="JK22","SHOPIAN",IF(LEFT(I467,4)="JK02","JAMMU",IF(LEFT(I467,4)="JK09","KUPWARA",IF(LEFT(I467,4)="JK15","BANDIPORA",IF(LEFT(I467,4)="JK17","KISHTWAR",IF(LEFT(I467,4)="LA01","KARGIL",IF(LEFT(I467,1)="T","TEMP","NEW")))))))))))))))))</f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>ROW()-1</f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>IF(LEFT(I468,4)="JK13","PULWAMA",IF(LEFT(I468,4)="JK01","SRINAGAR",IF(LEFT(I468,4)="JK04","BUDGAM",IF(LEFT(I468,4)="JK03","ANANTNAG",IF(LEFT(I468,4)="JK05","BARAMULLA",IF(LEFT(I468,4)="26BH","BHARAT",IF(LEFT(I468,4)="25BH","BHARAT",IF(LEFT(I468,4)="JK12","POONCH",IF(LEFT(I468,4)="JK16","GANDERBAL",IF(LEFT(I468,4)="JK18","KULGAM",IF(LEFT(I468,4)="JK22","SHOPIAN",IF(LEFT(I468,4)="JK02","JAMMU",IF(LEFT(I468,4)="JK09","KUPWARA",IF(LEFT(I468,4)="JK15","BANDIPORA",IF(LEFT(I468,4)="JK17","KISHTWAR",IF(LEFT(I468,4)="LA01","KARGIL",IF(LEFT(I468,1)="T","TEMP","NEW")))))))))))))))))</f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>ROW()-1</f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>IF(LEFT(I469,4)="JK13","PULWAMA",IF(LEFT(I469,4)="JK01","SRINAGAR",IF(LEFT(I469,4)="JK04","BUDGAM",IF(LEFT(I469,4)="JK03","ANANTNAG",IF(LEFT(I469,4)="JK05","BARAMULLA",IF(LEFT(I469,4)="26BH","BHARAT",IF(LEFT(I469,4)="25BH","BHARAT",IF(LEFT(I469,4)="JK12","POONCH",IF(LEFT(I469,4)="JK16","GANDERBAL",IF(LEFT(I469,4)="JK18","KULGAM",IF(LEFT(I469,4)="JK22","SHOPIAN",IF(LEFT(I469,4)="JK02","JAMMU",IF(LEFT(I469,4)="JK09","KUPWARA",IF(LEFT(I469,4)="JK15","BANDIPORA",IF(LEFT(I469,4)="JK17","KISHTWAR",IF(LEFT(I469,4)="LA01","KARGIL",IF(LEFT(I469,1)="T","TEMP","NEW")))))))))))))))))</f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>ROW()-1</f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>IF(LEFT(I470,4)="JK13","PULWAMA",IF(LEFT(I470,4)="JK01","SRINAGAR",IF(LEFT(I470,4)="JK04","BUDGAM",IF(LEFT(I470,4)="JK03","ANANTNAG",IF(LEFT(I470,4)="JK05","BARAMULLA",IF(LEFT(I470,4)="26BH","BHARAT",IF(LEFT(I470,4)="25BH","BHARAT",IF(LEFT(I470,4)="JK12","POONCH",IF(LEFT(I470,4)="JK16","GANDERBAL",IF(LEFT(I470,4)="JK18","KULGAM",IF(LEFT(I470,4)="JK22","SHOPIAN",IF(LEFT(I470,4)="JK02","JAMMU",IF(LEFT(I470,4)="JK09","KUPWARA",IF(LEFT(I470,4)="JK15","BANDIPORA",IF(LEFT(I470,4)="JK17","KISHTWAR",IF(LEFT(I470,4)="LA01","KARGIL",IF(LEFT(I470,1)="T","TEMP","NEW")))))))))))))))))</f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>ROW()-1</f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>IF(LEFT(I471,4)="JK13","PULWAMA",IF(LEFT(I471,4)="JK01","SRINAGAR",IF(LEFT(I471,4)="JK04","BUDGAM",IF(LEFT(I471,4)="JK03","ANANTNAG",IF(LEFT(I471,4)="JK05","BARAMULLA",IF(LEFT(I471,4)="26BH","BHARAT",IF(LEFT(I471,4)="25BH","BHARAT",IF(LEFT(I471,4)="JK12","POONCH",IF(LEFT(I471,4)="JK16","GANDERBAL",IF(LEFT(I471,4)="JK18","KULGAM",IF(LEFT(I471,4)="JK22","SHOPIAN",IF(LEFT(I471,4)="JK02","JAMMU",IF(LEFT(I471,4)="JK09","KUPWARA",IF(LEFT(I471,4)="JK15","BANDIPORA",IF(LEFT(I471,4)="JK17","KISHTWAR",IF(LEFT(I471,4)="LA01","KARGIL",IF(LEFT(I471,1)="T","TEMP","NEW")))))))))))))))))</f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>ROW()-1</f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>IF(LEFT(I472,4)="JK13","PULWAMA",IF(LEFT(I472,4)="JK01","SRINAGAR",IF(LEFT(I472,4)="JK04","BUDGAM",IF(LEFT(I472,4)="JK03","ANANTNAG",IF(LEFT(I472,4)="JK05","BARAMULLA",IF(LEFT(I472,4)="26BH","BHARAT",IF(LEFT(I472,4)="25BH","BHARAT",IF(LEFT(I472,4)="JK12","POONCH",IF(LEFT(I472,4)="JK16","GANDERBAL",IF(LEFT(I472,4)="JK18","KULGAM",IF(LEFT(I472,4)="JK22","SHOPIAN",IF(LEFT(I472,4)="JK02","JAMMU",IF(LEFT(I472,4)="JK09","KUPWARA",IF(LEFT(I472,4)="JK15","BANDIPORA",IF(LEFT(I472,4)="JK17","KISHTWAR",IF(LEFT(I472,4)="LA01","KARGIL",IF(LEFT(I472,1)="T","TEMP","NEW")))))))))))))))))</f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>ROW()-1</f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>IF(LEFT(I473,4)="JK13","PULWAMA",IF(LEFT(I473,4)="JK01","SRINAGAR",IF(LEFT(I473,4)="JK04","BUDGAM",IF(LEFT(I473,4)="JK03","ANANTNAG",IF(LEFT(I473,4)="JK05","BARAMULLA",IF(LEFT(I473,4)="26BH","BHARAT",IF(LEFT(I473,4)="25BH","BHARAT",IF(LEFT(I473,4)="JK12","POONCH",IF(LEFT(I473,4)="JK16","GANDERBAL",IF(LEFT(I473,4)="JK18","KULGAM",IF(LEFT(I473,4)="JK22","SHOPIAN",IF(LEFT(I473,4)="JK02","JAMMU",IF(LEFT(I473,4)="JK09","KUPWARA",IF(LEFT(I473,4)="JK15","BANDIPORA",IF(LEFT(I473,4)="JK17","KISHTWAR",IF(LEFT(I473,4)="LA01","KARGIL",IF(LEFT(I473,1)="T","TEMP","NEW")))))))))))))))))</f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>ROW()-1</f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>IF(LEFT(I474,4)="JK13","PULWAMA",IF(LEFT(I474,4)="JK01","SRINAGAR",IF(LEFT(I474,4)="JK04","BUDGAM",IF(LEFT(I474,4)="JK03","ANANTNAG",IF(LEFT(I474,4)="JK05","BARAMULLA",IF(LEFT(I474,4)="26BH","BHARAT",IF(LEFT(I474,4)="25BH","BHARAT",IF(LEFT(I474,4)="JK12","POONCH",IF(LEFT(I474,4)="JK16","GANDERBAL",IF(LEFT(I474,4)="JK18","KULGAM",IF(LEFT(I474,4)="JK22","SHOPIAN",IF(LEFT(I474,4)="JK02","JAMMU",IF(LEFT(I474,4)="JK09","KUPWARA",IF(LEFT(I474,4)="JK15","BANDIPORA",IF(LEFT(I474,4)="JK17","KISHTWAR",IF(LEFT(I474,4)="LA01","KARGIL",IF(LEFT(I474,1)="T","TEMP","NEW")))))))))))))))))</f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>ROW()-1</f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>IF(LEFT(I475,4)="JK13","PULWAMA",IF(LEFT(I475,4)="JK01","SRINAGAR",IF(LEFT(I475,4)="JK04","BUDGAM",IF(LEFT(I475,4)="JK03","ANANTNAG",IF(LEFT(I475,4)="JK05","BARAMULLA",IF(LEFT(I475,4)="26BH","BHARAT",IF(LEFT(I475,4)="25BH","BHARAT",IF(LEFT(I475,4)="JK12","POONCH",IF(LEFT(I475,4)="JK16","GANDERBAL",IF(LEFT(I475,4)="JK18","KULGAM",IF(LEFT(I475,4)="JK22","SHOPIAN",IF(LEFT(I475,4)="JK02","JAMMU",IF(LEFT(I475,4)="JK09","KUPWARA",IF(LEFT(I475,4)="JK15","BANDIPORA",IF(LEFT(I475,4)="JK17","KISHTWAR",IF(LEFT(I475,4)="LA01","KARGIL",IF(LEFT(I475,1)="T","TEMP","NEW")))))))))))))))))</f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 t="s">
        <v>8941</v>
      </c>
      <c r="N475" s="44">
        <v>46077</v>
      </c>
      <c r="O475" s="43" t="s">
        <v>23</v>
      </c>
      <c r="P475" s="46">
        <v>46077</v>
      </c>
      <c r="Q475" s="43" t="s">
        <v>6459</v>
      </c>
      <c r="R475" s="43"/>
    </row>
    <row r="476" spans="1:18" x14ac:dyDescent="0.25">
      <c r="A476" s="43">
        <f>ROW()-1</f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>IF(LEFT(I476,4)="JK13","PULWAMA",IF(LEFT(I476,4)="JK01","SRINAGAR",IF(LEFT(I476,4)="JK04","BUDGAM",IF(LEFT(I476,4)="JK03","ANANTNAG",IF(LEFT(I476,4)="JK05","BARAMULLA",IF(LEFT(I476,4)="26BH","BHARAT",IF(LEFT(I476,4)="25BH","BHARAT",IF(LEFT(I476,4)="JK12","POONCH",IF(LEFT(I476,4)="JK16","GANDERBAL",IF(LEFT(I476,4)="JK18","KULGAM",IF(LEFT(I476,4)="JK22","SHOPIAN",IF(LEFT(I476,4)="JK02","JAMMU",IF(LEFT(I476,4)="JK09","KUPWARA",IF(LEFT(I476,4)="JK15","BANDIPORA",IF(LEFT(I476,4)="JK17","KISHTWAR",IF(LEFT(I476,4)="LA01","KARGIL",IF(LEFT(I476,1)="T","TEMP","NEW")))))))))))))))))</f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>ROW()-1</f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>IF(LEFT(I477,4)="JK13","PULWAMA",IF(LEFT(I477,4)="JK01","SRINAGAR",IF(LEFT(I477,4)="JK04","BUDGAM",IF(LEFT(I477,4)="JK03","ANANTNAG",IF(LEFT(I477,4)="JK05","BARAMULLA",IF(LEFT(I477,4)="26BH","BHARAT",IF(LEFT(I477,4)="25BH","BHARAT",IF(LEFT(I477,4)="JK12","POONCH",IF(LEFT(I477,4)="JK16","GANDERBAL",IF(LEFT(I477,4)="JK18","KULGAM",IF(LEFT(I477,4)="JK22","SHOPIAN",IF(LEFT(I477,4)="JK02","JAMMU",IF(LEFT(I477,4)="JK09","KUPWARA",IF(LEFT(I477,4)="JK15","BANDIPORA",IF(LEFT(I477,4)="JK17","KISHTWAR",IF(LEFT(I477,4)="LA01","KARGIL",IF(LEFT(I477,1)="T","TEMP","NEW")))))))))))))))))</f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>ROW()-1</f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>ROW()-1</f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>IF(LEFT(I479,4)="JK13","PULWAMA",IF(LEFT(I479,4)="JK01","SRINAGAR",IF(LEFT(I479,4)="JK04","BUDGAM",IF(LEFT(I479,4)="JK03","ANANTNAG",IF(LEFT(I479,4)="JK05","BARAMULLA",IF(LEFT(I479,4)="26BH","BHARAT",IF(LEFT(I479,4)="25BH","BHARAT",IF(LEFT(I479,4)="JK12","POONCH",IF(LEFT(I479,4)="JK16","GANDERBAL",IF(LEFT(I479,4)="JK18","KULGAM",IF(LEFT(I479,4)="JK22","SHOPIAN",IF(LEFT(I479,4)="JK02","JAMMU",IF(LEFT(I479,4)="JK09","KUPWARA",IF(LEFT(I479,4)="JK15","BANDIPORA",IF(LEFT(I479,4)="JK17","KISHTWAR",IF(LEFT(I479,4)="LA01","KARGIL",IF(LEFT(I479,1)="T","TEMP","NEW")))))))))))))))))</f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8961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>ROW()-1</f>
        <v>479</v>
      </c>
      <c r="B480" s="43" t="s">
        <v>8231</v>
      </c>
      <c r="C480" s="43" t="s">
        <v>8229</v>
      </c>
      <c r="D480" s="43" t="s">
        <v>8230</v>
      </c>
      <c r="E480" s="43" t="s">
        <v>3775</v>
      </c>
      <c r="F480" s="43" t="s">
        <v>31</v>
      </c>
      <c r="G480" s="43" t="s">
        <v>200</v>
      </c>
      <c r="H480" s="43" t="str">
        <f>IF(LEFT(I480,4)="JK13","PULWAMA",IF(LEFT(I480,4)="JK01","SRINAGAR",IF(LEFT(I480,4)="JK04","BUDGAM",IF(LEFT(I480,4)="JK03","ANANTNAG",IF(LEFT(I480,4)="JK05","BARAMULLA",IF(LEFT(I480,4)="26BH","BHARAT",IF(LEFT(I480,4)="25BH","BHARAT",IF(LEFT(I480,4)="JK12","POONCH",IF(LEFT(I480,4)="JK16","GANDERBAL",IF(LEFT(I480,4)="JK18","KULGAM",IF(LEFT(I480,4)="JK22","SHOPIAN",IF(LEFT(I480,4)="JK02","JAMMU",IF(LEFT(I480,4)="JK09","KUPWARA",IF(LEFT(I480,4)="JK15","BANDIPORA",IF(LEFT(I480,4)="JK17","KISHTWAR",IF(LEFT(I480,4)="LA01","KARGIL",IF(LEFT(I480,1)="T","TEMP","NEW")))))))))))))))))</f>
        <v>PULWAMA</v>
      </c>
      <c r="I480" s="43" t="s">
        <v>8232</v>
      </c>
      <c r="J480" s="44">
        <v>46032</v>
      </c>
      <c r="K480" s="43">
        <v>7006077313</v>
      </c>
      <c r="L480" s="43" t="s">
        <v>6520</v>
      </c>
      <c r="M480" s="45" t="s">
        <v>7713</v>
      </c>
      <c r="N480" s="53">
        <v>46041</v>
      </c>
      <c r="O480" s="43"/>
      <c r="P480" s="46"/>
      <c r="Q480" s="43"/>
      <c r="R480" s="43" t="s">
        <v>8235</v>
      </c>
    </row>
    <row r="481" spans="1:18" x14ac:dyDescent="0.25">
      <c r="A481" s="43">
        <f>ROW()-1</f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>IF(LEFT(I481,4)="JK13","PULWAMA",IF(LEFT(I481,4)="JK01","SRINAGAR",IF(LEFT(I481,4)="JK04","BUDGAM",IF(LEFT(I481,4)="JK03","ANANTNAG",IF(LEFT(I481,4)="JK05","BARAMULLA",IF(LEFT(I481,4)="26BH","BHARAT",IF(LEFT(I481,4)="25BH","BHARAT",IF(LEFT(I481,4)="JK12","POONCH",IF(LEFT(I481,4)="JK16","GANDERBAL",IF(LEFT(I481,4)="JK18","KULGAM",IF(LEFT(I481,4)="JK22","SHOPIAN",IF(LEFT(I481,4)="JK02","JAMMU",IF(LEFT(I481,4)="JK09","KUPWARA",IF(LEFT(I481,4)="JK15","BANDIPORA",IF(LEFT(I481,4)="JK17","KISHTWAR",IF(LEFT(I481,4)="LA01","KARGIL",IF(LEFT(I481,1)="T","TEMP","NEW")))))))))))))))))</f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>ROW()-1</f>
        <v>481</v>
      </c>
      <c r="B482" s="43" t="s">
        <v>8932</v>
      </c>
      <c r="C482" s="43" t="s">
        <v>8926</v>
      </c>
      <c r="D482" s="43" t="s">
        <v>8927</v>
      </c>
      <c r="E482" s="43" t="s">
        <v>8928</v>
      </c>
      <c r="F482" s="43" t="s">
        <v>238</v>
      </c>
      <c r="G482" s="43" t="s">
        <v>6474</v>
      </c>
      <c r="H482" s="43" t="str">
        <f>IF(LEFT(I482,4)="JK13","PULWAMA",IF(LEFT(I482,4)="JK01","SRINAGAR",IF(LEFT(I482,4)="JK04","BUDGAM",IF(LEFT(I482,4)="JK03","ANANTNAG",IF(LEFT(I482,4)="JK05","BARAMULLA",IF(LEFT(I482,4)="26BH","BHARAT",IF(LEFT(I482,4)="25BH","BHARAT",IF(LEFT(I482,4)="JK12","POONCH",IF(LEFT(I482,4)="JK16","GANDERBAL",IF(LEFT(I482,4)="JK18","KULGAM",IF(LEFT(I482,4)="JK22","SHOPIAN",IF(LEFT(I482,4)="JK02","JAMMU",IF(LEFT(I482,4)="JK09","KUPWARA",IF(LEFT(I482,4)="JK15","BANDIPORA",IF(LEFT(I482,4)="JK17","KISHTWAR",IF(LEFT(I482,4)="LA01","KARGIL",IF(LEFT(I482,1)="T","TEMP","NEW")))))))))))))))))</f>
        <v>PULWAMA</v>
      </c>
      <c r="I482" s="43" t="s">
        <v>8933</v>
      </c>
      <c r="J482" s="44">
        <v>46072</v>
      </c>
      <c r="K482" s="43">
        <v>8899443738</v>
      </c>
      <c r="L482" s="43" t="s">
        <v>6520</v>
      </c>
      <c r="M482" s="45" t="s">
        <v>7713</v>
      </c>
      <c r="N482" s="53">
        <v>46077</v>
      </c>
      <c r="O482" s="43"/>
      <c r="P482" s="46"/>
      <c r="Q482" s="43"/>
      <c r="R482" s="43"/>
    </row>
    <row r="483" spans="1:18" x14ac:dyDescent="0.25">
      <c r="A483" s="43">
        <f>ROW()-1</f>
        <v>482</v>
      </c>
      <c r="B483" s="43" t="s">
        <v>8952</v>
      </c>
      <c r="C483" s="43" t="s">
        <v>8950</v>
      </c>
      <c r="D483" s="43" t="s">
        <v>8951</v>
      </c>
      <c r="E483" s="43" t="s">
        <v>8949</v>
      </c>
      <c r="F483" s="43" t="s">
        <v>486</v>
      </c>
      <c r="G483" s="43" t="s">
        <v>174</v>
      </c>
      <c r="H483" s="43" t="str">
        <f>IF(LEFT(I483,4)="JK13","PULWAMA",IF(LEFT(I483,4)="JK01","SRINAGAR",IF(LEFT(I483,4)="JK04","BUDGAM",IF(LEFT(I483,4)="JK03","ANANTNAG",IF(LEFT(I483,4)="JK05","BARAMULLA",IF(LEFT(I483,4)="26BH","BHARAT",IF(LEFT(I483,4)="25BH","BHARAT",IF(LEFT(I483,4)="JK12","POONCH",IF(LEFT(I483,4)="JK16","GANDERBAL",IF(LEFT(I483,4)="JK18","KULGAM",IF(LEFT(I483,4)="JK22","SHOPIAN",IF(LEFT(I483,4)="JK02","JAMMU",IF(LEFT(I483,4)="JK09","KUPWARA",IF(LEFT(I483,4)="JK15","BANDIPORA",IF(LEFT(I483,4)="JK17","KISHTWAR",IF(LEFT(I483,4)="LA01","KARGIL",IF(LEFT(I483,1)="T","TEMP","NEW")))))))))))))))))</f>
        <v>SHOPIAN</v>
      </c>
      <c r="I483" s="43" t="s">
        <v>8967</v>
      </c>
      <c r="J483" s="44">
        <v>46074</v>
      </c>
      <c r="K483" s="43">
        <v>9419016072</v>
      </c>
      <c r="L483" s="43" t="s">
        <v>6569</v>
      </c>
      <c r="M483" s="45" t="s">
        <v>8941</v>
      </c>
      <c r="N483" s="44">
        <v>46077</v>
      </c>
      <c r="O483" s="43" t="s">
        <v>23</v>
      </c>
      <c r="P483" s="46">
        <v>46077</v>
      </c>
      <c r="Q483" s="43" t="s">
        <v>6459</v>
      </c>
      <c r="R483" s="43"/>
    </row>
    <row r="484" spans="1:18" x14ac:dyDescent="0.25">
      <c r="A484" s="43">
        <f>ROW()-1</f>
        <v>483</v>
      </c>
      <c r="B484" s="43" t="s">
        <v>8953</v>
      </c>
      <c r="C484" s="43" t="s">
        <v>8954</v>
      </c>
      <c r="D484" s="43" t="s">
        <v>8955</v>
      </c>
      <c r="E484" s="43" t="s">
        <v>7971</v>
      </c>
      <c r="F484" s="43" t="s">
        <v>125</v>
      </c>
      <c r="G484" s="43" t="s">
        <v>221</v>
      </c>
      <c r="H484" s="43" t="str">
        <f>IF(LEFT(I484,4)="JK13","PULWAMA",IF(LEFT(I484,4)="JK01","SRINAGAR",IF(LEFT(I484,4)="JK04","BUDGAM",IF(LEFT(I484,4)="JK03","ANANTNAG",IF(LEFT(I484,4)="JK05","BARAMULLA",IF(LEFT(I484,4)="26BH","BHARAT",IF(LEFT(I484,4)="25BH","BHARAT",IF(LEFT(I484,4)="JK12","POONCH",IF(LEFT(I484,4)="JK16","GANDERBAL",IF(LEFT(I484,4)="JK18","KULGAM",IF(LEFT(I484,4)="JK22","SHOPIAN",IF(LEFT(I484,4)="JK02","JAMMU",IF(LEFT(I484,4)="JK09","KUPWARA",IF(LEFT(I484,4)="JK15","BANDIPORA",IF(LEFT(I484,4)="JK17","KISHTWAR",IF(LEFT(I484,4)="LA01","KARGIL",IF(LEFT(I484,1)="T","TEMP","NEW")))))))))))))))))</f>
        <v>SRINAGAR</v>
      </c>
      <c r="I484" s="43" t="s">
        <v>8968</v>
      </c>
      <c r="J484" s="44">
        <v>46074</v>
      </c>
      <c r="K484" s="43">
        <v>9149592772</v>
      </c>
      <c r="L484" s="43" t="s">
        <v>194</v>
      </c>
      <c r="M484" s="45" t="s">
        <v>7593</v>
      </c>
      <c r="N484" s="44">
        <v>46076</v>
      </c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>ROW()-1</f>
        <v>484</v>
      </c>
      <c r="B485" s="43" t="s">
        <v>8956</v>
      </c>
      <c r="C485" s="43" t="s">
        <v>8957</v>
      </c>
      <c r="D485" s="43" t="s">
        <v>8958</v>
      </c>
      <c r="E485" s="43" t="s">
        <v>8959</v>
      </c>
      <c r="F485" s="43" t="s">
        <v>125</v>
      </c>
      <c r="G485" s="43" t="s">
        <v>175</v>
      </c>
      <c r="H485" s="43" t="str">
        <f>IF(LEFT(I485,4)="JK13","PULWAMA",IF(LEFT(I485,4)="JK01","SRINAGAR",IF(LEFT(I485,4)="JK04","BUDGAM",IF(LEFT(I485,4)="JK03","ANANTNAG",IF(LEFT(I485,4)="JK05","BARAMULLA",IF(LEFT(I485,4)="26BH","BHARAT",IF(LEFT(I485,4)="25BH","BHARAT",IF(LEFT(I485,4)="JK12","POONCH",IF(LEFT(I485,4)="JK16","GANDERBAL",IF(LEFT(I485,4)="JK18","KULGAM",IF(LEFT(I485,4)="JK22","SHOPIAN",IF(LEFT(I485,4)="JK02","JAMMU",IF(LEFT(I485,4)="JK09","KUPWARA",IF(LEFT(I485,4)="JK15","BANDIPORA",IF(LEFT(I485,4)="JK17","KISHTWAR",IF(LEFT(I485,4)="LA01","KARGIL",IF(LEFT(I485,1)="T","TEMP","NEW")))))))))))))))))</f>
        <v>BARAMULLA</v>
      </c>
      <c r="I485" s="43" t="s">
        <v>8966</v>
      </c>
      <c r="J485" s="44">
        <v>46074</v>
      </c>
      <c r="K485" s="43">
        <v>6005394474</v>
      </c>
      <c r="L485" s="43" t="s">
        <v>8960</v>
      </c>
      <c r="M485" s="45" t="s">
        <v>9050</v>
      </c>
      <c r="N485" s="44">
        <v>46078</v>
      </c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>ROW()-1</f>
        <v>485</v>
      </c>
      <c r="B486" s="43" t="s">
        <v>8962</v>
      </c>
      <c r="C486" s="43" t="s">
        <v>8963</v>
      </c>
      <c r="D486" s="43" t="s">
        <v>8964</v>
      </c>
      <c r="E486" s="43" t="s">
        <v>8965</v>
      </c>
      <c r="F486" s="43" t="s">
        <v>125</v>
      </c>
      <c r="G486" s="43" t="s">
        <v>200</v>
      </c>
      <c r="H486" s="43" t="str">
        <f>IF(LEFT(I486,4)="JK13","PULWAMA",IF(LEFT(I486,4)="JK01","SRINAGAR",IF(LEFT(I486,4)="JK04","BUDGAM",IF(LEFT(I486,4)="JK03","ANANTNAG",IF(LEFT(I486,4)="JK05","BARAMULLA",IF(LEFT(I486,4)="26BH","BHARAT",IF(LEFT(I486,4)="25BH","BHARAT",IF(LEFT(I486,4)="JK12","POONCH",IF(LEFT(I486,4)="JK16","GANDERBAL",IF(LEFT(I486,4)="JK18","KULGAM",IF(LEFT(I486,4)="JK22","SHOPIAN",IF(LEFT(I486,4)="JK02","JAMMU",IF(LEFT(I486,4)="JK09","KUPWARA",IF(LEFT(I486,4)="JK15","BANDIPORA",IF(LEFT(I486,4)="JK17","KISHTWAR",IF(LEFT(I486,4)="LA01","KARGIL",IF(LEFT(I486,1)="T","TEMP","NEW")))))))))))))))))</f>
        <v>PULWAMA</v>
      </c>
      <c r="I486" s="43" t="s">
        <v>8969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 t="s">
        <v>9011</v>
      </c>
    </row>
    <row r="487" spans="1:18" x14ac:dyDescent="0.25">
      <c r="A487" s="43">
        <f>ROW()-1</f>
        <v>486</v>
      </c>
      <c r="B487" s="43" t="s">
        <v>8979</v>
      </c>
      <c r="C487" s="43" t="s">
        <v>8976</v>
      </c>
      <c r="D487" s="43" t="s">
        <v>8977</v>
      </c>
      <c r="E487" s="43" t="s">
        <v>8978</v>
      </c>
      <c r="F487" s="43" t="s">
        <v>101</v>
      </c>
      <c r="G487" s="43" t="s">
        <v>199</v>
      </c>
      <c r="H487" s="43" t="str">
        <f>IF(LEFT(I487,4)="JK13","PULWAMA",IF(LEFT(I487,4)="JK01","SRINAGAR",IF(LEFT(I487,4)="JK04","BUDGAM",IF(LEFT(I487,4)="JK03","ANANTNAG",IF(LEFT(I487,4)="JK05","BARAMULLA",IF(LEFT(I487,4)="26BH","BHARAT",IF(LEFT(I487,4)="25BH","BHARAT",IF(LEFT(I487,4)="JK12","POONCH",IF(LEFT(I487,4)="JK16","GANDERBAL",IF(LEFT(I487,4)="JK18","KULGAM",IF(LEFT(I487,4)="JK22","SHOPIAN",IF(LEFT(I487,4)="JK02","JAMMU",IF(LEFT(I487,4)="JK09","KUPWARA",IF(LEFT(I487,4)="JK15","BANDIPORA",IF(LEFT(I487,4)="JK17","KISHTWAR",IF(LEFT(I487,4)="LA01","KARGIL",IF(LEFT(I487,1)="T","TEMP","NEW")))))))))))))))))</f>
        <v>KARGIL</v>
      </c>
      <c r="I487" s="43" t="s">
        <v>9191</v>
      </c>
      <c r="J487" s="44">
        <v>46075</v>
      </c>
      <c r="K487" s="43">
        <v>9419955189</v>
      </c>
      <c r="L487" s="43" t="s">
        <v>6450</v>
      </c>
      <c r="M487" s="45"/>
      <c r="N487" s="44"/>
      <c r="O487" s="43"/>
      <c r="P487" s="46"/>
      <c r="Q487" s="43"/>
      <c r="R487" s="43"/>
    </row>
    <row r="488" spans="1:18" x14ac:dyDescent="0.25">
      <c r="A488" s="43">
        <f>ROW()-1</f>
        <v>487</v>
      </c>
      <c r="B488" s="43" t="s">
        <v>8972</v>
      </c>
      <c r="C488" s="43" t="s">
        <v>8973</v>
      </c>
      <c r="D488" s="43" t="s">
        <v>8974</v>
      </c>
      <c r="E488" s="43" t="s">
        <v>8975</v>
      </c>
      <c r="F488" s="43" t="s">
        <v>100</v>
      </c>
      <c r="G488" s="43" t="s">
        <v>174</v>
      </c>
      <c r="H488" s="43" t="str">
        <f>IF(LEFT(I488,4)="JK13","PULWAMA",IF(LEFT(I488,4)="JK01","SRINAGAR",IF(LEFT(I488,4)="JK04","BUDGAM",IF(LEFT(I488,4)="JK03","ANANTNAG",IF(LEFT(I488,4)="JK05","BARAMULLA",IF(LEFT(I488,4)="26BH","BHARAT",IF(LEFT(I488,4)="25BH","BHARAT",IF(LEFT(I488,4)="JK12","POONCH",IF(LEFT(I488,4)="JK16","GANDERBAL",IF(LEFT(I488,4)="JK18","KULGAM",IF(LEFT(I488,4)="JK22","SHOPIAN",IF(LEFT(I488,4)="JK02","JAMMU",IF(LEFT(I488,4)="JK09","KUPWARA",IF(LEFT(I488,4)="JK15","BANDIPORA",IF(LEFT(I488,4)="JK17","KISHTWAR",IF(LEFT(I488,4)="LA01","KARGIL",IF(LEFT(I488,1)="T","TEMP","NEW")))))))))))))))))</f>
        <v>POONCH</v>
      </c>
      <c r="I488" s="43" t="s">
        <v>8988</v>
      </c>
      <c r="J488" s="44">
        <v>46076</v>
      </c>
      <c r="K488" s="43">
        <v>9149718898</v>
      </c>
      <c r="L488" s="43" t="s">
        <v>195</v>
      </c>
      <c r="M488" s="45"/>
      <c r="N488" s="44"/>
      <c r="O488" s="43"/>
      <c r="P488" s="46"/>
      <c r="Q488" s="43"/>
      <c r="R488" s="43"/>
    </row>
    <row r="489" spans="1:18" x14ac:dyDescent="0.25">
      <c r="A489" s="43">
        <f>ROW()-1</f>
        <v>488</v>
      </c>
      <c r="B489" s="43" t="s">
        <v>8980</v>
      </c>
      <c r="C489" s="43" t="s">
        <v>8981</v>
      </c>
      <c r="D489" s="43" t="s">
        <v>8982</v>
      </c>
      <c r="E489" s="43" t="s">
        <v>8983</v>
      </c>
      <c r="F489" s="43" t="s">
        <v>12</v>
      </c>
      <c r="G489" s="43" t="s">
        <v>181</v>
      </c>
      <c r="H489" s="43" t="str">
        <f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16","GANDERBAL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)</f>
        <v>SRINAGAR</v>
      </c>
      <c r="I489" s="43" t="s">
        <v>9002</v>
      </c>
      <c r="J489" s="44">
        <v>46076</v>
      </c>
      <c r="K489" s="43">
        <v>8492809204</v>
      </c>
      <c r="L489" s="43" t="s">
        <v>1517</v>
      </c>
      <c r="M489" s="45" t="s">
        <v>9043</v>
      </c>
      <c r="N489" s="44">
        <v>46078</v>
      </c>
      <c r="O489" s="43" t="s">
        <v>23</v>
      </c>
      <c r="P489" s="46">
        <v>46076</v>
      </c>
      <c r="Q489" s="43" t="s">
        <v>6459</v>
      </c>
      <c r="R489" s="43"/>
    </row>
    <row r="490" spans="1:18" x14ac:dyDescent="0.25">
      <c r="A490" s="43">
        <f>ROW()-1</f>
        <v>489</v>
      </c>
      <c r="B490" s="43" t="s">
        <v>8984</v>
      </c>
      <c r="C490" s="43" t="s">
        <v>8985</v>
      </c>
      <c r="D490" s="43" t="s">
        <v>8986</v>
      </c>
      <c r="E490" s="43" t="s">
        <v>8987</v>
      </c>
      <c r="F490" s="43" t="s">
        <v>290</v>
      </c>
      <c r="G490" s="43" t="s">
        <v>174</v>
      </c>
      <c r="H490" s="43" t="str">
        <f>IF(LEFT(I490,4)="JK13","PULWAMA",IF(LEFT(I490,4)="JK01","SRINAGAR",IF(LEFT(I490,4)="JK04","BUDGAM",IF(LEFT(I490,4)="JK03","ANANTNAG",IF(LEFT(I490,4)="JK05","BARAMULLA",IF(LEFT(I490,4)="26BH","BHARAT",IF(LEFT(I490,4)="25BH","BHARAT",IF(LEFT(I490,4)="JK12","POONCH",IF(LEFT(I490,4)="JK16","GANDERBAL",IF(LEFT(I490,4)="JK18","KULGAM",IF(LEFT(I490,4)="JK22","SHOPIAN",IF(LEFT(I490,4)="JK02","JAMMU",IF(LEFT(I490,4)="JK09","KUPWARA",IF(LEFT(I490,4)="JK15","BANDIPORA",IF(LEFT(I490,4)="JK17","KISHTWAR",IF(LEFT(I490,4)="LA01","KARGIL",IF(LEFT(I490,1)="T","TEMP","NEW")))))))))))))))))</f>
        <v>SRINAGAR</v>
      </c>
      <c r="I490" s="43" t="s">
        <v>9001</v>
      </c>
      <c r="J490" s="44">
        <v>46076</v>
      </c>
      <c r="K490" s="43">
        <v>9717790956</v>
      </c>
      <c r="L490" s="43" t="s">
        <v>1126</v>
      </c>
      <c r="M490" s="45" t="s">
        <v>7698</v>
      </c>
      <c r="N490" s="44">
        <v>46077</v>
      </c>
      <c r="O490" s="43" t="s">
        <v>23</v>
      </c>
      <c r="P490" s="46">
        <v>46077</v>
      </c>
      <c r="Q490" s="43" t="s">
        <v>6459</v>
      </c>
      <c r="R490" s="43"/>
    </row>
    <row r="491" spans="1:18" x14ac:dyDescent="0.25">
      <c r="A491" s="43">
        <f>ROW()-1</f>
        <v>490</v>
      </c>
      <c r="B491" s="43" t="s">
        <v>8989</v>
      </c>
      <c r="C491" s="43" t="s">
        <v>8997</v>
      </c>
      <c r="D491" s="43" t="s">
        <v>8998</v>
      </c>
      <c r="E491" s="43" t="s">
        <v>8999</v>
      </c>
      <c r="F491" s="43" t="s">
        <v>486</v>
      </c>
      <c r="G491" s="43" t="s">
        <v>200</v>
      </c>
      <c r="H491" s="43" t="str">
        <f>IF(LEFT(I491,4)="JK13","PULWAMA",IF(LEFT(I491,4)="JK01","SRINAGAR",IF(LEFT(I491,4)="JK04","BUDGAM",IF(LEFT(I491,4)="JK03","ANANTNAG",IF(LEFT(I491,4)="JK05","BARAMULLA",IF(LEFT(I491,4)="26BH","BHARAT",IF(LEFT(I491,4)="25BH","BHARAT",IF(LEFT(I491,4)="JK12","POONCH",IF(LEFT(I491,4)="JK16","GANDERBAL",IF(LEFT(I491,4)="JK18","KULGAM",IF(LEFT(I491,4)="JK22","SHOPIAN",IF(LEFT(I491,4)="JK02","JAMMU",IF(LEFT(I491,4)="JK09","KUPWARA",IF(LEFT(I491,4)="JK15","BANDIPORA",IF(LEFT(I491,4)="JK17","KISHTWAR",IF(LEFT(I491,4)="LA01","KARGIL",IF(LEFT(I491,1)="T","TEMP","NEW")))))))))))))))))</f>
        <v>SRINAGAR</v>
      </c>
      <c r="I491" s="43" t="s">
        <v>9003</v>
      </c>
      <c r="J491" s="44">
        <v>46076</v>
      </c>
      <c r="K491" s="43">
        <v>9419012598</v>
      </c>
      <c r="L491" s="43" t="s">
        <v>61</v>
      </c>
      <c r="M491" s="45"/>
      <c r="N491" s="44"/>
      <c r="O491" s="43" t="s">
        <v>23</v>
      </c>
      <c r="P491" s="46">
        <v>46076</v>
      </c>
      <c r="Q491" s="43" t="s">
        <v>6459</v>
      </c>
      <c r="R491" s="43"/>
    </row>
    <row r="492" spans="1:18" x14ac:dyDescent="0.25">
      <c r="A492" s="43">
        <f>ROW()-1</f>
        <v>491</v>
      </c>
      <c r="B492" s="43" t="s">
        <v>8990</v>
      </c>
      <c r="C492" s="43" t="s">
        <v>8991</v>
      </c>
      <c r="D492" s="43" t="s">
        <v>8992</v>
      </c>
      <c r="E492" s="43" t="s">
        <v>8993</v>
      </c>
      <c r="F492" s="43" t="s">
        <v>31</v>
      </c>
      <c r="G492" s="43" t="s">
        <v>200</v>
      </c>
      <c r="H492" s="43" t="str">
        <f>IF(LEFT(I492,4)="JK13","PULWAMA",IF(LEFT(I492,4)="JK01","SRINAGAR",IF(LEFT(I492,4)="JK04","BUDGAM",IF(LEFT(I492,4)="JK03","ANANTNAG",IF(LEFT(I492,4)="JK05","BARAMULLA",IF(LEFT(I492,4)="26BH","BHARAT",IF(LEFT(I492,4)="25BH","BHARAT",IF(LEFT(I492,4)="JK12","POONCH",IF(LEFT(I492,4)="JK16","GANDERBAL",IF(LEFT(I492,4)="JK18","KULGAM",IF(LEFT(I492,4)="JK22","SHOPIAN",IF(LEFT(I492,4)="JK02","JAMMU",IF(LEFT(I492,4)="JK09","KUPWARA",IF(LEFT(I492,4)="JK15","BANDIPORA",IF(LEFT(I492,4)="JK17","KISHTWAR",IF(LEFT(I492,4)="LA01","KARGIL",IF(LEFT(I492,1)="T","TEMP","NEW")))))))))))))))))</f>
        <v>SRINAGAR</v>
      </c>
      <c r="I492" s="43" t="s">
        <v>9004</v>
      </c>
      <c r="J492" s="44">
        <v>46076</v>
      </c>
      <c r="K492" s="43">
        <v>9419002700</v>
      </c>
      <c r="L492" s="43" t="s">
        <v>484</v>
      </c>
      <c r="M492" s="45"/>
      <c r="N492" s="44"/>
      <c r="O492" s="43"/>
      <c r="P492" s="46"/>
      <c r="Q492" s="43"/>
      <c r="R492" s="43"/>
    </row>
    <row r="493" spans="1:18" x14ac:dyDescent="0.25">
      <c r="A493" s="43">
        <f>ROW()-1</f>
        <v>492</v>
      </c>
      <c r="B493" s="43" t="s">
        <v>9000</v>
      </c>
      <c r="C493" s="43" t="s">
        <v>8994</v>
      </c>
      <c r="D493" s="43" t="s">
        <v>8995</v>
      </c>
      <c r="E493" s="43" t="s">
        <v>8996</v>
      </c>
      <c r="F493" s="43" t="s">
        <v>31</v>
      </c>
      <c r="G493" s="43" t="s">
        <v>199</v>
      </c>
      <c r="H493" s="43" t="str">
        <f>IF(LEFT(I493,4)="JK13","PULWAMA",IF(LEFT(I493,4)="JK01","SRINAGAR",IF(LEFT(I493,4)="JK04","BUDGAM",IF(LEFT(I493,4)="JK03","ANANTNAG",IF(LEFT(I493,4)="JK05","BARAMULLA",IF(LEFT(I493,4)="26BH","BHARAT",IF(LEFT(I493,4)="25BH","BHARAT",IF(LEFT(I493,4)="JK12","POONCH",IF(LEFT(I493,4)="JK16","GANDERBAL",IF(LEFT(I493,4)="JK18","KULGAM",IF(LEFT(I493,4)="JK22","SHOPIAN",IF(LEFT(I493,4)="JK02","JAMMU",IF(LEFT(I493,4)="JK09","KUPWARA",IF(LEFT(I493,4)="JK15","BANDIPORA",IF(LEFT(I493,4)="JK17","KISHTWAR",IF(LEFT(I493,4)="LA01","KARGIL",IF(LEFT(I493,1)="T","TEMP","NEW")))))))))))))))))</f>
        <v>KUPWARA</v>
      </c>
      <c r="I493" s="43" t="s">
        <v>9005</v>
      </c>
      <c r="J493" s="44">
        <v>46076</v>
      </c>
      <c r="K493" s="43">
        <v>9149534921</v>
      </c>
      <c r="L493" s="43" t="s">
        <v>307</v>
      </c>
      <c r="M493" s="45"/>
      <c r="N493" s="44"/>
      <c r="O493" s="43" t="s">
        <v>8799</v>
      </c>
      <c r="P493" s="46"/>
      <c r="Q493" s="43"/>
      <c r="R493" s="43"/>
    </row>
    <row r="494" spans="1:18" x14ac:dyDescent="0.25">
      <c r="A494" s="43">
        <f>ROW()-1</f>
        <v>493</v>
      </c>
      <c r="B494" s="43" t="s">
        <v>9006</v>
      </c>
      <c r="C494" s="43" t="s">
        <v>9007</v>
      </c>
      <c r="D494" s="43" t="s">
        <v>9008</v>
      </c>
      <c r="E494" s="43" t="s">
        <v>9009</v>
      </c>
      <c r="F494" s="43" t="s">
        <v>119</v>
      </c>
      <c r="G494" s="43" t="s">
        <v>200</v>
      </c>
      <c r="H494" s="43" t="str">
        <f>IF(LEFT(I494,4)="JK13","PULWAMA",IF(LEFT(I494,4)="JK01","SRINAGAR",IF(LEFT(I494,4)="JK04","BUDGAM",IF(LEFT(I494,4)="JK03","ANANTNAG",IF(LEFT(I494,4)="JK05","BARAMULLA",IF(LEFT(I494,4)="26BH","BHARAT",IF(LEFT(I494,4)="25BH","BHARAT",IF(LEFT(I494,4)="JK12","POONCH",IF(LEFT(I494,4)="JK16","GANDERBAL",IF(LEFT(I494,4)="JK18","KULGAM",IF(LEFT(I494,4)="JK22","SHOPIAN",IF(LEFT(I494,4)="JK02","JAMMU",IF(LEFT(I494,4)="JK09","KUPWARA",IF(LEFT(I494,4)="JK15","BANDIPORA",IF(LEFT(I494,4)="JK17","KISHTWAR",IF(LEFT(I494,4)="LA01","KARGIL",IF(LEFT(I494,1)="T","TEMP","NEW")))))))))))))))))</f>
        <v>BUDGAM</v>
      </c>
      <c r="I494" s="43" t="s">
        <v>9010</v>
      </c>
      <c r="J494" s="44">
        <v>46076</v>
      </c>
      <c r="K494" s="43">
        <v>9697051544</v>
      </c>
      <c r="L494" s="43" t="s">
        <v>70</v>
      </c>
      <c r="M494" s="45" t="s">
        <v>7952</v>
      </c>
      <c r="N494" s="44">
        <v>46077</v>
      </c>
      <c r="O494" s="43" t="s">
        <v>23</v>
      </c>
      <c r="P494" s="46">
        <v>46076</v>
      </c>
      <c r="Q494" s="43" t="s">
        <v>6459</v>
      </c>
      <c r="R494" s="43"/>
    </row>
    <row r="495" spans="1:18" x14ac:dyDescent="0.25">
      <c r="A495" s="43">
        <f>ROW()-1</f>
        <v>494</v>
      </c>
      <c r="B495" s="43" t="s">
        <v>9016</v>
      </c>
      <c r="C495" s="43" t="s">
        <v>9017</v>
      </c>
      <c r="D495" s="43" t="s">
        <v>9018</v>
      </c>
      <c r="E495" s="43" t="s">
        <v>9019</v>
      </c>
      <c r="F495" s="43" t="s">
        <v>31</v>
      </c>
      <c r="G495" s="43" t="s">
        <v>199</v>
      </c>
      <c r="H495" s="43" t="str">
        <f>IF(LEFT(I495,4)="JK13","PULWAMA",IF(LEFT(I495,4)="JK01","SRINAGAR",IF(LEFT(I495,4)="JK04","BUDGAM",IF(LEFT(I495,4)="JK03","ANANTNAG",IF(LEFT(I495,4)="JK05","BARAMULLA",IF(LEFT(I495,4)="26BH","BHARAT",IF(LEFT(I495,4)="25BH","BHARAT",IF(LEFT(I495,4)="JK12","POONCH",IF(LEFT(I495,4)="JK16","GANDERBAL",IF(LEFT(I495,4)="JK18","KULGAM",IF(LEFT(I495,4)="JK22","SHOPIAN",IF(LEFT(I495,4)="JK02","JAMMU",IF(LEFT(I495,4)="JK09","KUPWARA",IF(LEFT(I495,4)="JK15","BANDIPORA",IF(LEFT(I495,4)="JK17","KISHTWAR",IF(LEFT(I495,4)="LA01","KARGIL",IF(LEFT(I495,1)="T","TEMP","NEW")))))))))))))))))</f>
        <v>PULWAMA</v>
      </c>
      <c r="I495" s="43" t="s">
        <v>9026</v>
      </c>
      <c r="J495" s="44">
        <v>46077</v>
      </c>
      <c r="K495" s="43">
        <v>7889678128</v>
      </c>
      <c r="L495" s="43" t="s">
        <v>9020</v>
      </c>
      <c r="M495" s="45" t="s">
        <v>9206</v>
      </c>
      <c r="N495" s="44"/>
      <c r="O495" s="43"/>
      <c r="P495" s="46"/>
      <c r="Q495" s="43"/>
      <c r="R495" s="43"/>
    </row>
    <row r="496" spans="1:18" x14ac:dyDescent="0.25">
      <c r="A496" s="43">
        <f>ROW()-1</f>
        <v>495</v>
      </c>
      <c r="B496" s="43" t="s">
        <v>9024</v>
      </c>
      <c r="C496" s="43" t="s">
        <v>9021</v>
      </c>
      <c r="D496" s="43" t="s">
        <v>9022</v>
      </c>
      <c r="E496" s="43" t="s">
        <v>9023</v>
      </c>
      <c r="F496" s="43" t="s">
        <v>119</v>
      </c>
      <c r="G496" s="43" t="s">
        <v>175</v>
      </c>
      <c r="H496" s="43" t="str">
        <f>IF(LEFT(I496,4)="JK13","PULWAMA",IF(LEFT(I496,4)="JK01","SRINAGAR",IF(LEFT(I496,4)="JK04","BUDGAM",IF(LEFT(I496,4)="JK03","ANANTNAG",IF(LEFT(I496,4)="JK05","BARAMULLA",IF(LEFT(I496,4)="26BH","BHARAT",IF(LEFT(I496,4)="25BH","BHARAT",IF(LEFT(I496,4)="JK12","POONCH",IF(LEFT(I496,4)="JK16","GANDERBAL",IF(LEFT(I496,4)="JK18","KULGAM",IF(LEFT(I496,4)="JK22","SHOPIAN",IF(LEFT(I496,4)="JK02","JAMMU",IF(LEFT(I496,4)="JK09","KUPWARA",IF(LEFT(I496,4)="JK15","BANDIPORA",IF(LEFT(I496,4)="JK17","KISHTWAR",IF(LEFT(I496,4)="LA01","KARGIL",IF(LEFT(I496,1)="T","TEMP","NEW")))))))))))))))))</f>
        <v>BARAMULLA</v>
      </c>
      <c r="I496" s="43" t="s">
        <v>9025</v>
      </c>
      <c r="J496" s="44">
        <v>46077</v>
      </c>
      <c r="K496" s="43">
        <v>7051998124</v>
      </c>
      <c r="L496" s="43" t="s">
        <v>8960</v>
      </c>
      <c r="M496" s="45" t="s">
        <v>9050</v>
      </c>
      <c r="N496" s="44">
        <v>46078</v>
      </c>
      <c r="O496" s="43" t="s">
        <v>23</v>
      </c>
      <c r="P496" s="46">
        <v>46078</v>
      </c>
      <c r="Q496" s="43" t="s">
        <v>6459</v>
      </c>
      <c r="R496" s="43"/>
    </row>
    <row r="497" spans="1:18" x14ac:dyDescent="0.25">
      <c r="A497" s="43">
        <f>ROW()-1</f>
        <v>496</v>
      </c>
      <c r="B497" s="43" t="s">
        <v>9028</v>
      </c>
      <c r="C497" s="43" t="s">
        <v>9033</v>
      </c>
      <c r="D497" s="43" t="s">
        <v>9034</v>
      </c>
      <c r="E497" s="43" t="s">
        <v>9032</v>
      </c>
      <c r="F497" s="43" t="s">
        <v>119</v>
      </c>
      <c r="G497" s="43" t="s">
        <v>200</v>
      </c>
      <c r="H497" s="43" t="str">
        <f>IF(LEFT(I497,4)="JK13","PULWAMA",IF(LEFT(I497,4)="JK01","SRINAGAR",IF(LEFT(I497,4)="JK04","BUDGAM",IF(LEFT(I497,4)="JK03","ANANTNAG",IF(LEFT(I497,4)="JK05","BARAMULLA",IF(LEFT(I497,4)="26BH","BHARAT",IF(LEFT(I497,4)="25BH","BHARAT",IF(LEFT(I497,4)="JK12","POONCH",IF(LEFT(I497,4)="JK16","GANDERBAL",IF(LEFT(I497,4)="JK18","KULGAM",IF(LEFT(I497,4)="JK22","SHOPIAN",IF(LEFT(I497,4)="JK02","JAMMU",IF(LEFT(I497,4)="JK09","KUPWARA",IF(LEFT(I497,4)="JK15","BANDIPORA",IF(LEFT(I497,4)="JK17","KISHTWAR",IF(LEFT(I497,4)="LA01","KARGIL",IF(LEFT(I497,1)="T","TEMP","NEW")))))))))))))))))</f>
        <v>BUDGAM</v>
      </c>
      <c r="I497" s="43" t="s">
        <v>9031</v>
      </c>
      <c r="J497" s="44">
        <v>46077</v>
      </c>
      <c r="K497" s="43">
        <v>7889588319</v>
      </c>
      <c r="L497" s="43" t="s">
        <v>70</v>
      </c>
      <c r="M497" s="45" t="s">
        <v>7952</v>
      </c>
      <c r="N497" s="44">
        <v>46081</v>
      </c>
      <c r="O497" s="43" t="s">
        <v>23</v>
      </c>
      <c r="P497" s="46">
        <v>46081</v>
      </c>
      <c r="Q497" s="43" t="s">
        <v>6459</v>
      </c>
      <c r="R497" s="43"/>
    </row>
    <row r="498" spans="1:18" x14ac:dyDescent="0.25">
      <c r="A498" s="43">
        <f>ROW()-1</f>
        <v>497</v>
      </c>
      <c r="B498" s="43" t="s">
        <v>9038</v>
      </c>
      <c r="C498" s="43" t="s">
        <v>9035</v>
      </c>
      <c r="D498" s="43" t="s">
        <v>9036</v>
      </c>
      <c r="E498" s="43" t="s">
        <v>9037</v>
      </c>
      <c r="F498" s="43" t="s">
        <v>101</v>
      </c>
      <c r="G498" s="43" t="s">
        <v>200</v>
      </c>
      <c r="H498" s="43" t="str">
        <f>IF(LEFT(I498,4)="JK13","PULWAMA",IF(LEFT(I498,4)="JK01","SRINAGAR",IF(LEFT(I498,4)="JK04","BUDGAM",IF(LEFT(I498,4)="JK03","ANANTNAG",IF(LEFT(I498,4)="JK05","BARAMULLA",IF(LEFT(I498,4)="26BH","BHARAT",IF(LEFT(I498,4)="25BH","BHARAT",IF(LEFT(I498,4)="JK12","POONCH",IF(LEFT(I498,4)="JK16","GANDERBAL",IF(LEFT(I498,4)="JK18","KULGAM",IF(LEFT(I498,4)="JK22","SHOPIAN",IF(LEFT(I498,4)="JK02","JAMMU",IF(LEFT(I498,4)="JK09","KUPWARA",IF(LEFT(I498,4)="JK15","BANDIPORA",IF(LEFT(I498,4)="JK17","KISHTWAR",IF(LEFT(I498,4)="LA01","KARGIL",IF(LEFT(I498,1)="T","TEMP","NEW")))))))))))))))))</f>
        <v>BARAMULLA</v>
      </c>
      <c r="I498" s="43" t="s">
        <v>9039</v>
      </c>
      <c r="J498" s="44">
        <v>46077</v>
      </c>
      <c r="K498" s="43">
        <v>9906483469</v>
      </c>
      <c r="L498" s="43" t="s">
        <v>1126</v>
      </c>
      <c r="M498" s="45" t="s">
        <v>7698</v>
      </c>
      <c r="N498" s="44">
        <v>46078</v>
      </c>
      <c r="O498" s="43" t="s">
        <v>23</v>
      </c>
      <c r="P498" s="46">
        <v>46077</v>
      </c>
      <c r="Q498" s="43" t="s">
        <v>6459</v>
      </c>
      <c r="R498" s="43"/>
    </row>
    <row r="499" spans="1:18" x14ac:dyDescent="0.25">
      <c r="A499" s="43">
        <f>ROW()-1</f>
        <v>498</v>
      </c>
      <c r="B499" s="43" t="s">
        <v>9045</v>
      </c>
      <c r="C499" s="43" t="s">
        <v>9046</v>
      </c>
      <c r="D499" s="43" t="s">
        <v>9047</v>
      </c>
      <c r="E499" s="43" t="s">
        <v>9048</v>
      </c>
      <c r="F499" s="43" t="s">
        <v>5</v>
      </c>
      <c r="G499" s="43" t="s">
        <v>199</v>
      </c>
      <c r="H499" s="43" t="str">
        <f>IF(LEFT(I499,4)="JK13","PULWAMA",IF(LEFT(I499,4)="JK01","SRINAGAR",IF(LEFT(I499,4)="JK04","BUDGAM",IF(LEFT(I499,4)="JK03","ANANTNAG",IF(LEFT(I499,4)="JK05","BARAMULLA",IF(LEFT(I499,4)="26BH","BHARAT",IF(LEFT(I499,4)="25BH","BHARAT",IF(LEFT(I499,4)="JK12","POONCH",IF(LEFT(I499,4)="JK16","GANDERBAL",IF(LEFT(I499,4)="JK18","KULGAM",IF(LEFT(I499,4)="JK22","SHOPIAN",IF(LEFT(I499,4)="JK02","JAMMU",IF(LEFT(I499,4)="JK09","KUPWARA",IF(LEFT(I499,4)="JK15","BANDIPORA",IF(LEFT(I499,4)="JK17","KISHTWAR",IF(LEFT(I499,4)="LA01","KARGIL",IF(LEFT(I499,1)="T","TEMP","NEW")))))))))))))))))</f>
        <v>SRINAGAR</v>
      </c>
      <c r="I499" s="43" t="s">
        <v>9055</v>
      </c>
      <c r="J499" s="44">
        <v>46078</v>
      </c>
      <c r="K499" s="43">
        <v>7889633998</v>
      </c>
      <c r="L499" s="43" t="s">
        <v>194</v>
      </c>
      <c r="M499" s="45" t="s">
        <v>9077</v>
      </c>
      <c r="N499" s="44">
        <v>46079</v>
      </c>
      <c r="O499" s="43" t="s">
        <v>23</v>
      </c>
      <c r="P499" s="46">
        <v>46079</v>
      </c>
      <c r="Q499" s="43" t="s">
        <v>6459</v>
      </c>
      <c r="R499" s="43"/>
    </row>
    <row r="500" spans="1:18" x14ac:dyDescent="0.25">
      <c r="A500" s="43">
        <f>ROW()-1</f>
        <v>499</v>
      </c>
      <c r="B500" s="43" t="s">
        <v>9051</v>
      </c>
      <c r="C500" s="43" t="s">
        <v>9052</v>
      </c>
      <c r="D500" s="43" t="s">
        <v>9053</v>
      </c>
      <c r="E500" s="43" t="s">
        <v>9054</v>
      </c>
      <c r="F500" s="43" t="s">
        <v>5</v>
      </c>
      <c r="G500" s="43" t="s">
        <v>199</v>
      </c>
      <c r="H500" s="43" t="str">
        <f>IF(LEFT(I500,4)="JK13","PULWAMA",IF(LEFT(I500,4)="JK01","SRINAGAR",IF(LEFT(I500,4)="JK04","BUDGAM",IF(LEFT(I500,4)="JK03","ANANTNAG",IF(LEFT(I500,4)="JK05","BARAMULLA",IF(LEFT(I500,4)="26BH","BHARAT",IF(LEFT(I500,4)="25BH","BHARAT",IF(LEFT(I500,4)="JK12","POONCH",IF(LEFT(I500,4)="JK16","GANDERBAL",IF(LEFT(I500,4)="JK18","KULGAM",IF(LEFT(I500,4)="JK22","SHOPIAN",IF(LEFT(I500,4)="JK02","JAMMU",IF(LEFT(I500,4)="JK09","KUPWARA",IF(LEFT(I500,4)="JK15","BANDIPORA",IF(LEFT(I500,4)="JK17","KISHTWAR",IF(LEFT(I500,4)="LA01","KARGIL",IF(LEFT(I500,1)="T","TEMP","NEW")))))))))))))))))</f>
        <v>PULWAMA</v>
      </c>
      <c r="I500" s="43" t="s">
        <v>9056</v>
      </c>
      <c r="J500" s="44">
        <v>46078</v>
      </c>
      <c r="K500" s="43">
        <v>9906542613</v>
      </c>
      <c r="L500" s="43" t="s">
        <v>26</v>
      </c>
      <c r="M500" s="45" t="s">
        <v>7614</v>
      </c>
      <c r="N500" s="44">
        <v>46080</v>
      </c>
      <c r="O500" s="43" t="s">
        <v>23</v>
      </c>
      <c r="P500" s="46">
        <v>46080</v>
      </c>
      <c r="Q500" s="43" t="s">
        <v>6459</v>
      </c>
      <c r="R500" s="43"/>
    </row>
    <row r="501" spans="1:18" x14ac:dyDescent="0.25">
      <c r="A501" s="43">
        <f>ROW()-1</f>
        <v>500</v>
      </c>
      <c r="B501" s="43" t="s">
        <v>9057</v>
      </c>
      <c r="C501" s="43" t="s">
        <v>9058</v>
      </c>
      <c r="D501" s="43" t="s">
        <v>9059</v>
      </c>
      <c r="E501" s="43" t="s">
        <v>3216</v>
      </c>
      <c r="F501" s="43" t="s">
        <v>193</v>
      </c>
      <c r="G501" s="43" t="s">
        <v>199</v>
      </c>
      <c r="H501" s="43" t="str">
        <f>IF(LEFT(I501,4)="JK13","PULWAMA",IF(LEFT(I501,4)="JK01","SRINAGAR",IF(LEFT(I501,4)="JK04","BUDGAM",IF(LEFT(I501,4)="JK03","ANANTNAG",IF(LEFT(I501,4)="JK05","BARAMULLA",IF(LEFT(I501,4)="26BH","BHARAT",IF(LEFT(I501,4)="25BH","BHARAT",IF(LEFT(I501,4)="JK12","POONCH",IF(LEFT(I501,4)="JK16","GANDERBAL",IF(LEFT(I501,4)="JK18","KULGAM",IF(LEFT(I501,4)="JK22","SHOPIAN",IF(LEFT(I501,4)="JK02","JAMMU",IF(LEFT(I501,4)="JK09","KUPWARA",IF(LEFT(I501,4)="JK15","BANDIPORA",IF(LEFT(I501,4)="JK17","KISHTWAR",IF(LEFT(I501,4)="LA01","KARGIL",IF(LEFT(I501,1)="T","TEMP","NEW")))))))))))))))))</f>
        <v>SRINAGAR</v>
      </c>
      <c r="I501" s="43" t="s">
        <v>9064</v>
      </c>
      <c r="J501" s="44">
        <v>46079</v>
      </c>
      <c r="K501" s="43">
        <v>9622453215</v>
      </c>
      <c r="L501" s="43" t="s">
        <v>75</v>
      </c>
      <c r="M501" s="45" t="s">
        <v>7892</v>
      </c>
      <c r="N501" s="44">
        <v>46080</v>
      </c>
      <c r="O501" s="43" t="s">
        <v>23</v>
      </c>
      <c r="P501" s="46">
        <v>46079</v>
      </c>
      <c r="Q501" s="43" t="s">
        <v>6459</v>
      </c>
      <c r="R501" s="43"/>
    </row>
    <row r="502" spans="1:18" x14ac:dyDescent="0.25">
      <c r="A502" s="43">
        <f>ROW()-1</f>
        <v>501</v>
      </c>
      <c r="B502" s="43" t="s">
        <v>9060</v>
      </c>
      <c r="C502" s="43" t="s">
        <v>9061</v>
      </c>
      <c r="D502" s="43" t="s">
        <v>9062</v>
      </c>
      <c r="E502" s="43" t="s">
        <v>9063</v>
      </c>
      <c r="F502" s="43" t="s">
        <v>37</v>
      </c>
      <c r="G502" s="43" t="s">
        <v>199</v>
      </c>
      <c r="H502" s="43" t="str">
        <f>IF(LEFT(I502,4)="JK13","PULWAMA",IF(LEFT(I502,4)="JK01","SRINAGAR",IF(LEFT(I502,4)="JK04","BUDGAM",IF(LEFT(I502,4)="JK03","ANANTNAG",IF(LEFT(I502,4)="JK05","BARAMULLA",IF(LEFT(I502,4)="26BH","BHARAT",IF(LEFT(I502,4)="25BH","BHARAT",IF(LEFT(I502,4)="JK12","POONCH",IF(LEFT(I502,4)="JK16","GANDERBAL",IF(LEFT(I502,4)="JK18","KULGAM",IF(LEFT(I502,4)="JK22","SHOPIAN",IF(LEFT(I502,4)="JK02","JAMMU",IF(LEFT(I502,4)="JK09","KUPWARA",IF(LEFT(I502,4)="JK15","BANDIPORA",IF(LEFT(I502,4)="JK17","KISHTWAR",IF(LEFT(I502,4)="LA01","KARGIL",IF(LEFT(I502,1)="T","TEMP","NEW")))))))))))))))))</f>
        <v>PULWAMA</v>
      </c>
      <c r="I502" s="43" t="s">
        <v>9065</v>
      </c>
      <c r="J502" s="44">
        <v>46079</v>
      </c>
      <c r="K502" s="43">
        <v>9797714172</v>
      </c>
      <c r="L502" s="43" t="s">
        <v>9020</v>
      </c>
      <c r="M502" s="45"/>
      <c r="N502" s="44"/>
      <c r="O502" s="43"/>
      <c r="P502" s="46"/>
      <c r="Q502" s="43"/>
      <c r="R502" s="43"/>
    </row>
    <row r="503" spans="1:18" x14ac:dyDescent="0.25">
      <c r="A503" s="43">
        <f>ROW()-1</f>
        <v>502</v>
      </c>
      <c r="B503" s="43" t="s">
        <v>9067</v>
      </c>
      <c r="C503" s="43" t="s">
        <v>9068</v>
      </c>
      <c r="D503" s="43" t="s">
        <v>9069</v>
      </c>
      <c r="E503" s="43" t="s">
        <v>9070</v>
      </c>
      <c r="F503" s="43" t="s">
        <v>119</v>
      </c>
      <c r="G503" s="43" t="s">
        <v>174</v>
      </c>
      <c r="H503" s="43" t="str">
        <f>IF(LEFT(I503,4)="JK13","PULWAMA",IF(LEFT(I503,4)="JK01","SRINAGAR",IF(LEFT(I503,4)="JK04","BUDGAM",IF(LEFT(I503,4)="JK03","ANANTNAG",IF(LEFT(I503,4)="JK05","BARAMULLA",IF(LEFT(I503,4)="26BH","BHARAT",IF(LEFT(I503,4)="25BH","BHARAT",IF(LEFT(I503,4)="JK12","POONCH",IF(LEFT(I503,4)="JK16","GANDERBAL",IF(LEFT(I503,4)="JK18","KULGAM",IF(LEFT(I503,4)="JK22","SHOPIAN",IF(LEFT(I503,4)="JK02","JAMMU",IF(LEFT(I503,4)="JK09","KUPWARA",IF(LEFT(I503,4)="JK15","BANDIPORA",IF(LEFT(I503,4)="JK17","KISHTWAR",IF(LEFT(I503,4)="LA01","KARGIL",IF(LEFT(I503,1)="T","TEMP","NEW")))))))))))))))))</f>
        <v>BUDGAM</v>
      </c>
      <c r="I503" s="43" t="s">
        <v>9071</v>
      </c>
      <c r="J503" s="44">
        <v>46079</v>
      </c>
      <c r="K503" s="43">
        <v>7006892157</v>
      </c>
      <c r="L503" s="43" t="s">
        <v>484</v>
      </c>
      <c r="M503" s="45" t="s">
        <v>9158</v>
      </c>
      <c r="N503" s="44">
        <v>46085</v>
      </c>
      <c r="O503" s="43" t="s">
        <v>23</v>
      </c>
      <c r="P503" s="46">
        <v>46086</v>
      </c>
      <c r="Q503" s="43" t="s">
        <v>6459</v>
      </c>
      <c r="R503" s="43"/>
    </row>
    <row r="504" spans="1:18" x14ac:dyDescent="0.25">
      <c r="A504" s="43">
        <f>ROW()-1</f>
        <v>503</v>
      </c>
      <c r="B504" s="43" t="s">
        <v>9072</v>
      </c>
      <c r="C504" s="43" t="s">
        <v>9073</v>
      </c>
      <c r="D504" s="43" t="s">
        <v>9074</v>
      </c>
      <c r="E504" s="43" t="s">
        <v>9075</v>
      </c>
      <c r="F504" s="43" t="s">
        <v>31</v>
      </c>
      <c r="G504" s="43" t="s">
        <v>174</v>
      </c>
      <c r="H504" s="43" t="str">
        <f>IF(LEFT(I504,4)="JK13","PULWAMA",IF(LEFT(I504,4)="JK01","SRINAGAR",IF(LEFT(I504,4)="JK04","BUDGAM",IF(LEFT(I504,4)="JK03","ANANTNAG",IF(LEFT(I504,4)="JK05","BARAMULLA",IF(LEFT(I504,4)="26BH","BHARAT",IF(LEFT(I504,4)="25BH","BHARAT",IF(LEFT(I504,4)="JK12","POONCH",IF(LEFT(I504,4)="JK16","GANDERBAL",IF(LEFT(I504,4)="JK18","KULGAM",IF(LEFT(I504,4)="JK22","SHOPIAN",IF(LEFT(I504,4)="JK02","JAMMU",IF(LEFT(I504,4)="JK09","KUPWARA",IF(LEFT(I504,4)="JK15","BANDIPORA",IF(LEFT(I504,4)="JK17","KISHTWAR",IF(LEFT(I504,4)="LA01","KARGIL",IF(LEFT(I504,1)="T","TEMP","NEW")))))))))))))))))</f>
        <v>BUDGAM</v>
      </c>
      <c r="I504" s="43" t="s">
        <v>9076</v>
      </c>
      <c r="J504" s="44">
        <v>46079</v>
      </c>
      <c r="K504" s="43">
        <v>9149693312</v>
      </c>
      <c r="L504" s="43" t="s">
        <v>7870</v>
      </c>
      <c r="M504" s="45" t="s">
        <v>8655</v>
      </c>
      <c r="N504" s="44">
        <v>46080</v>
      </c>
      <c r="O504" s="43" t="s">
        <v>23</v>
      </c>
      <c r="P504" s="46">
        <v>46080</v>
      </c>
      <c r="Q504" s="43" t="s">
        <v>6459</v>
      </c>
      <c r="R504" s="43"/>
    </row>
    <row r="505" spans="1:18" x14ac:dyDescent="0.25">
      <c r="A505" s="43">
        <f>ROW()-1</f>
        <v>504</v>
      </c>
      <c r="B505" s="43" t="s">
        <v>9078</v>
      </c>
      <c r="C505" s="43" t="s">
        <v>9080</v>
      </c>
      <c r="D505" s="43" t="s">
        <v>9079</v>
      </c>
      <c r="E505" s="43" t="s">
        <v>9081</v>
      </c>
      <c r="F505" s="43" t="s">
        <v>119</v>
      </c>
      <c r="G505" s="43" t="s">
        <v>200</v>
      </c>
      <c r="H505" s="43" t="str">
        <f>IF(LEFT(I505,4)="JK13","PULWAMA",IF(LEFT(I505,4)="JK01","SRINAGAR",IF(LEFT(I505,4)="JK04","BUDGAM",IF(LEFT(I505,4)="JK03","ANANTNAG",IF(LEFT(I505,4)="JK05","BARAMULLA",IF(LEFT(I505,4)="26BH","BHARAT",IF(LEFT(I505,4)="25BH","BHARAT",IF(LEFT(I505,4)="JK12","POONCH",IF(LEFT(I505,4)="JK16","GANDERBAL",IF(LEFT(I505,4)="JK18","KULGAM",IF(LEFT(I505,4)="JK22","SHOPIAN",IF(LEFT(I505,4)="JK02","JAMMU",IF(LEFT(I505,4)="JK09","KUPWARA",IF(LEFT(I505,4)="JK15","BANDIPORA",IF(LEFT(I505,4)="JK17","KISHTWAR",IF(LEFT(I505,4)="LA01","KARGIL",IF(LEFT(I505,1)="T","TEMP","NEW")))))))))))))))))</f>
        <v>BANDIPORA</v>
      </c>
      <c r="I505" s="43" t="s">
        <v>9082</v>
      </c>
      <c r="J505" s="44">
        <v>46080</v>
      </c>
      <c r="K505" s="43">
        <v>9682666271</v>
      </c>
      <c r="L505" s="43" t="s">
        <v>6830</v>
      </c>
      <c r="M505" s="45"/>
      <c r="N505" s="44"/>
      <c r="O505" s="43" t="s">
        <v>23</v>
      </c>
      <c r="P505" s="46">
        <v>46080</v>
      </c>
      <c r="Q505" s="43" t="s">
        <v>6459</v>
      </c>
      <c r="R505" s="43"/>
    </row>
    <row r="506" spans="1:18" x14ac:dyDescent="0.25">
      <c r="A506" s="43">
        <f>ROW()-1</f>
        <v>505</v>
      </c>
      <c r="B506" s="43" t="s">
        <v>9083</v>
      </c>
      <c r="C506" s="43" t="s">
        <v>9084</v>
      </c>
      <c r="D506" s="43" t="s">
        <v>9085</v>
      </c>
      <c r="E506" s="43" t="s">
        <v>2599</v>
      </c>
      <c r="F506" s="43" t="s">
        <v>67</v>
      </c>
      <c r="G506" s="43" t="s">
        <v>199</v>
      </c>
      <c r="H506" s="43" t="str">
        <f>IF(LEFT(I506,4)="JK13","PULWAMA",IF(LEFT(I506,4)="JK01","SRINAGAR",IF(LEFT(I506,4)="JK04","BUDGAM",IF(LEFT(I506,4)="JK03","ANANTNAG",IF(LEFT(I506,4)="JK05","BARAMULLA",IF(LEFT(I506,4)="26BH","BHARAT",IF(LEFT(I506,4)="25BH","BHARAT",IF(LEFT(I506,4)="JK12","POONCH",IF(LEFT(I506,4)="JK16","GANDERBAL",IF(LEFT(I506,4)="JK18","KULGAM",IF(LEFT(I506,4)="JK22","SHOPIAN",IF(LEFT(I506,4)="JK02","JAMMU",IF(LEFT(I506,4)="JK09","KUPWARA",IF(LEFT(I506,4)="JK15","BANDIPORA",IF(LEFT(I506,4)="JK17","KISHTWAR",IF(LEFT(I506,4)="LA01","KARGIL",IF(LEFT(I506,1)="T","TEMP","NEW")))))))))))))))))</f>
        <v>SRINAGAR</v>
      </c>
      <c r="I506" s="43" t="s">
        <v>9086</v>
      </c>
      <c r="J506" s="44">
        <v>46080</v>
      </c>
      <c r="K506" s="43">
        <v>7889489992</v>
      </c>
      <c r="L506" s="43" t="s">
        <v>6805</v>
      </c>
      <c r="M506" s="45" t="s">
        <v>7773</v>
      </c>
      <c r="N506" s="44">
        <v>46088</v>
      </c>
      <c r="O506" s="43" t="s">
        <v>23</v>
      </c>
      <c r="P506" s="46">
        <v>46088</v>
      </c>
      <c r="Q506" s="43" t="s">
        <v>6459</v>
      </c>
      <c r="R506" s="43"/>
    </row>
    <row r="507" spans="1:18" x14ac:dyDescent="0.25">
      <c r="A507" s="43">
        <f>ROW()-1</f>
        <v>506</v>
      </c>
      <c r="B507" s="43" t="s">
        <v>9087</v>
      </c>
      <c r="C507" s="43" t="s">
        <v>9088</v>
      </c>
      <c r="D507" s="43" t="s">
        <v>9089</v>
      </c>
      <c r="E507" s="43" t="s">
        <v>9090</v>
      </c>
      <c r="F507" s="43" t="s">
        <v>12</v>
      </c>
      <c r="G507" s="43" t="s">
        <v>200</v>
      </c>
      <c r="H507" s="43" t="str">
        <f>IF(LEFT(I507,4)="JK13","PULWAMA",IF(LEFT(I507,4)="JK01","SRINAGAR",IF(LEFT(I507,4)="JK04","BUDGAM",IF(LEFT(I507,4)="JK03","ANANTNAG",IF(LEFT(I507,4)="JK05","BARAMULLA",IF(LEFT(I507,4)="26BH","BHARAT",IF(LEFT(I507,4)="25BH","BHARAT",IF(LEFT(I507,4)="JK12","POONCH",IF(LEFT(I507,4)="JK16","GANDERBAL",IF(LEFT(I507,4)="JK18","KULGAM",IF(LEFT(I507,4)="JK22","SHOPIAN",IF(LEFT(I507,4)="JK02","JAMMU",IF(LEFT(I507,4)="JK09","KUPWARA",IF(LEFT(I507,4)="JK15","BANDIPORA",IF(LEFT(I507,4)="JK17","KISHTWAR",IF(LEFT(I507,4)="LA01","KARGIL",IF(LEFT(I507,1)="T","TEMP","NEW")))))))))))))))))</f>
        <v>PULWAMA</v>
      </c>
      <c r="I507" s="43" t="s">
        <v>9093</v>
      </c>
      <c r="J507" s="44">
        <v>46080</v>
      </c>
      <c r="K507" s="43">
        <v>9906831417</v>
      </c>
      <c r="L507" s="43" t="s">
        <v>166</v>
      </c>
      <c r="M507" s="45" t="s">
        <v>7451</v>
      </c>
      <c r="N507" s="44">
        <v>46084</v>
      </c>
      <c r="O507" s="43" t="s">
        <v>23</v>
      </c>
      <c r="P507" s="46">
        <v>46080</v>
      </c>
      <c r="Q507" s="43" t="s">
        <v>6459</v>
      </c>
      <c r="R507" s="43"/>
    </row>
    <row r="508" spans="1:18" x14ac:dyDescent="0.25">
      <c r="A508" s="43">
        <f>ROW()-1</f>
        <v>507</v>
      </c>
      <c r="B508" s="43" t="s">
        <v>9094</v>
      </c>
      <c r="C508" s="43" t="s">
        <v>9095</v>
      </c>
      <c r="D508" s="43" t="s">
        <v>9096</v>
      </c>
      <c r="E508" s="43" t="s">
        <v>9097</v>
      </c>
      <c r="F508" s="43" t="s">
        <v>119</v>
      </c>
      <c r="G508" s="43" t="s">
        <v>175</v>
      </c>
      <c r="H508" s="43" t="str">
        <f>IF(LEFT(I508,4)="JK13","PULWAMA",IF(LEFT(I508,4)="JK01","SRINAGAR",IF(LEFT(I508,4)="JK04","BUDGAM",IF(LEFT(I508,4)="JK03","ANANTNAG",IF(LEFT(I508,4)="JK05","BARAMULLA",IF(LEFT(I508,4)="26BH","BHARAT",IF(LEFT(I508,4)="25BH","BHARAT",IF(LEFT(I508,4)="JK12","POONCH",IF(LEFT(I508,4)="JK16","GANDERBAL",IF(LEFT(I508,4)="JK18","KULGAM",IF(LEFT(I508,4)="JK22","SHOPIAN",IF(LEFT(I508,4)="JK02","JAMMU",IF(LEFT(I508,4)="JK09","KUPWARA",IF(LEFT(I508,4)="JK15","BANDIPORA",IF(LEFT(I508,4)="JK17","KISHTWAR",IF(LEFT(I508,4)="LA01","KARGIL",IF(LEFT(I508,1)="T","TEMP","NEW")))))))))))))))))</f>
        <v>SRINAGAR</v>
      </c>
      <c r="I508" s="43" t="s">
        <v>9098</v>
      </c>
      <c r="J508" s="44">
        <v>46080</v>
      </c>
      <c r="K508" s="43">
        <v>7006390044</v>
      </c>
      <c r="L508" s="43" t="s">
        <v>6830</v>
      </c>
      <c r="M508" s="45" t="s">
        <v>9128</v>
      </c>
      <c r="N508" s="44">
        <v>46081</v>
      </c>
      <c r="O508" s="43" t="s">
        <v>23</v>
      </c>
      <c r="P508" s="46">
        <v>46080</v>
      </c>
      <c r="Q508" s="43" t="s">
        <v>6459</v>
      </c>
      <c r="R508" s="43"/>
    </row>
    <row r="509" spans="1:18" x14ac:dyDescent="0.25">
      <c r="A509" s="43">
        <f>ROW()-1</f>
        <v>508</v>
      </c>
      <c r="B509" s="43" t="s">
        <v>9105</v>
      </c>
      <c r="C509" s="43" t="s">
        <v>9103</v>
      </c>
      <c r="D509" s="43" t="s">
        <v>9104</v>
      </c>
      <c r="E509" s="43" t="s">
        <v>2949</v>
      </c>
      <c r="F509" s="43" t="s">
        <v>12</v>
      </c>
      <c r="G509" s="43" t="s">
        <v>200</v>
      </c>
      <c r="H509" s="43" t="str">
        <f>IF(LEFT(I509,4)="JK13","PULWAMA",IF(LEFT(I509,4)="JK01","SRINAGAR",IF(LEFT(I509,4)="JK04","BUDGAM",IF(LEFT(I509,4)="JK03","ANANTNAG",IF(LEFT(I509,4)="JK05","BARAMULLA",IF(LEFT(I509,4)="26BH","BHARAT",IF(LEFT(I509,4)="25BH","BHARAT",IF(LEFT(I509,4)="JK12","POONCH",IF(LEFT(I509,4)="JK16","GANDERBAL",IF(LEFT(I509,4)="JK18","KULGAM",IF(LEFT(I509,4)="JK22","SHOPIAN",IF(LEFT(I509,4)="JK02","JAMMU",IF(LEFT(I509,4)="JK09","KUPWARA",IF(LEFT(I509,4)="JK15","BANDIPORA",IF(LEFT(I509,4)="JK17","KISHTWAR",IF(LEFT(I509,4)="LA01","KARGIL",IF(LEFT(I509,1)="T","TEMP","NEW")))))))))))))))))</f>
        <v>SRINAGAR</v>
      </c>
      <c r="I509" s="43" t="s">
        <v>9102</v>
      </c>
      <c r="J509" s="44">
        <v>46080</v>
      </c>
      <c r="K509" s="43">
        <v>9906799282</v>
      </c>
      <c r="L509" s="43" t="s">
        <v>6520</v>
      </c>
      <c r="M509" s="45" t="s">
        <v>7713</v>
      </c>
      <c r="N509" s="44">
        <v>46088</v>
      </c>
      <c r="O509" s="43"/>
      <c r="P509" s="46"/>
      <c r="Q509" s="43"/>
      <c r="R509" s="43"/>
    </row>
    <row r="510" spans="1:18" x14ac:dyDescent="0.25">
      <c r="A510" s="43">
        <f>ROW()-1</f>
        <v>509</v>
      </c>
      <c r="B510" s="43" t="s">
        <v>9106</v>
      </c>
      <c r="C510" s="43" t="s">
        <v>9107</v>
      </c>
      <c r="D510" s="43" t="s">
        <v>9108</v>
      </c>
      <c r="E510" s="43" t="s">
        <v>9109</v>
      </c>
      <c r="F510" s="43" t="s">
        <v>193</v>
      </c>
      <c r="G510" s="43" t="s">
        <v>199</v>
      </c>
      <c r="H510" s="43" t="str">
        <f>IF(LEFT(I510,4)="JK13","PULWAMA",IF(LEFT(I510,4)="JK01","SRINAGAR",IF(LEFT(I510,4)="JK04","BUDGAM",IF(LEFT(I510,4)="JK03","ANANTNAG",IF(LEFT(I510,4)="JK05","BARAMULLA",IF(LEFT(I510,4)="26BH","BHARAT",IF(LEFT(I510,4)="25BH","BHARAT",IF(LEFT(I510,4)="JK12","POONCH",IF(LEFT(I510,4)="JK16","GANDERBAL",IF(LEFT(I510,4)="JK18","KULGAM",IF(LEFT(I510,4)="JK22","SHOPIAN",IF(LEFT(I510,4)="JK02","JAMMU",IF(LEFT(I510,4)="JK09","KUPWARA",IF(LEFT(I510,4)="JK15","BANDIPORA",IF(LEFT(I510,4)="JK17","KISHTWAR",IF(LEFT(I510,4)="LA01","KARGIL",IF(LEFT(I510,1)="T","TEMP","NEW")))))))))))))))))</f>
        <v>SRINAGAR</v>
      </c>
      <c r="I510" s="43" t="s">
        <v>9117</v>
      </c>
      <c r="J510" s="44">
        <v>46080</v>
      </c>
      <c r="K510" s="43">
        <v>6005333671</v>
      </c>
      <c r="L510" s="43" t="s">
        <v>194</v>
      </c>
      <c r="M510" s="45" t="s">
        <v>7593</v>
      </c>
      <c r="N510" s="44">
        <v>46086</v>
      </c>
      <c r="O510" s="43" t="s">
        <v>23</v>
      </c>
      <c r="P510" s="46">
        <v>46081</v>
      </c>
      <c r="Q510" s="43" t="s">
        <v>6459</v>
      </c>
      <c r="R510" s="43"/>
    </row>
    <row r="511" spans="1:18" x14ac:dyDescent="0.25">
      <c r="A511" s="43">
        <f>ROW()-1</f>
        <v>510</v>
      </c>
      <c r="B511" s="43" t="s">
        <v>9110</v>
      </c>
      <c r="C511" s="43" t="s">
        <v>9111</v>
      </c>
      <c r="D511" s="43" t="s">
        <v>9112</v>
      </c>
      <c r="E511" s="43" t="s">
        <v>9113</v>
      </c>
      <c r="F511" s="43" t="s">
        <v>125</v>
      </c>
      <c r="G511" s="43" t="s">
        <v>174</v>
      </c>
      <c r="H511" s="43" t="str">
        <f>IF(LEFT(I511,4)="JK13","PULWAMA",IF(LEFT(I511,4)="JK01","SRINAGAR",IF(LEFT(I511,4)="JK04","BUDGAM",IF(LEFT(I511,4)="JK03","ANANTNAG",IF(LEFT(I511,4)="JK05","BARAMULLA",IF(LEFT(I511,4)="26BH","BHARAT",IF(LEFT(I511,4)="25BH","BHARAT",IF(LEFT(I511,4)="JK12","POONCH",IF(LEFT(I511,4)="JK16","GANDERBAL",IF(LEFT(I511,4)="JK18","KULGAM",IF(LEFT(I511,4)="JK22","SHOPIAN",IF(LEFT(I511,4)="JK02","JAMMU",IF(LEFT(I511,4)="JK09","KUPWARA",IF(LEFT(I511,4)="JK15","BANDIPORA",IF(LEFT(I511,4)="JK17","KISHTWAR",IF(LEFT(I511,4)="LA01","KARGIL",IF(LEFT(I511,1)="T","TEMP","NEW")))))))))))))))))</f>
        <v>GANDERBAL</v>
      </c>
      <c r="I511" s="43" t="s">
        <v>9116</v>
      </c>
      <c r="J511" s="44">
        <v>46080</v>
      </c>
      <c r="K511" s="43">
        <v>6005256030</v>
      </c>
      <c r="L511" s="43" t="s">
        <v>194</v>
      </c>
      <c r="M511" s="45"/>
      <c r="N511" s="44"/>
      <c r="O511" s="43" t="s">
        <v>23</v>
      </c>
      <c r="P511" s="46">
        <v>46081</v>
      </c>
      <c r="Q511" s="43" t="s">
        <v>6459</v>
      </c>
      <c r="R511" s="43"/>
    </row>
    <row r="512" spans="1:18" x14ac:dyDescent="0.25">
      <c r="A512" s="43">
        <f>ROW()-1</f>
        <v>511</v>
      </c>
      <c r="B512" s="43" t="s">
        <v>9123</v>
      </c>
      <c r="C512" s="43" t="s">
        <v>9124</v>
      </c>
      <c r="D512" s="43" t="s">
        <v>9125</v>
      </c>
      <c r="E512" s="43" t="s">
        <v>9126</v>
      </c>
      <c r="F512" s="43" t="s">
        <v>100</v>
      </c>
      <c r="G512" s="43" t="s">
        <v>200</v>
      </c>
      <c r="H512" s="43" t="str">
        <f>IF(LEFT(I512,4)="JK13","PULWAMA",IF(LEFT(I512,4)="JK01","SRINAGAR",IF(LEFT(I512,4)="JK04","BUDGAM",IF(LEFT(I512,4)="JK03","ANANTNAG",IF(LEFT(I512,4)="JK05","BARAMULLA",IF(LEFT(I512,4)="26BH","BHARAT",IF(LEFT(I512,4)="25BH","BHARAT",IF(LEFT(I512,4)="JK12","POONCH",IF(LEFT(I512,4)="JK16","GANDERBAL",IF(LEFT(I512,4)="JK18","KULGAM",IF(LEFT(I512,4)="JK22","SHOPIAN",IF(LEFT(I512,4)="JK02","JAMMU",IF(LEFT(I512,4)="JK09","KUPWARA",IF(LEFT(I512,4)="JK15","BANDIPORA",IF(LEFT(I512,4)="JK17","KISHTWAR",IF(LEFT(I512,4)="LA01","KARGIL",IF(LEFT(I512,1)="T","TEMP","NEW")))))))))))))))))</f>
        <v>SRINAGAR</v>
      </c>
      <c r="I512" s="43" t="s">
        <v>9129</v>
      </c>
      <c r="J512" s="44">
        <v>46081</v>
      </c>
      <c r="K512" s="43">
        <v>7006247008</v>
      </c>
      <c r="L512" s="43" t="s">
        <v>9127</v>
      </c>
      <c r="M512" s="45"/>
      <c r="N512" s="44"/>
      <c r="O512" s="43" t="s">
        <v>23</v>
      </c>
      <c r="P512" s="46">
        <v>46081</v>
      </c>
      <c r="Q512" s="43" t="s">
        <v>6459</v>
      </c>
      <c r="R512" s="43"/>
    </row>
    <row r="513" spans="1:18" x14ac:dyDescent="0.25">
      <c r="A513" s="43">
        <f>ROW()-1</f>
        <v>512</v>
      </c>
      <c r="B513" s="43" t="s">
        <v>9139</v>
      </c>
      <c r="C513" s="43" t="s">
        <v>9140</v>
      </c>
      <c r="D513" s="43" t="s">
        <v>9141</v>
      </c>
      <c r="E513" s="43" t="s">
        <v>9142</v>
      </c>
      <c r="F513" s="43" t="s">
        <v>37</v>
      </c>
      <c r="G513" s="43" t="s">
        <v>199</v>
      </c>
      <c r="H513" s="43" t="str">
        <f>IF(LEFT(I513,4)="JK13","PULWAMA",IF(LEFT(I513,4)="JK01","SRINAGAR",IF(LEFT(I513,4)="JK04","BUDGAM",IF(LEFT(I513,4)="JK03","ANANTNAG",IF(LEFT(I513,4)="JK05","BARAMULLA",IF(LEFT(I513,4)="26BH","BHARAT",IF(LEFT(I513,4)="25BH","BHARAT",IF(LEFT(I513,4)="JK12","POONCH",IF(LEFT(I513,4)="JK16","GANDERBAL",IF(LEFT(I513,4)="JK18","KULGAM",IF(LEFT(I513,4)="JK22","SHOPIAN",IF(LEFT(I513,4)="JK02","JAMMU",IF(LEFT(I513,4)="JK09","KUPWARA",IF(LEFT(I513,4)="JK15","BANDIPORA",IF(LEFT(I513,4)="JK17","KISHTWAR",IF(LEFT(I513,4)="LA01","KARGIL",IF(LEFT(I513,1)="T","TEMP","NEW")))))))))))))))))</f>
        <v>SHOPIAN</v>
      </c>
      <c r="I513" s="43" t="s">
        <v>9143</v>
      </c>
      <c r="J513" s="44">
        <v>46085</v>
      </c>
      <c r="K513" s="43">
        <v>7006332778</v>
      </c>
      <c r="L513" s="43" t="s">
        <v>6520</v>
      </c>
      <c r="M513" s="45"/>
      <c r="N513" s="44"/>
      <c r="O513" s="43"/>
      <c r="P513" s="46"/>
      <c r="Q513" s="43"/>
      <c r="R513" s="43"/>
    </row>
    <row r="514" spans="1:18" x14ac:dyDescent="0.25">
      <c r="A514" s="43">
        <f t="shared" ref="A489:A515" si="4">ROW()-1</f>
        <v>513</v>
      </c>
      <c r="B514" s="43" t="s">
        <v>9147</v>
      </c>
      <c r="C514" s="43" t="s">
        <v>9144</v>
      </c>
      <c r="D514" s="43" t="s">
        <v>9145</v>
      </c>
      <c r="E514" s="43" t="s">
        <v>9146</v>
      </c>
      <c r="F514" s="43" t="s">
        <v>12</v>
      </c>
      <c r="G514" s="43" t="s">
        <v>226</v>
      </c>
      <c r="H514" s="43" t="str">
        <f t="shared" ref="H451:H514" si="5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43" t="s">
        <v>9148</v>
      </c>
      <c r="J514" s="44">
        <v>46085</v>
      </c>
      <c r="K514" s="43">
        <v>7006931595</v>
      </c>
      <c r="L514" s="43" t="s">
        <v>26</v>
      </c>
      <c r="M514" s="45" t="s">
        <v>9161</v>
      </c>
      <c r="N514" s="44">
        <v>46087</v>
      </c>
      <c r="O514" s="43" t="s">
        <v>23</v>
      </c>
      <c r="P514" s="46">
        <v>46085</v>
      </c>
      <c r="Q514" s="43" t="s">
        <v>6459</v>
      </c>
      <c r="R514" s="43"/>
    </row>
    <row r="515" spans="1:18" x14ac:dyDescent="0.25">
      <c r="A515" s="43">
        <f t="shared" si="4"/>
        <v>514</v>
      </c>
      <c r="B515" s="43" t="s">
        <v>9149</v>
      </c>
      <c r="C515" s="43" t="s">
        <v>9150</v>
      </c>
      <c r="D515" s="43" t="s">
        <v>9151</v>
      </c>
      <c r="E515" s="43" t="s">
        <v>9152</v>
      </c>
      <c r="F515" s="43" t="s">
        <v>5</v>
      </c>
      <c r="G515" s="43" t="s">
        <v>200</v>
      </c>
      <c r="H515" s="43" t="str">
        <f t="shared" ref="H515:H553" si="6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43" t="s">
        <v>9153</v>
      </c>
      <c r="J515" s="44">
        <v>46085</v>
      </c>
      <c r="K515" s="43">
        <v>7006562713</v>
      </c>
      <c r="L515" s="43" t="s">
        <v>484</v>
      </c>
      <c r="M515" s="45" t="s">
        <v>7771</v>
      </c>
      <c r="N515" s="44">
        <v>46088</v>
      </c>
      <c r="O515" s="43" t="s">
        <v>23</v>
      </c>
      <c r="P515" s="46">
        <v>46086</v>
      </c>
      <c r="Q515" s="43" t="s">
        <v>6459</v>
      </c>
      <c r="R515" s="43"/>
    </row>
    <row r="516" spans="1:18" x14ac:dyDescent="0.25">
      <c r="A516" s="43">
        <f t="shared" ref="A516:A553" si="7">ROW()-1</f>
        <v>515</v>
      </c>
      <c r="B516" s="43" t="s">
        <v>9162</v>
      </c>
      <c r="C516" s="43" t="s">
        <v>9164</v>
      </c>
      <c r="D516" s="43" t="s">
        <v>9163</v>
      </c>
      <c r="E516" s="43" t="s">
        <v>9165</v>
      </c>
      <c r="F516" s="43" t="s">
        <v>31</v>
      </c>
      <c r="G516" s="43" t="s">
        <v>200</v>
      </c>
      <c r="H516" s="43" t="str">
        <f t="shared" si="6"/>
        <v>BUDGAM</v>
      </c>
      <c r="I516" s="43" t="s">
        <v>9188</v>
      </c>
      <c r="J516" s="44">
        <v>46088</v>
      </c>
      <c r="K516" s="43">
        <v>8082622985</v>
      </c>
      <c r="L516" s="43" t="s">
        <v>26</v>
      </c>
      <c r="M516" s="45"/>
      <c r="N516" s="44"/>
      <c r="O516" s="43" t="s">
        <v>23</v>
      </c>
      <c r="P516" s="46">
        <v>46088</v>
      </c>
      <c r="Q516" s="43" t="s">
        <v>6459</v>
      </c>
      <c r="R516" s="43"/>
    </row>
    <row r="517" spans="1:18" x14ac:dyDescent="0.25">
      <c r="A517" s="43">
        <f t="shared" si="7"/>
        <v>516</v>
      </c>
      <c r="B517" s="43" t="s">
        <v>9169</v>
      </c>
      <c r="C517" s="43" t="s">
        <v>9166</v>
      </c>
      <c r="D517" s="43" t="s">
        <v>9167</v>
      </c>
      <c r="E517" s="43" t="s">
        <v>9168</v>
      </c>
      <c r="F517" s="43" t="s">
        <v>119</v>
      </c>
      <c r="G517" s="43" t="s">
        <v>175</v>
      </c>
      <c r="H517" s="43" t="str">
        <f t="shared" si="6"/>
        <v>SHOPIAN</v>
      </c>
      <c r="I517" s="43" t="s">
        <v>9190</v>
      </c>
      <c r="J517" s="44">
        <v>46088</v>
      </c>
      <c r="K517" s="43">
        <v>7780894721</v>
      </c>
      <c r="L517" s="43" t="s">
        <v>6759</v>
      </c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7"/>
        <v>517</v>
      </c>
      <c r="B518" s="43" t="s">
        <v>9170</v>
      </c>
      <c r="C518" s="43" t="s">
        <v>9171</v>
      </c>
      <c r="D518" s="43" t="s">
        <v>9172</v>
      </c>
      <c r="E518" s="43" t="s">
        <v>9173</v>
      </c>
      <c r="F518" s="43" t="s">
        <v>67</v>
      </c>
      <c r="G518" s="43" t="s">
        <v>200</v>
      </c>
      <c r="H518" s="43" t="str">
        <f t="shared" si="6"/>
        <v>SRINAGAR</v>
      </c>
      <c r="I518" s="43" t="s">
        <v>9186</v>
      </c>
      <c r="J518" s="44">
        <v>46088</v>
      </c>
      <c r="K518" s="43">
        <v>6005165476</v>
      </c>
      <c r="L518" s="43" t="s">
        <v>307</v>
      </c>
      <c r="M518" s="45"/>
      <c r="N518" s="44"/>
      <c r="O518" s="43" t="s">
        <v>23</v>
      </c>
      <c r="P518" s="46">
        <v>46088</v>
      </c>
      <c r="Q518" s="43" t="s">
        <v>6459</v>
      </c>
      <c r="R518" s="43"/>
    </row>
    <row r="519" spans="1:18" x14ac:dyDescent="0.25">
      <c r="A519" s="43">
        <f t="shared" si="7"/>
        <v>518</v>
      </c>
      <c r="B519" s="43" t="s">
        <v>9174</v>
      </c>
      <c r="C519" s="43" t="s">
        <v>9175</v>
      </c>
      <c r="D519" s="43" t="s">
        <v>9176</v>
      </c>
      <c r="E519" s="43" t="s">
        <v>2445</v>
      </c>
      <c r="F519" s="43" t="s">
        <v>12</v>
      </c>
      <c r="G519" s="43" t="s">
        <v>226</v>
      </c>
      <c r="H519" s="43" t="str">
        <f t="shared" si="6"/>
        <v>SRINAGAR</v>
      </c>
      <c r="I519" s="43" t="s">
        <v>9185</v>
      </c>
      <c r="J519" s="44">
        <v>46088</v>
      </c>
      <c r="K519" s="43">
        <v>7889809690</v>
      </c>
      <c r="L519" s="43" t="s">
        <v>26</v>
      </c>
      <c r="M519" s="45"/>
      <c r="N519" s="44"/>
      <c r="O519" s="43" t="s">
        <v>23</v>
      </c>
      <c r="P519" s="46">
        <v>46088</v>
      </c>
      <c r="Q519" s="43" t="s">
        <v>6459</v>
      </c>
      <c r="R519" s="43"/>
    </row>
    <row r="520" spans="1:18" x14ac:dyDescent="0.25">
      <c r="A520" s="43">
        <f t="shared" si="7"/>
        <v>519</v>
      </c>
      <c r="B520" s="43" t="s">
        <v>9177</v>
      </c>
      <c r="C520" s="43" t="s">
        <v>9178</v>
      </c>
      <c r="D520" s="43" t="s">
        <v>9179</v>
      </c>
      <c r="E520" s="43" t="s">
        <v>9180</v>
      </c>
      <c r="F520" s="43" t="s">
        <v>100</v>
      </c>
      <c r="G520" s="43" t="s">
        <v>181</v>
      </c>
      <c r="H520" s="43" t="str">
        <f t="shared" si="6"/>
        <v>SRINAGAR</v>
      </c>
      <c r="I520" s="43" t="s">
        <v>9187</v>
      </c>
      <c r="J520" s="44">
        <v>46088</v>
      </c>
      <c r="K520" s="43">
        <v>6006172685</v>
      </c>
      <c r="L520" s="43" t="s">
        <v>484</v>
      </c>
      <c r="M520" s="45"/>
      <c r="N520" s="44"/>
      <c r="O520" s="43" t="s">
        <v>23</v>
      </c>
      <c r="P520" s="46">
        <v>46088</v>
      </c>
      <c r="Q520" s="43" t="s">
        <v>6459</v>
      </c>
      <c r="R520" s="43"/>
    </row>
    <row r="521" spans="1:18" x14ac:dyDescent="0.25">
      <c r="A521" s="43">
        <f t="shared" si="7"/>
        <v>520</v>
      </c>
      <c r="B521" s="43" t="s">
        <v>9181</v>
      </c>
      <c r="C521" s="43" t="s">
        <v>9182</v>
      </c>
      <c r="D521" s="43" t="s">
        <v>9183</v>
      </c>
      <c r="E521" s="43" t="s">
        <v>9184</v>
      </c>
      <c r="F521" s="43" t="s">
        <v>125</v>
      </c>
      <c r="G521" s="43" t="s">
        <v>199</v>
      </c>
      <c r="H521" s="43" t="str">
        <f t="shared" si="6"/>
        <v>BUDGAM</v>
      </c>
      <c r="I521" s="43" t="s">
        <v>9189</v>
      </c>
      <c r="J521" s="44">
        <v>46088</v>
      </c>
      <c r="K521" s="43">
        <v>9797247910</v>
      </c>
      <c r="L521" s="43" t="s">
        <v>110</v>
      </c>
      <c r="M521" s="45" t="s">
        <v>8663</v>
      </c>
      <c r="N521" s="44">
        <v>46088</v>
      </c>
      <c r="O521" s="43" t="s">
        <v>23</v>
      </c>
      <c r="P521" s="46">
        <v>46088</v>
      </c>
      <c r="Q521" s="43" t="s">
        <v>6459</v>
      </c>
      <c r="R521" s="43"/>
    </row>
    <row r="522" spans="1:18" x14ac:dyDescent="0.25">
      <c r="A522" s="43">
        <f t="shared" si="7"/>
        <v>521</v>
      </c>
      <c r="B522" s="43" t="s">
        <v>9192</v>
      </c>
      <c r="C522" s="43" t="s">
        <v>9193</v>
      </c>
      <c r="D522" s="43" t="s">
        <v>9194</v>
      </c>
      <c r="E522" s="43" t="s">
        <v>9195</v>
      </c>
      <c r="F522" s="43" t="s">
        <v>7972</v>
      </c>
      <c r="G522" s="43" t="s">
        <v>174</v>
      </c>
      <c r="H522" s="43" t="str">
        <f t="shared" si="6"/>
        <v>KUPWARA</v>
      </c>
      <c r="I522" s="43" t="s">
        <v>9196</v>
      </c>
      <c r="J522" s="44">
        <v>46088</v>
      </c>
      <c r="K522" s="43">
        <v>9906911075</v>
      </c>
      <c r="L522" s="43" t="s">
        <v>166</v>
      </c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7"/>
        <v>522</v>
      </c>
      <c r="B523" s="43" t="s">
        <v>9199</v>
      </c>
      <c r="C523" s="43" t="s">
        <v>9197</v>
      </c>
      <c r="D523" s="43" t="s">
        <v>9198</v>
      </c>
      <c r="E523" s="43" t="s">
        <v>3252</v>
      </c>
      <c r="F523" s="43" t="s">
        <v>31</v>
      </c>
      <c r="G523" s="43" t="s">
        <v>199</v>
      </c>
      <c r="H523" s="43" t="str">
        <f t="shared" si="6"/>
        <v>ANANTNAG</v>
      </c>
      <c r="I523" s="43" t="s">
        <v>9200</v>
      </c>
      <c r="J523" s="44">
        <v>46088</v>
      </c>
      <c r="K523" s="43">
        <v>9906065017</v>
      </c>
      <c r="L523" s="43" t="s">
        <v>26</v>
      </c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7"/>
        <v>523</v>
      </c>
      <c r="B524" s="43"/>
      <c r="C524" s="43"/>
      <c r="D524" s="43"/>
      <c r="E524" s="43"/>
      <c r="F524" s="43"/>
      <c r="G524" s="43"/>
      <c r="H524" s="43" t="str">
        <f t="shared" si="6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7"/>
        <v>524</v>
      </c>
      <c r="B525" s="43"/>
      <c r="C525" s="43"/>
      <c r="D525" s="43"/>
      <c r="E525" s="43"/>
      <c r="F525" s="43"/>
      <c r="G525" s="43"/>
      <c r="H525" s="43" t="str">
        <f t="shared" si="6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7"/>
        <v>525</v>
      </c>
      <c r="B526" s="43"/>
      <c r="C526" s="43"/>
      <c r="D526" s="43"/>
      <c r="E526" s="43"/>
      <c r="F526" s="43"/>
      <c r="G526" s="43"/>
      <c r="H526" s="43" t="str">
        <f t="shared" si="6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7"/>
        <v>526</v>
      </c>
      <c r="B527" s="43"/>
      <c r="C527" s="43"/>
      <c r="D527" s="43"/>
      <c r="E527" s="43"/>
      <c r="F527" s="43"/>
      <c r="G527" s="43"/>
      <c r="H527" s="43" t="str">
        <f t="shared" si="6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7"/>
        <v>527</v>
      </c>
      <c r="B528" s="43"/>
      <c r="C528" s="43"/>
      <c r="D528" s="43"/>
      <c r="E528" s="43"/>
      <c r="F528" s="43"/>
      <c r="G528" s="43"/>
      <c r="H528" s="43" t="str">
        <f t="shared" si="6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7"/>
        <v>528</v>
      </c>
      <c r="B529" s="43"/>
      <c r="C529" s="43"/>
      <c r="D529" s="43"/>
      <c r="E529" s="43"/>
      <c r="F529" s="43"/>
      <c r="G529" s="43"/>
      <c r="H529" s="43" t="str">
        <f t="shared" si="6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7"/>
        <v>529</v>
      </c>
      <c r="B530" s="43"/>
      <c r="C530" s="43"/>
      <c r="D530" s="43"/>
      <c r="E530" s="43"/>
      <c r="F530" s="43"/>
      <c r="G530" s="43"/>
      <c r="H530" s="43" t="str">
        <f t="shared" si="6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7"/>
        <v>530</v>
      </c>
      <c r="B531" s="43"/>
      <c r="C531" s="43"/>
      <c r="D531" s="43"/>
      <c r="E531" s="43"/>
      <c r="F531" s="43"/>
      <c r="G531" s="43"/>
      <c r="H531" s="43" t="str">
        <f t="shared" si="6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7"/>
        <v>531</v>
      </c>
      <c r="B532" s="43"/>
      <c r="C532" s="43"/>
      <c r="D532" s="43"/>
      <c r="E532" s="43"/>
      <c r="F532" s="43"/>
      <c r="G532" s="43"/>
      <c r="H532" s="43" t="str">
        <f t="shared" si="6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7"/>
        <v>532</v>
      </c>
      <c r="B533" s="43"/>
      <c r="C533" s="43"/>
      <c r="D533" s="43"/>
      <c r="E533" s="43"/>
      <c r="F533" s="43"/>
      <c r="G533" s="43"/>
      <c r="H533" s="43" t="str">
        <f t="shared" si="6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7"/>
        <v>533</v>
      </c>
      <c r="B534" s="43"/>
      <c r="C534" s="43"/>
      <c r="D534" s="43"/>
      <c r="E534" s="43"/>
      <c r="F534" s="43"/>
      <c r="G534" s="43"/>
      <c r="H534" s="43" t="str">
        <f t="shared" si="6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7"/>
        <v>534</v>
      </c>
      <c r="B535" s="43"/>
      <c r="C535" s="43"/>
      <c r="D535" s="43"/>
      <c r="E535" s="43"/>
      <c r="F535" s="43"/>
      <c r="G535" s="43"/>
      <c r="H535" s="43" t="str">
        <f t="shared" si="6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7"/>
        <v>535</v>
      </c>
      <c r="B536" s="43"/>
      <c r="C536" s="43"/>
      <c r="D536" s="43"/>
      <c r="E536" s="43"/>
      <c r="F536" s="43"/>
      <c r="G536" s="43"/>
      <c r="H536" s="43" t="str">
        <f t="shared" si="6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7"/>
        <v>536</v>
      </c>
      <c r="B537" s="43"/>
      <c r="C537" s="43"/>
      <c r="D537" s="43"/>
      <c r="E537" s="43"/>
      <c r="F537" s="43"/>
      <c r="G537" s="43"/>
      <c r="H537" s="43" t="str">
        <f t="shared" si="6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7"/>
        <v>537</v>
      </c>
      <c r="B538" s="43"/>
      <c r="C538" s="43"/>
      <c r="D538" s="43"/>
      <c r="E538" s="43"/>
      <c r="F538" s="43"/>
      <c r="G538" s="43"/>
      <c r="H538" s="43" t="str">
        <f t="shared" si="6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7"/>
        <v>538</v>
      </c>
      <c r="B539" s="43"/>
      <c r="C539" s="43"/>
      <c r="D539" s="43"/>
      <c r="E539" s="43"/>
      <c r="F539" s="43"/>
      <c r="G539" s="43"/>
      <c r="H539" s="43" t="str">
        <f t="shared" si="6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7"/>
        <v>539</v>
      </c>
      <c r="B540" s="43"/>
      <c r="C540" s="43"/>
      <c r="D540" s="43"/>
      <c r="E540" s="43"/>
      <c r="F540" s="43"/>
      <c r="G540" s="43"/>
      <c r="H540" s="43" t="str">
        <f t="shared" si="6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7"/>
        <v>540</v>
      </c>
      <c r="B541" s="43"/>
      <c r="C541" s="43"/>
      <c r="D541" s="43"/>
      <c r="E541" s="43"/>
      <c r="F541" s="43"/>
      <c r="G541" s="43"/>
      <c r="H541" s="43" t="str">
        <f t="shared" si="6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7"/>
        <v>541</v>
      </c>
      <c r="B542" s="43"/>
      <c r="C542" s="43"/>
      <c r="D542" s="43"/>
      <c r="E542" s="43"/>
      <c r="F542" s="43"/>
      <c r="G542" s="43"/>
      <c r="H542" s="43" t="str">
        <f t="shared" si="6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7"/>
        <v>542</v>
      </c>
      <c r="B543" s="43"/>
      <c r="C543" s="43"/>
      <c r="D543" s="43"/>
      <c r="E543" s="43"/>
      <c r="F543" s="43"/>
      <c r="G543" s="43"/>
      <c r="H543" s="43" t="str">
        <f t="shared" si="6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7"/>
        <v>543</v>
      </c>
      <c r="B544" s="43"/>
      <c r="C544" s="43"/>
      <c r="D544" s="43"/>
      <c r="E544" s="43"/>
      <c r="F544" s="43"/>
      <c r="G544" s="43"/>
      <c r="H544" s="43" t="str">
        <f t="shared" si="6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7"/>
        <v>544</v>
      </c>
      <c r="B545" s="43"/>
      <c r="C545" s="43"/>
      <c r="D545" s="43"/>
      <c r="E545" s="43"/>
      <c r="F545" s="43"/>
      <c r="G545" s="43"/>
      <c r="H545" s="43" t="str">
        <f t="shared" si="6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7"/>
        <v>545</v>
      </c>
      <c r="B546" s="43"/>
      <c r="C546" s="43"/>
      <c r="D546" s="43"/>
      <c r="E546" s="43"/>
      <c r="F546" s="43"/>
      <c r="G546" s="43"/>
      <c r="H546" s="43" t="str">
        <f t="shared" si="6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7"/>
        <v>546</v>
      </c>
      <c r="B547" s="43"/>
      <c r="C547" s="43"/>
      <c r="D547" s="43"/>
      <c r="E547" s="43"/>
      <c r="F547" s="43"/>
      <c r="G547" s="43"/>
      <c r="H547" s="43" t="str">
        <f t="shared" si="6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7"/>
        <v>547</v>
      </c>
      <c r="B548" s="43"/>
      <c r="C548" s="43"/>
      <c r="D548" s="43"/>
      <c r="E548" s="43"/>
      <c r="F548" s="43"/>
      <c r="G548" s="43"/>
      <c r="H548" s="43" t="str">
        <f t="shared" si="6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7"/>
        <v>548</v>
      </c>
      <c r="B549" s="43"/>
      <c r="C549" s="43"/>
      <c r="D549" s="43"/>
      <c r="E549" s="43"/>
      <c r="F549" s="43"/>
      <c r="G549" s="43"/>
      <c r="H549" s="43" t="str">
        <f t="shared" si="6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7"/>
        <v>549</v>
      </c>
      <c r="B550" s="43"/>
      <c r="C550" s="43"/>
      <c r="D550" s="43"/>
      <c r="E550" s="43"/>
      <c r="F550" s="43"/>
      <c r="G550" s="43"/>
      <c r="H550" s="43" t="str">
        <f t="shared" si="6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7"/>
        <v>550</v>
      </c>
      <c r="B551" s="43"/>
      <c r="C551" s="43"/>
      <c r="D551" s="43"/>
      <c r="E551" s="43"/>
      <c r="F551" s="43"/>
      <c r="G551" s="43"/>
      <c r="H551" s="43" t="str">
        <f t="shared" si="6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7"/>
        <v>551</v>
      </c>
      <c r="B552" s="43"/>
      <c r="C552" s="43"/>
      <c r="D552" s="43"/>
      <c r="E552" s="43"/>
      <c r="F552" s="43"/>
      <c r="G552" s="43"/>
      <c r="H552" s="43" t="str">
        <f t="shared" si="6"/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7"/>
        <v>552</v>
      </c>
      <c r="B553" s="43"/>
      <c r="C553" s="43"/>
      <c r="D553" s="43"/>
      <c r="E553" s="43"/>
      <c r="F553" s="43"/>
      <c r="G553" s="43"/>
      <c r="H553" s="43" t="str">
        <f t="shared" si="6"/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ht="15.75" x14ac:dyDescent="0.25">
      <c r="B554" s="43"/>
      <c r="C554" s="43"/>
      <c r="D554" s="43"/>
      <c r="E554" s="43"/>
      <c r="F554" s="43"/>
      <c r="G554" s="43"/>
      <c r="H554" s="1"/>
      <c r="I554" s="43"/>
      <c r="J554" s="19"/>
      <c r="K554" s="43"/>
      <c r="M554" t="s">
        <v>44</v>
      </c>
    </row>
    <row r="555" spans="1:18" ht="15.75" x14ac:dyDescent="0.25">
      <c r="F555" s="1"/>
      <c r="G555" s="1"/>
      <c r="H555" s="1"/>
      <c r="I555" s="20"/>
      <c r="K555" s="43"/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3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3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1:11" x14ac:dyDescent="0.25">
      <c r="K561" s="43"/>
    </row>
    <row r="562" spans="11:11" x14ac:dyDescent="0.25">
      <c r="K562" s="43"/>
    </row>
    <row r="563" spans="11:11" x14ac:dyDescent="0.25">
      <c r="K563" s="43"/>
    </row>
    <row r="564" spans="11:11" x14ac:dyDescent="0.25">
      <c r="K564" s="43"/>
    </row>
    <row r="565" spans="11:11" x14ac:dyDescent="0.25">
      <c r="K565" s="43"/>
    </row>
    <row r="566" spans="11:11" x14ac:dyDescent="0.25">
      <c r="K566" s="43"/>
    </row>
    <row r="567" spans="11:11" x14ac:dyDescent="0.25">
      <c r="K567" s="43"/>
    </row>
    <row r="568" spans="11:11" x14ac:dyDescent="0.25">
      <c r="K568" s="43"/>
    </row>
    <row r="569" spans="11:11" x14ac:dyDescent="0.25">
      <c r="K569" s="43"/>
    </row>
    <row r="570" spans="11:11" x14ac:dyDescent="0.25">
      <c r="K570" s="43"/>
    </row>
    <row r="571" spans="11:11" x14ac:dyDescent="0.25">
      <c r="K571" s="43"/>
    </row>
    <row r="572" spans="11:11" x14ac:dyDescent="0.25">
      <c r="K572" s="43"/>
    </row>
    <row r="573" spans="11:11" x14ac:dyDescent="0.25">
      <c r="K573" s="43"/>
    </row>
    <row r="574" spans="11:11" x14ac:dyDescent="0.25">
      <c r="K574" s="43"/>
    </row>
    <row r="575" spans="11:11" x14ac:dyDescent="0.25">
      <c r="K575" s="43"/>
    </row>
    <row r="576" spans="11:11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2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57 A3:G217 H3:H553 N57:N58 I58:M58 O58:R58 I59:R86 N76:N391 I87:M87 O87:R87 I88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3 J387:K391 L387:R438 K389:K438 J392 I393:J411 I409:I420 J412 A413:B413 I413:J413 A414 J414:J418 A415:B415 A416:A426 I419:J443 A427:B429 A430 A431:B432 A433:A434 A435:B435 A436:A447 K439:R441 K441:K469 L442:R443 I444:M444 L445:R448 I445:J462 A448:G448 A449:A553 M457:R457 L458:R469 K461:L468 I462:I463 J463 I464:J469 I470:R474 A473:G473 I473:I477 K474:K478 J475 L475:R475 J476:R476 I477:J478 L477:R479 I479:K482 I480:I493 K482:K487 J483:K483 J484:J485 I486:J486 J487 I488:K488 J489:K490 J491:J493 I494:J495 J496 I496:I500 J497:R498 J499 L499:R499 J500:R500 I501:J508 I507:I511 J509 F525:F553 I524:R553 B554:G554 I554 K554:K643 I510:J515 I522:J523 J516:J521 I515:I522 B297:G533 K490:K524 L501:R523 L483:R496 L482:M482 O482:R482 L481:R481 L480:M480 O480:R480 L452:R456 L451:M451 O451:R451 L450:R450 L449:M449 O449:R449 O444:R444">
    <cfRule type="expression" dxfId="19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556:O565 L554:O555">
    <cfRule type="expression" dxfId="13" priority="18">
      <formula>ROW(M93)=HighlightRow</formula>
    </cfRule>
  </conditionalFormatting>
  <conditionalFormatting sqref="P554:Q565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E495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6"/>
  <sheetViews>
    <sheetView topLeftCell="A292" zoomScaleNormal="100" workbookViewId="0">
      <selection activeCell="A307" sqref="A307:XFD31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>
        <v>9419590443</v>
      </c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8164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8948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8959</v>
      </c>
      <c r="C275" s="43">
        <v>6005394474</v>
      </c>
      <c r="D275" s="43" t="s">
        <v>8970</v>
      </c>
      <c r="E275" s="43" t="s">
        <v>8966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3" t="s">
        <v>7971</v>
      </c>
      <c r="C276" s="43">
        <v>9149592772</v>
      </c>
      <c r="D276" s="43" t="s">
        <v>8971</v>
      </c>
      <c r="E276" s="43" t="s">
        <v>8968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 t="s">
        <v>9012</v>
      </c>
      <c r="C277" s="43">
        <v>9797960469</v>
      </c>
      <c r="D277" s="43" t="s">
        <v>9013</v>
      </c>
      <c r="E277" s="43" t="s">
        <v>9003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3" t="s">
        <v>9009</v>
      </c>
      <c r="C278" s="43">
        <v>9697051544</v>
      </c>
      <c r="D278" s="43" t="s">
        <v>9014</v>
      </c>
      <c r="E278" s="43" t="s">
        <v>9010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3" t="s">
        <v>8983</v>
      </c>
      <c r="C279" s="43">
        <v>8492809204</v>
      </c>
      <c r="D279" s="43" t="s">
        <v>9015</v>
      </c>
      <c r="E279" s="43" t="s">
        <v>9002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3" t="s">
        <v>9121</v>
      </c>
      <c r="C280" s="43">
        <v>9697771194</v>
      </c>
      <c r="D280" s="43" t="s">
        <v>9029</v>
      </c>
      <c r="E280" s="43" t="s">
        <v>9122</v>
      </c>
      <c r="F280" s="21">
        <v>46079</v>
      </c>
      <c r="G280" s="21" t="s">
        <v>342</v>
      </c>
      <c r="H280" s="19" t="s">
        <v>6664</v>
      </c>
    </row>
    <row r="281" spans="1:8" ht="15.75" x14ac:dyDescent="0.25">
      <c r="A281" s="19">
        <f t="shared" si="4"/>
        <v>279</v>
      </c>
      <c r="B281" s="43" t="s">
        <v>8949</v>
      </c>
      <c r="C281" s="43">
        <v>9419016072</v>
      </c>
      <c r="D281" s="43" t="s">
        <v>9030</v>
      </c>
      <c r="E281" s="43" t="s">
        <v>8967</v>
      </c>
      <c r="F281" s="21">
        <v>46078</v>
      </c>
      <c r="G281" s="21" t="s">
        <v>342</v>
      </c>
      <c r="H281" s="19" t="s">
        <v>6664</v>
      </c>
    </row>
    <row r="282" spans="1:8" ht="15.75" x14ac:dyDescent="0.25">
      <c r="A282" s="19">
        <f t="shared" si="4"/>
        <v>280</v>
      </c>
      <c r="B282" s="43" t="s">
        <v>9037</v>
      </c>
      <c r="C282" s="43">
        <v>6005494898</v>
      </c>
      <c r="D282" s="43" t="s">
        <v>9040</v>
      </c>
      <c r="E282" s="43" t="s">
        <v>9039</v>
      </c>
      <c r="F282" s="21">
        <v>46077</v>
      </c>
      <c r="G282" s="21" t="s">
        <v>341</v>
      </c>
      <c r="H282" s="19" t="s">
        <v>6664</v>
      </c>
    </row>
    <row r="283" spans="1:8" ht="15.75" x14ac:dyDescent="0.25">
      <c r="A283" s="19">
        <f t="shared" si="4"/>
        <v>281</v>
      </c>
      <c r="B283" s="43" t="s">
        <v>8987</v>
      </c>
      <c r="C283" s="43">
        <v>9818486696</v>
      </c>
      <c r="D283" s="43" t="s">
        <v>9041</v>
      </c>
      <c r="E283" s="43" t="s">
        <v>9001</v>
      </c>
      <c r="F283" s="21">
        <v>46077</v>
      </c>
      <c r="G283" s="21" t="s">
        <v>341</v>
      </c>
      <c r="H283" s="19" t="s">
        <v>6664</v>
      </c>
    </row>
    <row r="284" spans="1:8" ht="15.75" x14ac:dyDescent="0.25">
      <c r="A284" s="19">
        <f t="shared" si="4"/>
        <v>282</v>
      </c>
      <c r="B284" s="43" t="s">
        <v>9049</v>
      </c>
      <c r="C284" s="43">
        <v>7051998124</v>
      </c>
      <c r="D284" s="43" t="s">
        <v>9044</v>
      </c>
      <c r="E284" s="43" t="s">
        <v>9025</v>
      </c>
      <c r="F284" s="21">
        <v>46078</v>
      </c>
      <c r="G284" s="21" t="s">
        <v>341</v>
      </c>
      <c r="H284" s="19" t="s">
        <v>6664</v>
      </c>
    </row>
    <row r="285" spans="1:8" ht="15.75" x14ac:dyDescent="0.25">
      <c r="A285" s="19">
        <f t="shared" si="4"/>
        <v>283</v>
      </c>
      <c r="B285" s="43" t="s">
        <v>3216</v>
      </c>
      <c r="C285" s="43">
        <v>9622453215</v>
      </c>
      <c r="D285" s="43" t="s">
        <v>9066</v>
      </c>
      <c r="E285" s="43" t="s">
        <v>9064</v>
      </c>
      <c r="F285" s="21">
        <v>46079</v>
      </c>
      <c r="G285" s="21" t="s">
        <v>341</v>
      </c>
      <c r="H285" s="19" t="s">
        <v>6664</v>
      </c>
    </row>
    <row r="286" spans="1:8" ht="15.75" x14ac:dyDescent="0.25">
      <c r="A286" s="19">
        <f t="shared" si="4"/>
        <v>284</v>
      </c>
      <c r="B286" s="43" t="s">
        <v>9048</v>
      </c>
      <c r="C286" s="43">
        <v>7889633998</v>
      </c>
      <c r="D286" s="43" t="s">
        <v>9101</v>
      </c>
      <c r="E286" s="43" t="s">
        <v>9055</v>
      </c>
      <c r="F286" s="21">
        <v>46079</v>
      </c>
      <c r="G286" s="21" t="s">
        <v>341</v>
      </c>
      <c r="H286" s="19" t="s">
        <v>6664</v>
      </c>
    </row>
    <row r="287" spans="1:8" ht="15.75" x14ac:dyDescent="0.25">
      <c r="A287" s="19">
        <f t="shared" si="4"/>
        <v>285</v>
      </c>
      <c r="B287" s="43" t="s">
        <v>9081</v>
      </c>
      <c r="C287" s="43">
        <v>9682666271</v>
      </c>
      <c r="D287" s="43" t="s">
        <v>9099</v>
      </c>
      <c r="E287" s="43" t="s">
        <v>9100</v>
      </c>
      <c r="F287" s="21">
        <v>46080</v>
      </c>
      <c r="G287" s="21" t="s">
        <v>341</v>
      </c>
      <c r="H287" s="19" t="s">
        <v>6664</v>
      </c>
    </row>
    <row r="288" spans="1:8" ht="15.75" x14ac:dyDescent="0.25">
      <c r="A288" s="19">
        <f t="shared" si="4"/>
        <v>286</v>
      </c>
      <c r="B288" s="43" t="s">
        <v>9114</v>
      </c>
      <c r="C288" s="43">
        <v>9906844402</v>
      </c>
      <c r="D288" s="43" t="s">
        <v>9115</v>
      </c>
      <c r="E288" s="43" t="s">
        <v>9093</v>
      </c>
      <c r="F288" s="21">
        <v>46080</v>
      </c>
      <c r="G288" s="21" t="s">
        <v>341</v>
      </c>
      <c r="H288" s="19" t="s">
        <v>6664</v>
      </c>
    </row>
    <row r="289" spans="1:8" ht="15.75" x14ac:dyDescent="0.25">
      <c r="A289" s="19">
        <f t="shared" si="4"/>
        <v>287</v>
      </c>
      <c r="B289" s="43" t="s">
        <v>9054</v>
      </c>
      <c r="C289" s="43">
        <v>9906542613</v>
      </c>
      <c r="D289" s="43" t="s">
        <v>9118</v>
      </c>
      <c r="E289" s="43" t="s">
        <v>9056</v>
      </c>
      <c r="F289" s="21">
        <v>46081</v>
      </c>
      <c r="G289" s="21" t="s">
        <v>341</v>
      </c>
      <c r="H289" s="19" t="s">
        <v>6664</v>
      </c>
    </row>
    <row r="290" spans="1:8" ht="15.75" x14ac:dyDescent="0.25">
      <c r="A290" s="19">
        <f t="shared" si="4"/>
        <v>288</v>
      </c>
      <c r="B290" s="43" t="s">
        <v>9119</v>
      </c>
      <c r="C290" s="43">
        <v>7006390044</v>
      </c>
      <c r="D290" s="43" t="s">
        <v>9120</v>
      </c>
      <c r="E290" s="43" t="s">
        <v>9098</v>
      </c>
      <c r="F290" s="21">
        <v>46081</v>
      </c>
      <c r="G290" s="21" t="s">
        <v>341</v>
      </c>
      <c r="H290" s="19" t="s">
        <v>6664</v>
      </c>
    </row>
    <row r="291" spans="1:8" ht="15.75" x14ac:dyDescent="0.25">
      <c r="A291" s="19">
        <f t="shared" si="4"/>
        <v>289</v>
      </c>
      <c r="B291" s="43" t="s">
        <v>9032</v>
      </c>
      <c r="C291" s="43">
        <v>7889588319</v>
      </c>
      <c r="D291" s="43" t="s">
        <v>9130</v>
      </c>
      <c r="E291" s="43" t="s">
        <v>9031</v>
      </c>
      <c r="F291" s="21">
        <v>46081</v>
      </c>
      <c r="G291" s="21" t="s">
        <v>341</v>
      </c>
      <c r="H291" s="19" t="s">
        <v>6664</v>
      </c>
    </row>
    <row r="292" spans="1:8" ht="15.75" x14ac:dyDescent="0.25">
      <c r="A292" s="19">
        <f t="shared" si="4"/>
        <v>290</v>
      </c>
      <c r="B292" s="43" t="s">
        <v>9109</v>
      </c>
      <c r="C292" s="43">
        <v>6005333671</v>
      </c>
      <c r="D292" s="43" t="s">
        <v>9131</v>
      </c>
      <c r="E292" s="43" t="s">
        <v>9117</v>
      </c>
      <c r="F292" s="21">
        <v>46081</v>
      </c>
      <c r="G292" s="21" t="s">
        <v>341</v>
      </c>
      <c r="H292" s="19" t="s">
        <v>6664</v>
      </c>
    </row>
    <row r="293" spans="1:8" ht="15.75" x14ac:dyDescent="0.25">
      <c r="A293" s="19">
        <f t="shared" si="4"/>
        <v>291</v>
      </c>
      <c r="B293" s="43" t="s">
        <v>9137</v>
      </c>
      <c r="C293" s="43">
        <v>7006247008</v>
      </c>
      <c r="D293" s="43" t="s">
        <v>9132</v>
      </c>
      <c r="E293" s="43" t="s">
        <v>9129</v>
      </c>
      <c r="F293" s="21">
        <v>46084</v>
      </c>
      <c r="G293" s="21" t="s">
        <v>341</v>
      </c>
      <c r="H293" s="19" t="s">
        <v>6664</v>
      </c>
    </row>
    <row r="294" spans="1:8" ht="15.75" x14ac:dyDescent="0.25">
      <c r="A294" s="19">
        <f t="shared" si="4"/>
        <v>292</v>
      </c>
      <c r="B294" s="43" t="s">
        <v>9138</v>
      </c>
      <c r="C294" s="43">
        <v>6005256030</v>
      </c>
      <c r="D294" s="43" t="s">
        <v>9133</v>
      </c>
      <c r="E294" s="43" t="s">
        <v>9116</v>
      </c>
      <c r="F294" s="21">
        <v>46084</v>
      </c>
      <c r="G294" s="21" t="s">
        <v>341</v>
      </c>
      <c r="H294" s="19" t="s">
        <v>6664</v>
      </c>
    </row>
    <row r="295" spans="1:8" ht="15.75" x14ac:dyDescent="0.25">
      <c r="A295" s="19">
        <f t="shared" si="4"/>
        <v>293</v>
      </c>
      <c r="B295" s="43" t="s">
        <v>9135</v>
      </c>
      <c r="C295" s="43">
        <v>8825080594</v>
      </c>
      <c r="D295" s="43" t="s">
        <v>9134</v>
      </c>
      <c r="E295" s="43" t="s">
        <v>9136</v>
      </c>
      <c r="F295" s="21">
        <v>46082</v>
      </c>
      <c r="G295" s="21" t="s">
        <v>398</v>
      </c>
      <c r="H295" s="19" t="s">
        <v>6664</v>
      </c>
    </row>
    <row r="296" spans="1:8" ht="15.75" x14ac:dyDescent="0.25">
      <c r="A296" s="19">
        <f t="shared" si="4"/>
        <v>294</v>
      </c>
      <c r="B296" s="43" t="s">
        <v>9146</v>
      </c>
      <c r="C296" s="43">
        <v>7006931595</v>
      </c>
      <c r="D296" s="43" t="s">
        <v>9154</v>
      </c>
      <c r="E296" s="43" t="s">
        <v>9148</v>
      </c>
      <c r="F296" s="21">
        <v>46085</v>
      </c>
      <c r="G296" s="21" t="s">
        <v>341</v>
      </c>
      <c r="H296" s="19" t="s">
        <v>6664</v>
      </c>
    </row>
    <row r="297" spans="1:8" ht="15.75" x14ac:dyDescent="0.25">
      <c r="A297" s="19">
        <f t="shared" si="4"/>
        <v>295</v>
      </c>
      <c r="B297" s="43" t="s">
        <v>9155</v>
      </c>
      <c r="C297" s="43">
        <v>7006562713</v>
      </c>
      <c r="D297" s="43" t="s">
        <v>9156</v>
      </c>
      <c r="E297" s="43" t="s">
        <v>9153</v>
      </c>
      <c r="F297" s="21">
        <v>46086</v>
      </c>
      <c r="G297" s="21" t="s">
        <v>341</v>
      </c>
      <c r="H297" s="19" t="s">
        <v>6664</v>
      </c>
    </row>
    <row r="298" spans="1:8" ht="15.75" x14ac:dyDescent="0.25">
      <c r="A298" s="19">
        <f t="shared" si="4"/>
        <v>296</v>
      </c>
      <c r="B298" s="43" t="s">
        <v>9159</v>
      </c>
      <c r="C298" s="43">
        <v>7006892157</v>
      </c>
      <c r="D298" s="43" t="s">
        <v>9160</v>
      </c>
      <c r="E298" s="43" t="s">
        <v>9071</v>
      </c>
      <c r="F298" s="21">
        <v>46086</v>
      </c>
      <c r="G298" s="21" t="s">
        <v>341</v>
      </c>
      <c r="H298" s="19" t="s">
        <v>6664</v>
      </c>
    </row>
    <row r="299" spans="1:8" ht="15.75" x14ac:dyDescent="0.25">
      <c r="A299" s="19">
        <f t="shared" si="4"/>
        <v>297</v>
      </c>
      <c r="B299" s="43" t="s">
        <v>1285</v>
      </c>
      <c r="C299" s="43">
        <v>9797247910</v>
      </c>
      <c r="D299" s="43" t="s">
        <v>9201</v>
      </c>
      <c r="E299" s="43" t="s">
        <v>9189</v>
      </c>
      <c r="F299" s="21">
        <v>46088</v>
      </c>
      <c r="G299" s="21" t="s">
        <v>341</v>
      </c>
      <c r="H299" s="19" t="s">
        <v>6664</v>
      </c>
    </row>
    <row r="300" spans="1:8" ht="15.75" x14ac:dyDescent="0.25">
      <c r="A300" s="19">
        <f t="shared" si="4"/>
        <v>298</v>
      </c>
      <c r="B300" s="43" t="s">
        <v>9173</v>
      </c>
      <c r="C300" s="43">
        <v>6005165476</v>
      </c>
      <c r="D300" s="43" t="s">
        <v>9202</v>
      </c>
      <c r="E300" s="43" t="s">
        <v>9186</v>
      </c>
      <c r="F300" s="21">
        <v>46088</v>
      </c>
      <c r="G300" s="21" t="s">
        <v>341</v>
      </c>
      <c r="H300" s="19" t="s">
        <v>6664</v>
      </c>
    </row>
    <row r="301" spans="1:8" ht="15.75" x14ac:dyDescent="0.25">
      <c r="A301" s="19">
        <f t="shared" si="4"/>
        <v>299</v>
      </c>
      <c r="B301" s="43" t="s">
        <v>9180</v>
      </c>
      <c r="C301" s="43">
        <v>6006172685</v>
      </c>
      <c r="D301" s="43" t="s">
        <v>9203</v>
      </c>
      <c r="E301" s="43" t="s">
        <v>9187</v>
      </c>
      <c r="F301" s="21">
        <v>46088</v>
      </c>
      <c r="G301" s="21" t="s">
        <v>341</v>
      </c>
      <c r="H301" s="19" t="s">
        <v>6664</v>
      </c>
    </row>
    <row r="302" spans="1:8" ht="15.75" x14ac:dyDescent="0.25">
      <c r="A302" s="19">
        <f t="shared" si="4"/>
        <v>300</v>
      </c>
      <c r="B302" s="43" t="s">
        <v>2445</v>
      </c>
      <c r="C302" s="43">
        <v>7889809690</v>
      </c>
      <c r="D302" s="43" t="s">
        <v>9204</v>
      </c>
      <c r="E302" s="43" t="s">
        <v>9185</v>
      </c>
      <c r="F302" s="21">
        <v>46088</v>
      </c>
      <c r="G302" s="21" t="s">
        <v>341</v>
      </c>
      <c r="H302" s="19" t="s">
        <v>6664</v>
      </c>
    </row>
    <row r="303" spans="1:8" ht="15.75" x14ac:dyDescent="0.25">
      <c r="A303" s="19">
        <f t="shared" si="4"/>
        <v>301</v>
      </c>
      <c r="B303" s="43" t="s">
        <v>9165</v>
      </c>
      <c r="C303" s="43">
        <v>8082622985</v>
      </c>
      <c r="D303" s="43" t="s">
        <v>9205</v>
      </c>
      <c r="E303" s="43" t="s">
        <v>9188</v>
      </c>
      <c r="F303" s="21">
        <v>46088</v>
      </c>
      <c r="G303" s="21" t="s">
        <v>341</v>
      </c>
      <c r="H303" s="19" t="s">
        <v>6664</v>
      </c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</sheetData>
  <mergeCells count="1">
    <mergeCell ref="A1:H1"/>
  </mergeCells>
  <phoneticPr fontId="29" type="noConversion"/>
  <conditionalFormatting sqref="B104 E104 B122:E155 E277 B290:E306">
    <cfRule type="expression" dxfId="9" priority="40">
      <formula>CELL("row")=ROW()</formula>
    </cfRule>
  </conditionalFormatting>
  <conditionalFormatting sqref="B252:C252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170:E303">
    <cfRule type="expression" dxfId="6" priority="1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2026-03-07T11:55:55Z</dcterms:modified>
</cp:coreProperties>
</file>