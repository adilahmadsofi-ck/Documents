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59A6C42-E828-46EC-B005-9A373E37BDEB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76" i="7" l="1"/>
  <c r="A577" i="7"/>
  <c r="A578" i="7"/>
  <c r="A574" i="7"/>
  <c r="A575" i="7"/>
  <c r="H876" i="4" l="1"/>
  <c r="H879" i="4"/>
  <c r="H877" i="4"/>
  <c r="H880" i="4"/>
  <c r="H881" i="4"/>
  <c r="H882" i="4"/>
  <c r="H883" i="4"/>
  <c r="A876" i="4"/>
  <c r="A879" i="4"/>
  <c r="A877" i="4"/>
  <c r="A880" i="4"/>
  <c r="A881" i="4"/>
  <c r="A882" i="4"/>
  <c r="A883" i="4"/>
  <c r="H870" i="4" l="1"/>
  <c r="H871" i="4"/>
  <c r="H872" i="4"/>
  <c r="H873" i="4"/>
  <c r="H874" i="4"/>
  <c r="H875" i="4"/>
  <c r="H878" i="4"/>
  <c r="A870" i="4"/>
  <c r="A871" i="4"/>
  <c r="A872" i="4"/>
  <c r="A873" i="4"/>
  <c r="A874" i="4"/>
  <c r="A875" i="4"/>
  <c r="A878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<sst xmlns="http://schemas.openxmlformats.org/spreadsheetml/2006/main" count="28335" uniqueCount="11404">
  <si>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</si>
  <si>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</si>
  <si>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</si>
  <si>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</si>
  <si>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</si>
  <si>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</si>
  <si>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</si>
  <si>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</si>
  <si>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</si>
  <si>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</si>
  <si>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</si>
  <si>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</si>
  <si>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</si>
  <si>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</si>
  <si>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</si>
  <si>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</si>
  <si>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</si>
  <si>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</si>
  <si>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</si>
  <si>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</si>
  <si>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</si>
  <si>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</si>
  <si>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</si>
  <si>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</si>
  <si>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</si>
  <si>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</si>
  <si>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</si>
  <si>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</si>
  <si>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</si>
  <si>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</si>
  <si>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</si>
  <si>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</si>
  <si>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</si>
  <si>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</si>
  <si>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</si>
  <si>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</si>
  <si>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</si>
  <si>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</si>
  <si>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</si>
  <si>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</si>
  <si>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</si>
  <si>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</si>
  <si>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</si>
  <si>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</si>
  <si>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</si>
  <si>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</si>
  <si>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</si>
  <si>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</si>
  <si>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</si>
  <si>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</si>
  <si>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</si>
  <si>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</si>
  <si>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</si>
  <si>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</si>
  <si>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</si>
  <si>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</si>
  <si>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</si>
  <si>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</si>
  <si>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</si>
  <si>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</si>
  <si>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</si>
  <si>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</si>
  <si>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</si>
  <si>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</si>
  <si>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</si>
  <si>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</si>
  <si>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</si>
  <si>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</si>
  <si>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</si>
  <si>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</si>
  <si>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</si>
  <si>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</si>
  <si>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</si>
  <si>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</si>
  <si>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</si>
  <si>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</si>
  <si>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</si>
  <si>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</si>
  <si>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</si>
  <si>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</si>
  <si>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</si>
  <si>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</si>
  <si>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</si>
  <si>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</si>
  <si>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</si>
  <si>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</si>
  <si>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</si>
  <si>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</si>
  <si>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</si>
  <si>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</si>
  <si>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</si>
  <si>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</si>
  <si>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</si>
  <si>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</si>
  <si>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</si>
  <si>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</si>
  <si>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</si>
  <si>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</si>
  <si>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</si>
  <si>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</si>
  <si>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</si>
  <si>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</si>
  <si>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</si>
  <si>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</si>
  <si>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</si>
  <si>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</si>
  <si>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</si>
  <si>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</si>
  <si>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</si>
  <si>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</si>
  <si>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</si>
  <si>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</si>
  <si>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</si>
  <si>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</si>
  <si>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</si>
  <si>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</si>
  <si>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</si>
  <si>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</si>
  <si>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</si>
  <si>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</si>
  <si>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</si>
  <si>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</si>
  <si>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</si>
  <si>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</si>
  <si>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</si>
  <si>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</si>
  <si>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</si>
  <si>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</si>
  <si>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</si>
  <si>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</si>
  <si>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</si>
  <si>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</si>
  <si>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</si>
  <si>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</si>
  <si>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</si>
  <si>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</si>
  <si>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</si>
  <si>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</si>
  <si>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</si>
  <si>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</si>
  <si>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</si>
  <si>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</si>
  <si>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</si>
  <si>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</si>
  <si>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</si>
  <si>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</si>
  <si>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</si>
  <si>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</si>
  <si>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</si>
  <si>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</si>
  <si>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</si>
  <si>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</si>
  <si>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</si>
  <si>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</si>
  <si>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</si>
  <si>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</si>
  <si>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</si>
  <si>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</si>
  <si>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</si>
  <si>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</si>
  <si>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</si>
  <si>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</si>
  <si>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</si>
  <si>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</si>
  <si>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</si>
  <si>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</si>
  <si>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</si>
  <si>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</si>
  <si>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</si>
  <si>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</si>
  <si>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</si>
  <si>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</si>
  <si>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</si>
  <si>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</si>
  <si>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</si>
  <si>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</si>
  <si>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</si>
  <si>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</si>
  <si>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</si>
  <si>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</si>
  <si>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</si>
  <si>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</si>
  <si>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</si>
  <si>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</si>
  <si>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</si>
  <si>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</si>
  <si>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</si>
  <si>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</si>
  <si>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</si>
  <si>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</si>
  <si>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</si>
  <si>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</si>
  <si>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</si>
  <si>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</si>
  <si>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</si>
  <si>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</si>
  <si>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</si>
  <si>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</si>
  <si>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</si>
  <si>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</si>
  <si>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</si>
  <si>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</si>
  <si>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</si>
  <si>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</si>
  <si>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</si>
  <si>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</si>
  <si>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</si>
  <si>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</si>
  <si>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</si>
  <si>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</si>
  <si>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</si>
  <si>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</si>
  <si>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</si>
  <si>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</si>
  <si>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</si>
  <si>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</si>
  <si>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</si>
  <si>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</si>
  <si>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</si>
  <si>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</si>
  <si>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</si>
  <si>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</si>
  <si>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</si>
  <si>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</si>
  <si>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</si>
  <si>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</si>
  <si>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</si>
  <si>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</si>
  <si>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</si>
  <si>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</si>
  <si>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</si>
  <si>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</si>
  <si>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</si>
  <si>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</si>
  <si>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</si>
  <si>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</si>
  <si>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</si>
  <si>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</si>
  <si>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</si>
  <si>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</si>
  <si>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</si>
  <si>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</si>
  <si>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</si>
  <si>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</si>
  <si>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</si>
  <si>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</si>
  <si>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</si>
  <si>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</si>
  <si>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</si>
  <si>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</si>
  <si>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</si>
  <si>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</si>
  <si>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</si>
  <si>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</si>
  <si>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</si>
  <si>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</si>
  <si>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</si>
  <si>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</si>
  <si>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</si>
  <si>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</si>
  <si>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</si>
  <si>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</si>
  <si>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</si>
  <si>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</si>
  <si>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</si>
  <si>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</si>
  <si>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</si>
  <si>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</si>
  <si>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</si>
  <si>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</si>
  <si>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</si>
  <si>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</si>
  <si>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</si>
  <si>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</si>
  <si>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</si>
  <si>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</si>
  <si>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</si>
  <si>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</si>
  <si>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</si>
  <si>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</si>
  <si>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</si>
  <si>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</si>
  <si>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</si>
  <si>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</si>
  <si>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</si>
  <si>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</si>
  <si>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</si>
  <si>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</si>
  <si>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</si>
  <si>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</si>
  <si>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</si>
  <si>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</si>
  <si>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</si>
  <si>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</si>
  <si>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</si>
  <si>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</si>
  <si>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</si>
  <si>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</si>
  <si>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</si>
  <si>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</si>
  <si>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</si>
  <si>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</si>
  <si>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</si>
  <si>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</si>
  <si>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</si>
  <si>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</si>
  <si>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</si>
  <si>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</si>
  <si>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</si>
  <si>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</si>
  <si>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</si>
  <si>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</si>
  <si>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</si>
  <si>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</si>
  <si>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</si>
  <si>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</si>
  <si>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</si>
  <si>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</si>
  <si>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</si>
  <si>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</si>
  <si>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</si>
  <si>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</si>
  <si>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</si>
  <si>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</si>
  <si>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</si>
  <si>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</si>
  <si>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</si>
  <si>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</si>
  <si>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</si>
  <si>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</si>
  <si>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</si>
  <si>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</si>
  <si>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</si>
  <si>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</si>
  <si>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</si>
  <si>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</si>
  <si>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</si>
  <si>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</si>
  <si>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</si>
  <si>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</si>
  <si>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</si>
  <si>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</si>
  <si>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</si>
  <si>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</si>
  <si>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</si>
  <si>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</si>
  <si>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</si>
  <si>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</si>
  <si>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</si>
  <si>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</si>
  <si>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</si>
  <si>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</si>
  <si>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</si>
  <si>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</si>
  <si>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</si>
  <si>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</si>
  <si>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</si>
  <si>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</si>
  <si>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</si>
  <si>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</si>
  <si>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</si>
  <si>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</si>
  <si>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</si>
  <si>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</si>
  <si>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</si>
  <si>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</si>
  <si>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</si>
  <si>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</si>
  <si>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</si>
  <si>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</si>
  <si>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</si>
  <si>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</si>
  <si>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</si>
  <si>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</si>
  <si>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</si>
  <si>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</si>
  <si>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</si>
  <si>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</si>
  <si>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</si>
  <si>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</si>
  <si>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</si>
  <si>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</si>
  <si>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</si>
  <si>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</si>
  <si>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</si>
  <si>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</si>
  <si>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</si>
  <si>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</si>
  <si>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</si>
  <si>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</si>
  <si>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</si>
  <si>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</si>
  <si>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</si>
  <si>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</si>
  <si>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</si>
  <si>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</si>
  <si>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</si>
  <si>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</si>
  <si>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</si>
  <si>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</si>
  <si>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</si>
  <si>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</si>
  <si>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</si>
  <si>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</si>
  <si>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</si>
  <si>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</si>
  <si>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</si>
  <si>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</si>
  <si>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</si>
  <si>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</si>
  <si>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</si>
  <si>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</si>
  <si>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</si>
  <si>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</si>
  <si>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</si>
  <si>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</si>
  <si>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</si>
  <si>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</si>
  <si>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</si>
  <si>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</si>
  <si>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</si>
  <si>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</si>
  <si>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</si>
  <si>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</si>
  <si>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</si>
  <si>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</si>
  <si>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</si>
  <si>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</si>
  <si>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</si>
  <si>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</si>
  <si>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</si>
  <si>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</si>
  <si>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</si>
  <si>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</si>
  <si>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</si>
  <si>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</si>
  <si>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</si>
  <si>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</si>
  <si>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</si>
  <si>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</si>
  <si>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</si>
  <si>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</si>
  <si>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</si>
  <si>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</si>
  <si>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</si>
  <si>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</si>
  <si>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</si>
  <si>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</si>
  <si>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</si>
  <si>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</si>
  <si>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</si>
  <si>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</si>
  <si>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</si>
  <si>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</si>
  <si>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</si>
  <si>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</si>
  <si>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</si>
  <si>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</si>
  <si>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</si>
  <si>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</si>
  <si>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</si>
  <si>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</si>
  <si>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</si>
  <si>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</si>
  <si>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</si>
  <si>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</si>
  <si>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</si>
  <si>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</si>
  <si>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</si>
  <si>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</si>
  <si>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</si>
  <si>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</si>
  <si>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</si>
  <si>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</si>
  <si>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</si>
  <si>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</si>
  <si>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</si>
  <si>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</si>
  <si>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</si>
  <si>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</si>
  <si>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</si>
  <si>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</si>
  <si>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</si>
  <si>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</si>
  <si>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</si>
  <si>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</si>
  <si>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</si>
  <si>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</si>
  <si>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</si>
  <si>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</si>
  <si>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</si>
  <si>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</si>
  <si>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</si>
  <si>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</si>
  <si>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</si>
  <si>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</si>
  <si>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</si>
  <si>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</si>
  <si>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</si>
  <si>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</si>
  <si>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</si>
  <si>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</si>
  <si>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</si>
  <si>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</si>
  <si>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</si>
  <si>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</si>
  <si>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</si>
  <si>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</si>
  <si>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</si>
  <si>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</si>
  <si>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</si>
  <si>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</si>
  <si>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</si>
  <si>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</si>
  <si>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</si>
  <si>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</si>
  <si>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</si>
  <si>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</si>
  <si>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</si>
  <si>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</si>
  <si>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</si>
  <si>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</si>
  <si>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</si>
  <si>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</si>
  <si>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</si>
  <si>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</si>
  <si>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</si>
  <si>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</si>
  <si>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</si>
  <si>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</si>
  <si>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</si>
  <si>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</si>
  <si>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</si>
  <si>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</si>
  <si>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</si>
  <si>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</si>
  <si>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</si>
  <si>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</si>
  <si>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</si>
  <si>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</si>
  <si>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</si>
  <si>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</si>
  <si>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</si>
  <si>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</si>
  <si>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</si>
  <si>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</si>
  <si>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</si>
  <si>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</si>
  <si>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</si>
  <si>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</si>
  <si>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</si>
  <si>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</si>
  <si>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</si>
  <si>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</si>
  <si>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</si>
  <si>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</si>
  <si>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</si>
  <si>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</si>
  <si>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</si>
  <si>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</si>
  <si>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</si>
  <si>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</si>
  <si>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</si>
  <si>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</si>
  <si>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</si>
  <si>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</si>
  <si>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</si>
  <si>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</si>
  <si>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</si>
  <si>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</si>
  <si>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</si>
  <si>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</si>
  <si>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</si>
  <si>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</si>
  <si>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</si>
  <si>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</si>
  <si>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</si>
  <si>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</si>
  <si>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</si>
  <si>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</si>
  <si>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</si>
  <si>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</si>
  <si>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</si>
  <si>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</si>
  <si>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</si>
  <si>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</si>
  <si>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</si>
  <si>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</si>
  <si>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</si>
  <si>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</si>
  <si>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</si>
  <si>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</si>
  <si>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</si>
  <si>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</si>
  <si>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</si>
  <si>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</si>
  <si>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</si>
  <si>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</si>
  <si>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</si>
  <si>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</si>
  <si>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</si>
  <si>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</si>
  <si>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</si>
  <si>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</si>
  <si>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</si>
  <si>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</si>
  <si>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</si>
  <si>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</si>
  <si>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</si>
  <si>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</si>
  <si>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</si>
  <si>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</si>
  <si>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</si>
  <si>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</si>
  <si>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</si>
  <si>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</si>
  <si>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</si>
  <si>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</si>
  <si>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</si>
  <si>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</si>
  <si>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</si>
  <si>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</si>
  <si>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</si>
  <si>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</si>
  <si>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</si>
  <si>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</si>
  <si>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</si>
  <si>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</si>
  <si>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</si>
  <si>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</si>
  <si>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</si>
  <si>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</si>
  <si>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</si>
  <si>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</si>
  <si>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</si>
  <si>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</si>
  <si>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</si>
  <si>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</si>
  <si>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</si>
  <si>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</si>
  <si>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</si>
  <si>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</si>
  <si>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</si>
  <si>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</si>
  <si>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</si>
  <si>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</si>
  <si>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</si>
  <si>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</si>
  <si>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</si>
  <si>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</si>
  <si>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</si>
  <si>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</si>
  <si>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</si>
  <si>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</si>
  <si>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</si>
  <si>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</si>
  <si>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</si>
  <si>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</si>
  <si>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</si>
  <si>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</si>
  <si>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</si>
  <si>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</si>
  <si>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</si>
  <si>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</si>
  <si>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</si>
  <si>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</si>
  <si>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</si>
  <si>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</si>
  <si>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</si>
  <si>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</si>
  <si>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</si>
  <si>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</si>
  <si>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</si>
  <si>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</si>
  <si>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</si>
  <si>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</si>
  <si>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</si>
  <si>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</si>
  <si>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</si>
  <si>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</si>
  <si>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</si>
  <si>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</si>
  <si>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</si>
  <si>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</si>
  <si>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</si>
  <si>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</si>
  <si>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</si>
  <si>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</si>
  <si>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</si>
  <si>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</si>
  <si>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</si>
  <si>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</si>
  <si>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</si>
  <si>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</si>
  <si>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</si>
  <si>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</si>
  <si>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</si>
  <si>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</si>
  <si>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</si>
  <si>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</si>
  <si>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</si>
  <si>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</si>
  <si>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</si>
  <si>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</si>
  <si>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</si>
  <si>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</si>
  <si>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</si>
  <si>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</si>
  <si>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</si>
  <si>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</si>
  <si>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</si>
  <si>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</si>
  <si>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</si>
  <si>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</si>
  <si>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</si>
  <si>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</si>
  <si>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</si>
  <si>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</si>
  <si>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</si>
  <si>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</si>
  <si>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</si>
  <si>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</si>
  <si>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</si>
  <si>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</si>
  <si>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</si>
  <si>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</si>
  <si>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</si>
  <si>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</si>
  <si>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</si>
  <si>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</si>
  <si>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</si>
  <si>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</si>
  <si>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</si>
  <si>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</si>
  <si>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</si>
  <si>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</si>
  <si>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</si>
  <si>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</si>
  <si>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</si>
  <si>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</si>
  <si>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</si>
  <si>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</si>
  <si>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</si>
  <si>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</si>
  <si>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</si>
  <si>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</si>
  <si>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</si>
  <si>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</si>
  <si>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</si>
  <si>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</si>
  <si>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</si>
  <si>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</si>
  <si>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</si>
  <si>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</si>
  <si>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</si>
  <si>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</si>
  <si>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</si>
  <si>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</si>
  <si>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</si>
  <si>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</si>
  <si>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</si>
  <si>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</si>
  <si>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</si>
  <si>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</si>
  <si>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</si>
  <si>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</si>
  <si>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</si>
  <si>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</si>
  <si>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</si>
  <si>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</si>
  <si>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</si>
  <si>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</si>
  <si>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</si>
  <si>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</si>
  <si>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</si>
  <si>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</si>
  <si>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</si>
  <si>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</si>
  <si>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</si>
  <si>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</si>
  <si>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</si>
  <si>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</si>
  <si>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</si>
  <si>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</si>
  <si>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</si>
  <si>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</si>
  <si>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</si>
  <si>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</si>
  <si>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</si>
  <si>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</si>
  <si>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</si>
  <si>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</si>
  <si>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</si>
  <si>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</si>
  <si>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</si>
  <si>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</si>
  <si>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</si>
  <si>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</si>
  <si>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</si>
  <si>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</si>
  <si>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</si>
  <si>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</si>
  <si>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</si>
  <si>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</si>
  <si>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</si>
  <si>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</si>
  <si>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</si>
  <si>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</si>
  <si>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</si>
  <si>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</si>
  <si>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</si>
  <si>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</si>
  <si>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</si>
  <si>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</si>
  <si>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</si>
  <si>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</si>
  <si>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</si>
  <si>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</si>
  <si>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</si>
  <si>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</si>
  <si>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</si>
  <si>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</si>
  <si>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</si>
  <si>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</si>
  <si>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</si>
  <si>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</si>
  <si>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</si>
  <si>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</si>
  <si>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</si>
  <si>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</si>
  <si>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</si>
  <si>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</si>
  <si>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</si>
  <si>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</si>
  <si>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</si>
  <si>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</si>
  <si>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</si>
  <si>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</si>
  <si>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</si>
  <si>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</si>
  <si>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</si>
  <si>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</si>
  <si>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</si>
  <si>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</si>
  <si>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</si>
  <si>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</si>
  <si>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</si>
  <si>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</si>
  <si>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</si>
  <si>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</si>
  <si>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</si>
  <si>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</si>
  <si>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</si>
  <si>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</si>
  <si>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</si>
  <si>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</si>
  <si>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</si>
  <si>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</si>
  <si>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</si>
  <si>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</si>
  <si>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</si>
  <si>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</si>
  <si>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</si>
  <si>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</si>
  <si>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</si>
  <si>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</si>
  <si>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</si>
  <si>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</si>
  <si>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</si>
  <si>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</si>
  <si>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</si>
  <si>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</si>
  <si>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</si>
  <si>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</si>
  <si>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</si>
  <si>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</si>
  <si>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</si>
  <si>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</si>
  <si>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</si>
  <si>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</si>
  <si>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</si>
  <si>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</si>
  <si>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</si>
  <si>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</si>
  <si>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</si>
  <si>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</si>
  <si>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</si>
  <si>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</si>
  <si>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</si>
  <si>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</si>
  <si>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</si>
  <si>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</si>
  <si>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</si>
  <si>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</si>
  <si>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</si>
  <si>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</si>
  <si>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</si>
  <si>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</si>
  <si>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</si>
  <si>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</si>
  <si>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</si>
  <si>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</si>
  <si>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</si>
  <si>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</si>
  <si>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</si>
  <si>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</si>
  <si>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</si>
  <si>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</si>
  <si>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</si>
  <si>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</si>
  <si>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</si>
  <si>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</si>
  <si>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</si>
  <si>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</si>
  <si>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</si>
  <si>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</si>
  <si>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</si>
  <si>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</si>
  <si>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</si>
  <si>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</si>
  <si>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</si>
  <si>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</si>
  <si>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</si>
  <si>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</si>
  <si>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</si>
  <si>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</si>
  <si>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</si>
  <si>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</si>
  <si>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</si>
  <si>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</si>
  <si>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</si>
  <si>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</si>
  <si>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</si>
  <si>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</si>
  <si>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</si>
  <si>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</si>
  <si>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</si>
  <si>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</si>
  <si>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</si>
  <si>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</si>
  <si>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</si>
  <si>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</si>
  <si>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</si>
  <si>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</si>
  <si>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</si>
  <si>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</si>
  <si>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</si>
  <si>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</si>
  <si>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</si>
  <si>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</si>
  <si>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</si>
  <si>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</si>
  <si>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</si>
  <si>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</si>
  <si>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</si>
  <si>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</si>
  <si>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</si>
  <si>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</si>
  <si>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</si>
  <si>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</si>
  <si>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</si>
  <si>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</si>
  <si>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</si>
  <si>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</si>
  <si>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</si>
  <si>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</si>
  <si>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</si>
  <si>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</si>
  <si>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</si>
  <si>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</si>
  <si>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</si>
  <si>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</si>
  <si>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</si>
  <si>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</si>
  <si>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</si>
  <si>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</si>
  <si>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</si>
  <si>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</si>
  <si>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</si>
  <si>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</si>
  <si>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</si>
  <si>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</si>
  <si>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</si>
  <si>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</si>
  <si>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</si>
  <si>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</si>
  <si>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</si>
  <si>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</si>
  <si>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</si>
  <si>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</si>
  <si>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</si>
  <si>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</si>
  <si>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</si>
  <si>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</si>
  <si>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</si>
  <si>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</si>
  <si>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</si>
  <si>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</si>
  <si>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</si>
  <si>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</si>
  <si>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</si>
  <si>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</si>
  <si>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</si>
  <si>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</si>
  <si>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</si>
  <si>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</si>
  <si>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</si>
  <si>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</si>
  <si>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</si>
  <si>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</si>
  <si>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</si>
  <si>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</si>
  <si>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</si>
  <si>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</si>
  <si>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</si>
  <si>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</si>
  <si>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</si>
  <si>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</si>
  <si>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</si>
  <si>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</si>
  <si>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</si>
  <si>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</si>
  <si>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</si>
  <si>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</si>
  <si>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</si>
  <si>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</si>
  <si>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</si>
  <si>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</si>
  <si>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</si>
  <si>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</si>
  <si>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</si>
  <si>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</si>
  <si>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</si>
  <si>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</si>
  <si>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</si>
  <si>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</si>
  <si>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</si>
  <si>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</si>
  <si>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</si>
  <si>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</si>
  <si>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</si>
  <si>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</si>
  <si>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</si>
  <si>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</si>
  <si>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</si>
  <si>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</si>
  <si>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</si>
  <si>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</si>
  <si>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</si>
  <si>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</si>
  <si>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</si>
  <si>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</si>
  <si>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</si>
  <si>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</si>
  <si>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</si>
  <si>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</si>
  <si>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</si>
  <si>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</si>
  <si>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</si>
  <si>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</si>
  <si>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</si>
  <si>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</si>
  <si>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</si>
  <si>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</si>
  <si>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</si>
  <si>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</si>
  <si>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</si>
  <si>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</si>
  <si>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</si>
  <si>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</si>
  <si>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</si>
  <si>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</si>
  <si>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</si>
  <si>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</si>
  <si>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</si>
  <si>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</si>
  <si>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</si>
  <si>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</si>
  <si>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</si>
  <si>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</si>
  <si>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</si>
  <si>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</si>
  <si>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</si>
  <si>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</si>
  <si>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</si>
  <si>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</si>
  <si>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</si>
  <si>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</si>
  <si>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</si>
  <si>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</si>
  <si>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</si>
  <si>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</si>
  <si>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</si>
  <si>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</si>
  <si>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</si>
  <si>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</si>
  <si>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</si>
  <si>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</si>
  <si>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</si>
  <si>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</si>
  <si>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</si>
  <si>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</si>
  <si>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</si>
  <si>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</si>
  <si>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</si>
  <si>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</si>
  <si>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</si>
  <si>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</si>
  <si>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</si>
  <si>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</si>
  <si>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</si>
  <si>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</si>
  <si>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</si>
  <si>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</si>
  <si>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</si>
  <si>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</si>
  <si>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</si>
  <si>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</si>
  <si>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</si>
  <si>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</si>
  <si>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</si>
  <si>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</si>
  <si>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</si>
  <si>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</si>
  <si>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</si>
  <si>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</si>
  <si>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</si>
  <si>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</si>
  <si>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</si>
  <si>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</si>
  <si>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</si>
  <si>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</si>
  <si>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</si>
  <si>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</si>
  <si>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</si>
  <si>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</si>
  <si>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</si>
  <si>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</si>
  <si>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</si>
  <si>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</si>
  <si>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</si>
  <si>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</si>
  <si>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</si>
  <si>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</si>
  <si>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</si>
  <si>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</si>
  <si>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</si>
  <si>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</si>
  <si>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</si>
  <si>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</si>
  <si>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</si>
  <si>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</si>
  <si>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</si>
  <si>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</si>
  <si>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</si>
  <si>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</si>
  <si>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</si>
  <si>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</si>
  <si>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</si>
  <si>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</si>
  <si>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</si>
  <si>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</si>
  <si>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</si>
  <si>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</si>
  <si>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</si>
  <si>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</si>
  <si>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</si>
  <si>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</si>
  <si>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</si>
  <si>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</si>
  <si>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</si>
  <si>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</si>
  <si>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</si>
  <si>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</si>
  <si>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</si>
  <si>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</si>
  <si>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</si>
  <si>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</si>
  <si>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</si>
  <si>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</si>
  <si>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</si>
  <si>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</si>
  <si>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</si>
  <si>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</si>
  <si>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</si>
  <si>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</si>
  <si>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</si>
  <si>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</si>
  <si>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</si>
  <si>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</si>
  <si>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</si>
  <si>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</si>
  <si>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</si>
  <si>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</si>
  <si>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</si>
  <si>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</si>
  <si>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</si>
  <si>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</si>
  <si>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</si>
  <si>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</si>
  <si>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</si>
  <si>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</si>
  <si>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</si>
  <si>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</si>
  <si>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</si>
  <si>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</si>
  <si>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</si>
  <si>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</si>
  <si>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</si>
  <si>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</si>
  <si>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</si>
  <si>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</si>
  <si>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</si>
  <si>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</si>
  <si>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</si>
  <si>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</si>
  <si>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</si>
  <si>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</si>
  <si>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</si>
  <si>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</si>
  <si>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</si>
  <si>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</si>
  <si>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</si>
  <si>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</si>
  <si>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</si>
  <si>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</si>
  <si>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</si>
  <si>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</si>
  <si>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</si>
  <si>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</si>
  <si>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</si>
  <si>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</si>
  <si>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</si>
  <si>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</si>
  <si>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</si>
  <si>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</si>
  <si>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</si>
  <si>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</si>
  <si>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</si>
  <si>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</si>
  <si>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</si>
  <si>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</si>
  <si>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</si>
  <si>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</si>
  <si>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</si>
  <si>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</si>
  <si>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</si>
  <si>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</si>
  <si>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</si>
  <si>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</si>
  <si>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</si>
  <si>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</si>
  <si>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</si>
  <si>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</si>
  <si>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</si>
  <si>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</si>
  <si>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</si>
  <si>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</si>
  <si>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</si>
  <si>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</si>
  <si>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</si>
  <si>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</si>
  <si>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</si>
  <si>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</si>
  <si>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</si>
  <si>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</si>
  <si>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</si>
  <si>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</si>
  <si>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</si>
  <si>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</si>
  <si>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</si>
  <si>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</si>
  <si>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</si>
  <si>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</si>
  <si>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</si>
  <si>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</si>
  <si>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</si>
  <si>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</si>
  <si>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</si>
  <si>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</si>
  <si>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</si>
  <si>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</si>
  <si>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</si>
  <si>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</si>
  <si>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</si>
  <si>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</si>
  <si>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</si>
  <si>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</si>
  <si>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</si>
  <si>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</si>
  <si>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</si>
  <si>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</si>
  <si>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</si>
  <si>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</si>
  <si>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</si>
  <si>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</si>
  <si>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</si>
  <si>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</si>
  <si>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</si>
  <si>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</si>
  <si>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</si>
  <si>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</si>
  <si>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</si>
  <si>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</si>
  <si>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</si>
  <si>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</si>
  <si>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</si>
  <si>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</si>
  <si>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</si>
  <si>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</si>
  <si>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</si>
  <si>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</si>
  <si>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</si>
  <si>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</si>
  <si>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</si>
  <si>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</si>
  <si>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</si>
  <si>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</si>
  <si>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</si>
  <si>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</si>
  <si>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</si>
  <si>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</si>
  <si>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</si>
  <si>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</si>
  <si>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</si>
  <si>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</si>
  <si>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</si>
  <si>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</si>
  <si>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</si>
  <si>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</si>
  <si>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</si>
  <si>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</si>
  <si>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</si>
  <si>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</si>
  <si>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</si>
  <si>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</si>
  <si>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</si>
  <si>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</si>
  <si>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</si>
  <si>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</si>
  <si>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</si>
  <si>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</si>
  <si>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</si>
  <si>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</si>
  <si>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</si>
  <si>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</si>
  <si>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</si>
  <si>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</si>
  <si>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</si>
  <si>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</si>
  <si>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</si>
  <si>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</si>
  <si>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</si>
  <si>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</si>
  <si>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</si>
  <si>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</si>
  <si>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</si>
  <si>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</si>
  <si>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</si>
  <si>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</si>
  <si>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</si>
  <si>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</si>
  <si>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</si>
  <si>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</si>
  <si>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</si>
  <si>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</si>
  <si>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</si>
  <si>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</si>
  <si>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</si>
  <si>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</si>
  <si>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</si>
  <si>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</si>
  <si>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</si>
  <si>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</si>
  <si>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</si>
  <si>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</si>
  <si>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</si>
  <si>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</si>
  <si>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</si>
  <si>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</si>
  <si>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</si>
  <si>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</si>
  <si>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</si>
  <si>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</si>
  <si>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</si>
  <si>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</si>
  <si>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</si>
  <si>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</si>
  <si>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</si>
  <si>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</si>
  <si>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</si>
  <si>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</si>
  <si>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</si>
  <si>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</si>
  <si>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</si>
  <si>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</si>
  <si>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</si>
  <si>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</si>
  <si>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</si>
  <si>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</si>
  <si>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</si>
  <si>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</si>
  <si>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</si>
  <si>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</si>
  <si>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</si>
  <si>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</si>
  <si>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</si>
  <si>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</si>
  <si>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</si>
  <si>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</si>
  <si>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</si>
  <si>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</si>
  <si>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</si>
  <si>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</si>
  <si>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</si>
  <si>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</si>
  <si>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</si>
  <si>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</si>
  <si>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</si>
  <si>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</si>
  <si>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</si>
  <si>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</si>
  <si>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</si>
  <si>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</si>
  <si>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</si>
  <si>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</si>
  <si>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</si>
  <si>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</si>
  <si>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</si>
  <si>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</si>
  <si>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</si>
  <si>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</si>
  <si>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</si>
  <si>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</si>
  <si>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</si>
  <si>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</si>
  <si>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</si>
  <si>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</si>
  <si>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</si>
  <si>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</si>
  <si>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</si>
  <si>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</si>
  <si>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</si>
  <si>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</si>
  <si>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</si>
  <si>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</si>
  <si>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</si>
  <si>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</si>
  <si>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</si>
  <si>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</si>
  <si>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</si>
  <si>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</si>
  <si>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</si>
  <si>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</si>
  <si>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</si>
  <si>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</si>
  <si>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</si>
  <si>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</si>
  <si>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</si>
  <si>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</si>
  <si>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</si>
  <si>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</si>
  <si>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</si>
  <si>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</si>
  <si>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</si>
  <si>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</si>
  <si>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</si>
  <si>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</si>
  <si>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</si>
  <si>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</si>
  <si>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</si>
  <si>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</si>
  <si>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</si>
  <si>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</si>
  <si>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</si>
  <si>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</si>
  <si>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</si>
  <si>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</si>
  <si>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</si>
  <si>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</si>
  <si>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</si>
  <si>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</si>
  <si>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</si>
  <si>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</si>
  <si>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</si>
  <si>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</si>
  <si>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</si>
  <si>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</si>
  <si>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</si>
  <si>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</si>
  <si>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</si>
  <si>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</si>
  <si>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</si>
  <si>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</si>
  <si>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</si>
  <si>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</si>
  <si>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</si>
  <si>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</si>
  <si>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</si>
  <si>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</si>
  <si>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</si>
  <si>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</si>
  <si>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</si>
  <si>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</si>
  <si>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</si>
  <si>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</si>
  <si>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</si>
  <si>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</si>
  <si>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</si>
  <si>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</si>
  <si>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</si>
  <si>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</si>
  <si>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</si>
  <si>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</si>
  <si>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</si>
  <si>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</si>
  <si>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</si>
  <si>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</si>
  <si>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</si>
  <si>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</si>
  <si>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</si>
  <si>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</si>
  <si>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</si>
  <si>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</si>
  <si>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</si>
  <si>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</si>
  <si>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</si>
  <si>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</si>
  <si>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</si>
  <si>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</si>
  <si>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</si>
  <si>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</si>
  <si>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</si>
  <si>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</si>
  <si>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</si>
  <si>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</si>
  <si>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</si>
  <si>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</si>
  <si>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</si>
  <si>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</si>
  <si>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</si>
  <si>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</si>
  <si>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</si>
  <si>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</si>
  <si>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</si>
  <si>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</si>
  <si>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</si>
  <si>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</si>
  <si>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</si>
  <si>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</si>
  <si>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</si>
  <si>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</si>
  <si>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</si>
  <si>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</si>
  <si>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</si>
  <si>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</si>
  <si>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</si>
  <si>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</si>
  <si>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</si>
  <si>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</si>
  <si>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</si>
  <si>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</si>
  <si>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</si>
  <si>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</si>
  <si>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</si>
  <si>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</si>
  <si>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</si>
  <si>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</si>
  <si>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</si>
  <si>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</si>
  <si>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</si>
  <si>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</si>
  <si>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</si>
  <si>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</si>
  <si>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</si>
  <si>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</si>
  <si>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</si>
  <si>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</si>
  <si>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</si>
  <si>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</si>
  <si>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</si>
  <si>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</si>
  <si>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</si>
  <si>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</si>
  <si>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</si>
  <si>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</si>
  <si>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</si>
  <si>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</si>
  <si>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</si>
  <si>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</si>
  <si>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</si>
  <si>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</si>
  <si>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</si>
  <si>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</si>
  <si>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</si>
  <si>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</si>
  <si>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</si>
  <si>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</si>
  <si>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</si>
  <si>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</si>
  <si>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</si>
  <si>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</si>
  <si>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</si>
  <si>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</si>
  <si>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</si>
  <si>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</si>
  <si>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</si>
  <si>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</si>
  <si>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</si>
  <si>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</si>
  <si>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</si>
  <si>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</si>
  <si>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</si>
  <si>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</si>
  <si>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</si>
  <si>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</si>
  <si>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</si>
  <si>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</si>
  <si>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</si>
  <si>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</si>
  <si>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</si>
  <si>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</si>
  <si>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</si>
  <si>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</si>
  <si>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</si>
  <si>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</si>
  <si>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</si>
  <si>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</si>
  <si>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</si>
  <si>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</si>
  <si>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</si>
  <si>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</si>
  <si>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</si>
  <si>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</si>
  <si>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</si>
  <si>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</si>
  <si>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</si>
  <si>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</si>
  <si>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</si>
  <si>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</si>
  <si>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</si>
  <si>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</si>
  <si>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</si>
  <si>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</si>
  <si>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</si>
  <si>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</si>
  <si>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</si>
  <si>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</si>
  <si>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</si>
  <si>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</si>
  <si>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</si>
  <si>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</si>
  <si>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</si>
  <si>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</si>
  <si>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</si>
  <si>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</si>
  <si>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</si>
  <si>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</si>
  <si>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</si>
  <si>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</si>
  <si>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</si>
  <si>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</si>
  <si>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</si>
  <si>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</si>
  <si>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</si>
  <si>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</si>
  <si>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</si>
  <si>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</si>
  <si>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</si>
  <si>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</si>
  <si>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</si>
  <si>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</si>
  <si>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</si>
  <si>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</si>
  <si>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</si>
  <si>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</si>
  <si>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</si>
  <si>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</si>
  <si>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</si>
  <si>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</si>
  <si>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</si>
  <si>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</si>
  <si>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</si>
  <si>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</si>
  <si>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</si>
  <si>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</si>
  <si>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</si>
  <si>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</si>
  <si>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</si>
  <si>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</si>
  <si>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</si>
  <si>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</si>
  <si>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</si>
  <si>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</si>
  <si>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</si>
  <si>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</si>
  <si>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</si>
  <si>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</si>
  <si>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</si>
  <si>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</si>
  <si>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</si>
  <si>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</si>
  <si>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</si>
  <si>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</si>
  <si>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</si>
  <si>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</si>
  <si>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</si>
  <si>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</si>
  <si>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</si>
  <si>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</si>
  <si>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</si>
  <si>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</si>
  <si>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</si>
  <si>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</si>
  <si>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</si>
  <si>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</si>
  <si>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</si>
  <si>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</si>
  <si>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</si>
  <si>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</si>
  <si>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</si>
  <si>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</si>
  <si>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</si>
  <si>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</si>
  <si>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</si>
  <si>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</si>
  <si>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</si>
  <si>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</si>
  <si>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</si>
  <si>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</si>
  <si>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</si>
  <si>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</si>
  <si>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</si>
  <si>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</si>
  <si>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</si>
  <si>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</si>
  <si>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</si>
  <si>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</si>
  <si>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</si>
  <si>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</si>
  <si>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</si>
  <si>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</si>
  <si>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</si>
  <si>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</si>
  <si>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</si>
  <si>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</si>
  <si>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</si>
  <si>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</si>
  <si>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</si>
  <si>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</si>
  <si>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</si>
  <si>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</si>
  <si>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</si>
  <si>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</si>
  <si>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</si>
  <si>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</si>
  <si>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</si>
  <si>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</si>
  <si>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</si>
  <si>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</si>
  <si>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</si>
  <si>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</si>
  <si>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</si>
  <si>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</si>
  <si>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</si>
  <si>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</si>
  <si>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</si>
  <si>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</si>
  <si>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</si>
  <si>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</si>
  <si>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</si>
  <si>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</si>
  <si>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</si>
  <si>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</si>
  <si>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</si>
  <si>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</si>
  <si>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</si>
  <si>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</si>
  <si>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</si>
  <si>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</si>
  <si>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</si>
  <si>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</si>
  <si>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</si>
  <si>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</si>
  <si>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</si>
  <si>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</si>
  <si>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</si>
  <si>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</si>
  <si>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</si>
  <si>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</si>
  <si>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</si>
  <si>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</si>
  <si>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</si>
  <si>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</si>
  <si>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</si>
  <si>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</si>
  <si>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</si>
  <si>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</si>
  <si>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</si>
  <si>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</si>
  <si>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</si>
  <si>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</si>
  <si>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</si>
  <si>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</si>
  <si>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</si>
  <si>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</si>
  <si>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</si>
  <si>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</si>
  <si>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</si>
  <si>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</si>
  <si>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</si>
  <si>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</si>
  <si>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</si>
  <si>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</si>
  <si>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</si>
  <si>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</si>
  <si>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</si>
  <si>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</si>
  <si>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</si>
  <si>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</si>
  <si>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</si>
  <si>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</si>
  <si>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</si>
  <si>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</si>
  <si>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</si>
  <si>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</si>
  <si>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</si>
  <si>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</si>
  <si>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</si>
  <si>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</si>
  <si>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</si>
  <si>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</si>
  <si>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</si>
  <si>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</si>
  <si>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</si>
  <si>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</si>
  <si>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</si>
  <si>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</si>
  <si>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</si>
  <si>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</si>
  <si>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</si>
  <si>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</si>
  <si>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</si>
  <si>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</si>
  <si>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</si>
  <si>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</si>
  <si>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</si>
  <si>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</si>
  <si>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</si>
  <si>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</si>
  <si>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</si>
  <si>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</si>
  <si>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</si>
  <si>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</si>
  <si>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</si>
  <si>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</si>
  <si>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</si>
  <si>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</si>
  <si>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</si>
  <si>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</si>
  <si>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</si>
  <si>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</si>
  <si>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</si>
  <si>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</si>
  <si>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</si>
  <si>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</si>
  <si>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</si>
  <si>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</si>
  <si>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</si>
  <si>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</si>
  <si>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</si>
  <si>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</si>
  <si>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</si>
  <si>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</si>
  <si>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</si>
  <si>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</si>
  <si>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</si>
  <si>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</si>
  <si>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</si>
  <si>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</si>
  <si>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</si>
  <si>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</si>
  <si>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</si>
  <si>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</si>
  <si>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</si>
  <si>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</si>
  <si>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</si>
  <si>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</si>
  <si>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</si>
  <si>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</si>
  <si>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</si>
  <si>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</si>
  <si>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</si>
  <si>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</si>
  <si>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</si>
  <si>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</si>
  <si>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</si>
  <si>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</si>
  <si>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</si>
  <si>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</si>
  <si>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</si>
  <si>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</si>
  <si>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</si>
  <si>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</si>
  <si>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</si>
  <si>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</si>
  <si>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</si>
  <si>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</si>
  <si>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</si>
  <si>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</si>
  <si>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</si>
  <si>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</si>
  <si>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</si>
  <si>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</si>
  <si>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</si>
  <si>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</si>
  <si>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</si>
  <si>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</si>
  <si>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</si>
  <si>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</si>
  <si>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</si>
  <si>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</si>
  <si>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</si>
  <si>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</si>
  <si>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</si>
  <si>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</si>
  <si>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</si>
  <si>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</si>
  <si>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</si>
  <si>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</si>
  <si>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</si>
  <si>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</si>
  <si>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</si>
  <si>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</si>
  <si>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</si>
  <si>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</si>
  <si>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</si>
  <si>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</si>
  <si>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</si>
  <si>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</si>
  <si>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</si>
  <si>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</si>
  <si>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</si>
  <si>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</si>
  <si>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</si>
  <si>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</si>
  <si>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</si>
  <si>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</si>
  <si>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</si>
  <si>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</si>
  <si>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</si>
  <si>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</si>
  <si>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</si>
  <si>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</si>
  <si>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</si>
  <si>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</si>
  <si>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</si>
  <si>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</si>
  <si>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</si>
  <si>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</si>
  <si>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</si>
  <si>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</si>
  <si>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</si>
  <si>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</si>
  <si>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</si>
  <si>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</si>
  <si>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</si>
  <si>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</si>
  <si>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</si>
  <si>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</si>
  <si>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</si>
  <si>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</si>
  <si>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</si>
  <si>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</si>
  <si>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</si>
  <si>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</si>
  <si>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</si>
  <si>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</si>
  <si>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</si>
  <si>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</si>
  <si>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</si>
  <si>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</si>
  <si>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</si>
  <si>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</si>
  <si>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</si>
  <si>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</si>
  <si>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</si>
  <si>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</si>
  <si>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</si>
  <si>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</si>
  <si>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</si>
  <si>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</si>
  <si>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</si>
  <si>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</si>
  <si>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</si>
  <si>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</si>
  <si>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</si>
  <si>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</si>
  <si>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</si>
  <si>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</si>
  <si>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</si>
  <si>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</si>
  <si>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</si>
  <si>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</si>
  <si>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</si>
  <si>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</si>
  <si>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</si>
  <si>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</si>
  <si>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</si>
  <si>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</si>
  <si>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</si>
  <si>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</si>
  <si>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</si>
  <si>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</si>
  <si>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</si>
  <si>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</si>
  <si>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</si>
  <si>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</si>
  <si>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</si>
  <si>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</si>
  <si>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</si>
  <si>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</si>
  <si>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</si>
  <si>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</si>
  <si>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</si>
  <si>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</si>
  <si>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</si>
  <si>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</si>
  <si>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</si>
  <si>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</si>
  <si>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</si>
  <si>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</si>
  <si>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</si>
  <si>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</si>
  <si>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</si>
  <si>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</si>
  <si>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</si>
  <si>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</si>
  <si>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</si>
  <si>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</si>
  <si>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</si>
  <si>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</si>
  <si>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</si>
  <si>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</si>
  <si>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</si>
  <si>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</si>
  <si>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</si>
  <si>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</si>
  <si>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</si>
  <si>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</si>
  <si>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</si>
  <si>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</si>
  <si>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</si>
  <si>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</si>
  <si>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</si>
  <si>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</si>
  <si>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</si>
  <si>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</si>
  <si>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</si>
  <si>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</si>
  <si>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</si>
  <si>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</si>
  <si>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</si>
  <si>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</si>
  <si>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</si>
  <si>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</si>
  <si>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</si>
  <si>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</si>
  <si>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</si>
  <si>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</si>
  <si>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</si>
  <si>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</si>
  <si>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</si>
  <si>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</si>
  <si>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</si>
  <si>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</si>
  <si>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</si>
  <si>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</si>
  <si>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</si>
  <si>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</si>
  <si>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</si>
  <si>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</si>
  <si>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</si>
  <si>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</si>
  <si>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</si>
  <si>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</si>
  <si>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</si>
  <si>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</si>
  <si>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</si>
  <si>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</si>
  <si>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</si>
  <si>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</si>
  <si>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</si>
  <si>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</si>
  <si>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</si>
  <si>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</si>
  <si>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</si>
  <si>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</si>
  <si>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</si>
  <si>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</si>
  <si>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</si>
  <si>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</si>
  <si>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</si>
  <si>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</si>
  <si>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</si>
  <si>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</si>
  <si>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</si>
  <si>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</si>
  <si>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</si>
  <si>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</si>
  <si>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</si>
  <si>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</si>
  <si>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</si>
  <si>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</si>
  <si>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</si>
  <si>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</si>
  <si>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</si>
  <si>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</si>
  <si>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</si>
  <si>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</si>
  <si>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</si>
  <si>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</si>
  <si>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</si>
  <si>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</si>
  <si>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</si>
  <si>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</si>
  <si>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</si>
  <si>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</si>
  <si>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</si>
  <si>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</si>
  <si>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</si>
  <si>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</si>
  <si>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</si>
  <si>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</si>
  <si>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</si>
  <si>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</si>
  <si>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</si>
  <si>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</si>
  <si>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</si>
  <si>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</si>
  <si>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</si>
  <si>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</si>
  <si>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</si>
  <si>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</si>
  <si>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</si>
  <si>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</si>
  <si>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</si>
  <si>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</si>
  <si>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</si>
  <si>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</si>
  <si>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</si>
  <si>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</si>
  <si>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</si>
  <si>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</si>
  <si>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</si>
  <si>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</si>
  <si>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</si>
  <si>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</si>
  <si>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</si>
  <si>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</si>
  <si>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</si>
  <si>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</si>
  <si>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</si>
  <si>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</si>
  <si>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</si>
  <si>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</si>
  <si>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</si>
  <si>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</si>
  <si>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</si>
  <si>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</si>
  <si>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</si>
  <si>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</si>
  <si>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</si>
  <si>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</si>
  <si>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</si>
  <si>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</si>
  <si>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</si>
  <si>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</si>
  <si>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</si>
  <si>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</si>
  <si>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</si>
  <si>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</si>
  <si>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</si>
  <si>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</si>
  <si>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</si>
  <si>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</si>
  <si>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</si>
  <si>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</si>
  <si>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</si>
  <si>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</si>
  <si>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</si>
  <si>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</si>
  <si>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</si>
  <si>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</si>
  <si>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</si>
  <si>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</si>
  <si>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</si>
  <si>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</si>
  <si>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</si>
  <si>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</si>
  <si>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</si>
  <si>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</si>
  <si>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</si>
  <si>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</si>
  <si>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</si>
  <si>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</si>
  <si>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</si>
  <si>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</si>
  <si>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</si>
  <si>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</si>
  <si>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</si>
  <si>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</si>
  <si>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</si>
  <si>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</si>
  <si>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</si>
  <si>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</si>
  <si>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</si>
  <si>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</si>
  <si>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</si>
  <si>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</si>
  <si>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</si>
  <si>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</si>
  <si>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</si>
  <si>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</si>
  <si>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</si>
  <si>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</si>
  <si>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</si>
  <si>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</si>
  <si>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</si>
  <si>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</si>
  <si>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</si>
  <si>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</si>
  <si>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</si>
  <si>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</si>
  <si>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</si>
  <si>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</si>
  <si>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</si>
  <si>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</si>
  <si>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</si>
  <si>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</si>
  <si>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</si>
  <si>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</si>
  <si>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</si>
  <si>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</si>
  <si>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</si>
  <si>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</si>
  <si>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</si>
  <si>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</si>
  <si>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</si>
  <si>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</si>
  <si>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</si>
  <si>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</si>
  <si>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</si>
  <si>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</si>
  <si>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</si>
  <si>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</si>
  <si>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</si>
  <si>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</si>
  <si>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</si>
  <si>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</si>
  <si>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</si>
  <si>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</si>
  <si>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</si>
  <si>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</si>
  <si>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</si>
  <si>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</si>
  <si>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</si>
  <si>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</si>
  <si>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</si>
  <si>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</si>
  <si>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</si>
  <si>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</si>
  <si>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</si>
  <si>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</si>
  <si>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</si>
  <si>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</si>
  <si>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</si>
  <si>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</si>
  <si>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</si>
  <si>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</si>
  <si>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</si>
  <si>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</si>
  <si>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</si>
  <si>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</si>
  <si>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</si>
  <si>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</si>
  <si>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</si>
  <si>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</si>
  <si>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</si>
  <si>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</si>
  <si>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</si>
  <si>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</si>
  <si>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</si>
  <si>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</si>
  <si>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</si>
  <si>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</si>
  <si>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</si>
  <si>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</si>
  <si>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</si>
  <si>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</si>
  <si>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</si>
  <si>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</si>
  <si>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</si>
  <si>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</si>
  <si>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</si>
  <si>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</si>
  <si>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</si>
  <si>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</si>
  <si>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</si>
  <si>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</si>
  <si>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</si>
  <si>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</si>
  <si>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</si>
  <si>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</si>
  <si>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</si>
  <si>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</si>
  <si>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</si>
  <si>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</si>
  <si>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</si>
  <si>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</si>
  <si>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</si>
  <si>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</si>
  <si>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</si>
  <si>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</si>
  <si>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</si>
  <si>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</si>
  <si>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</si>
  <si>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</si>
  <si>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</si>
  <si>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</si>
  <si>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</si>
  <si>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</si>
  <si>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</si>
  <si>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</si>
  <si>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</si>
  <si>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</si>
  <si>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</si>
  <si>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</si>
  <si>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</si>
  <si>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</si>
  <si>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</si>
  <si>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</si>
  <si>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</si>
  <si>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</si>
  <si>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</si>
  <si>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</si>
  <si>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</si>
  <si>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</si>
  <si>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</si>
  <si>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</si>
  <si>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</si>
  <si>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</si>
  <si>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</si>
  <si>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</si>
  <si>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</si>
  <si>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</si>
  <si>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</si>
  <si>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</si>
  <si>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</si>
  <si>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</si>
  <si>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</si>
  <si>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</si>
  <si>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</si>
  <si>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</si>
  <si>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</si>
  <si>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</si>
  <si>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</si>
  <si>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</si>
  <si>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</si>
  <si>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</si>
  <si>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</si>
  <si>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</si>
  <si>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</si>
  <si>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</si>
  <si>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</si>
  <si>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</si>
  <si>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</si>
  <si>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</si>
  <si>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</si>
  <si>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</si>
  <si>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</si>
  <si>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</si>
  <si>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</si>
  <si>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</si>
  <si>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</si>
  <si>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</si>
  <si>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</si>
  <si>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</si>
  <si>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</si>
  <si>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</si>
  <si>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</si>
  <si>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</si>
  <si>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</si>
  <si>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</si>
  <si>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</si>
  <si>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</si>
  <si>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</si>
  <si>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</si>
  <si>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</si>
  <si>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</si>
  <si>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</si>
  <si>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</si>
  <si>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</si>
  <si>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</si>
  <si>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</si>
  <si>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</si>
  <si>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</si>
  <si>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</si>
  <si>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</si>
  <si>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</si>
  <si>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</si>
  <si>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</si>
  <si>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</si>
  <si>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</si>
  <si>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</si>
  <si>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</si>
  <si>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</si>
  <si>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</si>
  <si>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</si>
  <si>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</si>
  <si>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</si>
  <si>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</si>
  <si>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</si>
  <si>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</si>
  <si>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</si>
  <si>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</si>
  <si>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</si>
  <si>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</si>
  <si>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</si>
  <si>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</si>
  <si>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</si>
  <si>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</si>
  <si>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</si>
  <si>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</si>
  <si>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</si>
  <si>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</si>
  <si>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</si>
  <si>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</si>
  <si>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</si>
  <si>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</si>
  <si>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</si>
  <si>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</si>
  <si>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</si>
  <si>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</si>
  <si>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</si>
  <si>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</si>
  <si>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</si>
  <si>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</si>
  <si>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</si>
  <si>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</si>
  <si>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</si>
  <si>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</si>
  <si>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</si>
  <si>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</si>
  <si>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</si>
  <si>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</si>
  <si>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</si>
  <si>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</si>
  <si>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</si>
  <si>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</si>
  <si>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</si>
  <si>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</si>
  <si>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</si>
  <si>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</si>
  <si>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</si>
  <si>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</si>
  <si>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</si>
  <si>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</si>
  <si>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</si>
  <si>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</si>
  <si>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</si>
  <si>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</si>
  <si>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</si>
  <si>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</si>
  <si>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</si>
  <si>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</si>
  <si>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</si>
  <si>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</si>
  <si>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</si>
  <si>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</si>
  <si>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</si>
  <si>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</si>
  <si>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</si>
  <si>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</si>
  <si>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</si>
  <si>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</si>
  <si>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</si>
  <si>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</si>
  <si>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</si>
  <si>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</si>
  <si>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</si>
  <si>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</si>
  <si>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</si>
  <si>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</si>
  <si>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</si>
  <si>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</si>
  <si>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</si>
  <si>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</si>
  <si>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</si>
  <si>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</si>
  <si>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</si>
  <si>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</si>
  <si>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</si>
  <si>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</si>
  <si>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</si>
  <si>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</si>
  <si>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</si>
  <si>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</si>
  <si>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</si>
  <si>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</si>
  <si>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</si>
  <si>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</si>
  <si>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</si>
  <si>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</si>
  <si>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</si>
  <si>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</si>
  <si>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</si>
  <si>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</si>
  <si>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</si>
  <si>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</si>
  <si>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</si>
  <si>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</si>
  <si>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</si>
  <si>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</si>
  <si>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</si>
  <si>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</si>
  <si>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</si>
  <si>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</si>
  <si>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</si>
  <si>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</si>
  <si>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</si>
  <si>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</si>
  <si>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</si>
  <si>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</si>
  <si>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</si>
  <si>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</si>
  <si>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</si>
  <si>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</si>
  <si>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</si>
  <si>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</si>
  <si>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</si>
  <si>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</si>
  <si>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</si>
  <si>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</si>
  <si>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</si>
  <si>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</si>
  <si>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</si>
  <si>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</si>
  <si>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</si>
  <si>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</si>
  <si>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</si>
  <si>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</si>
  <si>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</si>
  <si>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</si>
  <si>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</si>
  <si>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</si>
  <si>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</si>
  <si>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</si>
  <si>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</si>
  <si>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</si>
  <si>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</si>
  <si>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</si>
  <si>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</si>
  <si>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</si>
  <si>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</si>
  <si>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</si>
  <si>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</si>
  <si>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</si>
  <si>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</si>
  <si>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</si>
  <si>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</si>
  <si>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</si>
  <si>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</si>
  <si>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</si>
  <si>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</si>
  <si>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</si>
  <si>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</si>
  <si>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</si>
  <si>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</si>
  <si>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</si>
  <si>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</si>
  <si>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</si>
  <si>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</si>
  <si>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</si>
  <si>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</si>
  <si>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</si>
  <si>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</si>
  <si>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</si>
  <si>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</si>
  <si>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</si>
  <si>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</si>
  <si>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</si>
  <si>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</si>
  <si>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</si>
  <si>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</si>
  <si>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</si>
  <si>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</si>
  <si>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</si>
  <si>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</si>
  <si>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</si>
  <si>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</si>
  <si>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</si>
  <si>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</si>
  <si>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</si>
  <si>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</si>
  <si>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</si>
  <si>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</si>
  <si>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</si>
  <si>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</si>
  <si>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</si>
  <si>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</si>
  <si>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</si>
  <si>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</si>
  <si>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</si>
  <si>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</si>
  <si>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</si>
  <si>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</si>
  <si>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</si>
  <si>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</si>
  <si>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</si>
  <si>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</si>
  <si>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</si>
  <si>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</si>
  <si>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</si>
  <si>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</si>
  <si>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</si>
  <si>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</si>
  <si>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</si>
  <si>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</si>
  <si>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</si>
  <si>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</si>
  <si>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</si>
  <si>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</si>
  <si>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</si>
  <si>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</si>
  <si>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</si>
  <si>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</si>
  <si>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</si>
  <si>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</si>
  <si>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</si>
  <si>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</si>
  <si>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</si>
  <si>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</si>
  <si>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</si>
  <si>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</si>
  <si>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</si>
  <si>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</si>
  <si>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</si>
  <si>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</si>
  <si>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</si>
  <si>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</si>
  <si>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</si>
  <si>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</si>
  <si>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</si>
  <si>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</si>
  <si>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</si>
  <si>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</si>
  <si>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</si>
  <si>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</si>
  <si>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</si>
  <si>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</si>
  <si>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</si>
  <si>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</si>
  <si>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</si>
  <si>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</si>
  <si>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</si>
  <si>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</si>
  <si>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</si>
  <si>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</si>
  <si>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</si>
  <si>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</si>
  <si>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</si>
  <si>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</si>
  <si>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</si>
  <si>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</si>
  <si>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</si>
  <si>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</si>
  <si>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</si>
  <si>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</si>
  <si>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</si>
  <si>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</si>
  <si>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</si>
  <si>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</si>
  <si>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</si>
  <si>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</si>
  <si>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</si>
  <si>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</si>
  <si>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</si>
  <si>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</si>
  <si>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</si>
  <si>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</si>
  <si>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</si>
  <si>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</si>
  <si>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</si>
  <si>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</si>
  <si>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</si>
  <si>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</si>
  <si>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</si>
  <si>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</si>
  <si>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</si>
  <si>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</si>
  <si>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</si>
  <si>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</si>
  <si>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</si>
  <si>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</si>
  <si>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</si>
  <si>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</si>
  <si>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</si>
  <si>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</si>
  <si>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</si>
  <si>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</si>
  <si>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</si>
  <si>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</si>
  <si>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</si>
  <si>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</si>
  <si>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</si>
  <si>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</si>
  <si>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</si>
  <si>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</si>
  <si>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</si>
  <si>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</si>
  <si>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</si>
  <si>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</si>
  <si>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</si>
  <si>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</si>
  <si>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</si>
  <si>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</si>
  <si>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</si>
  <si>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</si>
  <si>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</si>
  <si>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</si>
  <si>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</si>
  <si>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</si>
  <si>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</si>
  <si>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</si>
  <si>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</si>
  <si>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</si>
  <si>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</si>
  <si>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</si>
  <si>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</si>
  <si>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</si>
  <si>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</si>
  <si>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</si>
  <si>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</si>
  <si>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</si>
  <si>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</si>
  <si>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</si>
  <si>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</si>
  <si>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</si>
  <si>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</si>
  <si>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</si>
  <si>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</si>
  <si>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</si>
  <si>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</si>
  <si>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</si>
  <si>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</si>
  <si>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</si>
  <si>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</si>
  <si>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</si>
  <si>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</si>
  <si>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</si>
  <si>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</si>
  <si>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</si>
  <si>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</si>
  <si>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</si>
  <si>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</si>
  <si>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</si>
  <si>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</si>
  <si>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</si>
  <si>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</si>
  <si>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</si>
  <si>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</si>
  <si>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</si>
  <si>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</si>
  <si>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</si>
  <si>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</si>
  <si>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</si>
  <si>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</si>
  <si>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</si>
  <si>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</si>
  <si>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</si>
  <si>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</si>
  <si>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</si>
  <si>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</si>
  <si>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</si>
  <si>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</si>
  <si>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</si>
  <si>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</si>
  <si>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</si>
  <si>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</si>
  <si>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</si>
  <si>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</si>
  <si>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</si>
  <si>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</si>
  <si>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</si>
  <si>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</si>
  <si>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</si>
  <si>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</si>
  <si>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</si>
  <si>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</si>
  <si>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</si>
  <si>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</si>
  <si>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</si>
  <si>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</si>
  <si>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</si>
  <si>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</si>
  <si>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</si>
  <si>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</si>
  <si>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</si>
  <si>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</si>
  <si>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</si>
  <si>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</si>
  <si>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</si>
  <si>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</si>
  <si>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</si>
  <si>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</si>
  <si>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</si>
  <si>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</si>
  <si>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</si>
  <si>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</si>
  <si>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</si>
  <si>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</si>
  <si>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</si>
  <si>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</si>
  <si>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</si>
  <si>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</si>
  <si>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</si>
  <si>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</si>
  <si>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</si>
  <si>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</si>
  <si>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</si>
  <si>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</si>
  <si>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</si>
  <si>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</si>
  <si>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</si>
  <si>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</si>
  <si>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</si>
  <si>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</si>
  <si>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</si>
  <si>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</si>
  <si>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</si>
  <si>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</si>
  <si>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</si>
  <si>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</si>
  <si>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</si>
  <si>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</si>
  <si>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</si>
  <si>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</si>
  <si>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</si>
  <si>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</si>
  <si>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</si>
  <si>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</si>
  <si>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</si>
  <si>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</si>
  <si>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</si>
  <si>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</si>
  <si>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</si>
  <si>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</si>
  <si>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</si>
  <si>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</si>
  <si>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</si>
  <si>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</si>
  <si>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</si>
  <si>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</si>
  <si>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</si>
  <si>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</si>
  <si>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</si>
  <si>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</si>
  <si>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</si>
  <si>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</si>
  <si>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</si>
  <si>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</si>
  <si>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</si>
  <si>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</si>
  <si>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</si>
  <si>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</si>
  <si>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</si>
  <si>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</si>
  <si>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</si>
  <si>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</si>
  <si>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</si>
  <si>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</si>
  <si>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</si>
  <si>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</si>
  <si>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</si>
  <si>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</si>
  <si>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</si>
  <si>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</si>
  <si>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</si>
  <si>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</si>
  <si>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</si>
  <si>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</si>
  <si>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</si>
  <si>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</si>
  <si>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</si>
  <si>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</si>
  <si>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</si>
  <si>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</si>
  <si>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</si>
  <si>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</si>
  <si>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</si>
  <si>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</si>
  <si>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</si>
  <si>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</si>
  <si>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</si>
  <si>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</si>
  <si>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</si>
  <si>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</si>
  <si>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</si>
  <si>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</si>
  <si>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</si>
  <si>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</si>
  <si>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</si>
  <si>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</si>
  <si>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</si>
  <si>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</si>
  <si>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</si>
  <si>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</si>
  <si>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</si>
  <si>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</si>
  <si>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</si>
  <si>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</si>
  <si>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</si>
  <si>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</si>
  <si>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</si>
  <si>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</si>
  <si>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</si>
  <si>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</si>
  <si>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</si>
  <si>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</si>
  <si>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</si>
  <si>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</si>
  <si>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</si>
  <si>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</si>
  <si>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</si>
  <si>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</si>
  <si>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</si>
  <si>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</si>
  <si>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</si>
  <si>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</si>
  <si>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</si>
  <si>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</si>
  <si>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</si>
  <si>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</si>
  <si>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</si>
  <si>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</si>
  <si>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</si>
  <si>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</si>
  <si>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</si>
  <si>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</si>
  <si>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</si>
  <si>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</si>
  <si>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</si>
  <si>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</si>
  <si>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</si>
  <si>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</si>
  <si>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</si>
  <si>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</si>
  <si>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</si>
  <si>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</si>
  <si>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</si>
  <si>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</si>
  <si>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</si>
  <si>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</si>
  <si>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</si>
  <si>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</si>
  <si>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</si>
  <si>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</si>
  <si>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</si>
  <si>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</si>
  <si>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</si>
  <si>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</si>
  <si>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</si>
  <si>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</si>
  <si>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</si>
  <si>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</si>
  <si>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</si>
  <si>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</si>
  <si>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</si>
  <si>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</si>
  <si>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</si>
  <si>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</si>
  <si>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</si>
  <si>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</si>
  <si>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</si>
  <si>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</si>
  <si>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</si>
  <si>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</si>
  <si>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</si>
  <si>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</si>
  <si>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</si>
  <si>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</si>
  <si>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</si>
  <si>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</si>
  <si>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</si>
  <si>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</si>
  <si>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</si>
  <si>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</si>
  <si>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</si>
  <si>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</si>
  <si>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</si>
  <si>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</si>
  <si>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</si>
  <si>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</si>
  <si>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</si>
  <si>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</si>
  <si>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</si>
  <si>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</si>
  <si>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</si>
  <si>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</si>
  <si>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</si>
  <si>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</si>
  <si>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</si>
  <si>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</si>
  <si>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</si>
  <si>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</si>
  <si>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</si>
  <si>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</si>
  <si>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</si>
  <si>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</si>
  <si>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</si>
  <si>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</si>
  <si>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</si>
  <si>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</si>
  <si>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</si>
  <si>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</si>
  <si>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</si>
  <si>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</si>
  <si>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</si>
  <si>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</si>
  <si>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</si>
  <si>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</si>
  <si>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</si>
  <si>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</si>
  <si>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</si>
  <si>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</si>
  <si>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</si>
  <si>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</si>
  <si>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</si>
  <si>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</si>
  <si>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</si>
  <si>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</si>
  <si>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</si>
  <si>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</si>
  <si>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</si>
  <si>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</si>
  <si>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</si>
  <si>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</si>
  <si>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</si>
  <si>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</si>
  <si>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</si>
  <si>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</si>
  <si>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</si>
  <si>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</si>
  <si>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</si>
  <si>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</si>
  <si>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</si>
  <si>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</si>
  <si>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</si>
  <si>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</si>
  <si>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</si>
  <si>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</si>
  <si>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</si>
  <si>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</si>
  <si>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</si>
  <si>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</si>
  <si>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</si>
  <si>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</si>
  <si>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</si>
  <si>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</si>
  <si>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</si>
  <si>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</si>
  <si>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</si>
  <si>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</si>
  <si>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</si>
  <si>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</si>
  <si>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</si>
  <si>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</si>
  <si>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</si>
  <si>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</si>
  <si>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</si>
  <si>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</si>
  <si>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</si>
  <si>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</si>
  <si>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</si>
  <si>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</si>
  <si>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</si>
  <si>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</si>
  <si>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</si>
  <si>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</si>
  <si>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</si>
  <si>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</si>
  <si>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</si>
  <si>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</si>
  <si>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</si>
  <si>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</si>
  <si>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</si>
  <si>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</si>
  <si>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</si>
  <si>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</si>
  <si>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</si>
  <si>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</si>
  <si>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</si>
  <si>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</si>
  <si>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</si>
  <si>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</si>
  <si>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</si>
  <si>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</si>
  <si>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</si>
  <si>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</si>
  <si>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</si>
  <si>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</si>
  <si>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</si>
  <si>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</si>
  <si>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</si>
  <si>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</si>
  <si>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</si>
  <si>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</si>
  <si>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</si>
  <si>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</si>
  <si>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</si>
  <si>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</si>
  <si>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</si>
  <si>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</si>
  <si>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</si>
  <si>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</si>
  <si>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</si>
  <si>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</si>
  <si>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</si>
  <si>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</si>
  <si>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</si>
  <si>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</si>
  <si>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</si>
  <si>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</si>
  <si>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</si>
  <si>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</si>
  <si>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</si>
  <si>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</si>
  <si>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</si>
  <si>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</si>
  <si>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</si>
  <si>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</si>
  <si>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</si>
  <si>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</si>
  <si>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</si>
  <si>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</si>
  <si>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</si>
  <si>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</si>
  <si>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</si>
  <si>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</si>
  <si>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</si>
  <si>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</si>
  <si>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</si>
  <si>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</si>
  <si>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</si>
  <si>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</si>
  <si>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</si>
  <si>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</si>
  <si>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</si>
  <si>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</si>
  <si>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</si>
  <si>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</si>
  <si>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</si>
  <si>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</si>
  <si>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</si>
  <si>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</si>
  <si>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</si>
  <si>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</si>
  <si>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</si>
  <si>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</si>
  <si>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</si>
  <si>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</si>
  <si>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</si>
  <si>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</si>
  <si>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</si>
  <si>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</si>
  <si>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</si>
  <si>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</si>
  <si>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</si>
  <si>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</si>
  <si>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</si>
  <si>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</si>
  <si>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</si>
  <si>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</si>
  <si>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</si>
  <si>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</si>
  <si>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</si>
  <si>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</si>
  <si>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</si>
  <si>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</si>
  <si>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</si>
  <si>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</si>
  <si>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</si>
  <si>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</si>
  <si>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</si>
  <si>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</si>
  <si>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</si>
  <si>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</si>
  <si>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</si>
  <si>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</si>
  <si>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</si>
  <si>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</si>
  <si>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</si>
  <si>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</si>
  <si>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</si>
  <si>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</si>
  <si>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</si>
  <si>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</si>
  <si>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</si>
  <si>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</si>
  <si>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</si>
  <si>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</si>
  <si>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</si>
  <si>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</si>
  <si>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</si>
  <si>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</si>
  <si>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</si>
  <si>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</si>
  <si>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</si>
  <si>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</si>
  <si>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</si>
  <si>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</si>
  <si>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</si>
  <si>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</si>
  <si>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</si>
  <si>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</si>
  <si>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</si>
  <si>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</si>
  <si>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</si>
  <si>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</si>
  <si>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</si>
  <si>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</si>
  <si>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</si>
  <si>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</si>
  <si>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</si>
  <si>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</si>
  <si>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</si>
  <si>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</si>
  <si>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</si>
  <si>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</si>
  <si>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</si>
  <si>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</si>
  <si>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</si>
  <si>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</si>
  <si>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</si>
  <si>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</si>
  <si>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</si>
  <si>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</si>
  <si>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</si>
  <si>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</si>
  <si>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</si>
  <si>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</si>
  <si>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</si>
  <si>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</si>
  <si>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</si>
  <si>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</si>
  <si>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</si>
  <si>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</si>
  <si>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</si>
  <si>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</si>
  <si>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</si>
  <si>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</si>
  <si>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</si>
  <si>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</si>
  <si>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</si>
  <si>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</si>
  <si>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</si>
  <si>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</si>
  <si>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</si>
  <si>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</si>
  <si>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</si>
  <si>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</si>
  <si>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</si>
  <si>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</si>
  <si>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</si>
  <si>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</si>
  <si>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</si>
  <si>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</si>
  <si>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</si>
  <si>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</si>
  <si>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</si>
  <si>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</si>
  <si>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</si>
  <si>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</si>
  <si>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</si>
  <si>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</si>
  <si>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</si>
  <si>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</si>
  <si>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</si>
  <si>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</si>
  <si>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</si>
  <si>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</si>
  <si>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</si>
  <si>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</si>
  <si>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</si>
  <si>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</si>
  <si>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</si>
  <si>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</si>
  <si>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</si>
  <si>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</si>
  <si>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</si>
  <si>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</si>
  <si>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</si>
  <si>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</si>
  <si>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</si>
  <si>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</si>
  <si>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</si>
  <si>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</si>
  <si>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</si>
  <si>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</si>
  <si>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</si>
  <si>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</si>
  <si>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</si>
  <si>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</si>
  <si>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</si>
  <si>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</si>
  <si>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</si>
  <si>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</si>
  <si>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</si>
  <si>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</si>
  <si>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</si>
  <si>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</si>
  <si>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</si>
  <si>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</si>
  <si>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</si>
  <si>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</si>
  <si>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</si>
  <si>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</si>
  <si>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</si>
  <si>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</si>
  <si>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</si>
  <si>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</si>
  <si>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</si>
  <si>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</si>
  <si>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</si>
  <si>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</si>
  <si>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</si>
  <si>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</si>
  <si>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</si>
  <si>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</si>
  <si>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</si>
  <si>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</si>
  <si>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</si>
  <si>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</si>
  <si>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</si>
  <si>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</si>
  <si>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</si>
  <si>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</si>
  <si>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</si>
  <si>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</si>
  <si>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</si>
  <si>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</si>
  <si>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</si>
  <si>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</si>
  <si>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</si>
  <si>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</si>
  <si>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</si>
  <si>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</si>
  <si>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</si>
  <si>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</si>
  <si>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</si>
  <si>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</si>
  <si>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</si>
  <si>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</si>
  <si>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</si>
  <si>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</si>
  <si>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</si>
  <si>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</si>
  <si>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</si>
  <si>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</si>
  <si>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</si>
  <si>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</si>
  <si>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</si>
  <si>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</si>
  <si>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</si>
  <si>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</si>
  <si>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</si>
  <si>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</si>
  <si>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</si>
  <si>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</si>
  <si>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</si>
  <si>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</si>
  <si>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</si>
  <si>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</si>
  <si>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</si>
  <si>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</si>
  <si>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</si>
  <si>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</si>
  <si>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</si>
  <si>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</si>
  <si>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</si>
  <si>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</si>
  <si>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</si>
  <si>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</si>
  <si>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</si>
  <si>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</si>
  <si>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</si>
  <si>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</si>
  <si>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</si>
  <si>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</si>
  <si>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</si>
  <si>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</si>
  <si>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</si>
  <si>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</si>
  <si>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</si>
  <si>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</si>
  <si>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</si>
  <si>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</si>
  <si>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</si>
  <si>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</si>
  <si>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</si>
  <si>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</si>
  <si>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</si>
  <si>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</si>
  <si>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</si>
  <si>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</si>
  <si>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</si>
  <si>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</si>
  <si>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</si>
  <si>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</si>
  <si>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</si>
  <si>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</si>
  <si>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</si>
  <si>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</si>
  <si>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</si>
  <si>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</si>
  <si>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</si>
  <si>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</si>
  <si>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</si>
  <si>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</si>
  <si>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</si>
  <si>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</si>
  <si>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</si>
  <si>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</si>
  <si>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</si>
  <si>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</si>
  <si>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</si>
  <si>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</si>
  <si>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</si>
  <si>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</si>
  <si>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</si>
  <si>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</si>
  <si>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</si>
  <si>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</si>
  <si>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</si>
  <si>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</si>
  <si>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</si>
  <si>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</si>
  <si>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</si>
  <si>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</si>
  <si>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</si>
  <si>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</si>
  <si>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</si>
  <si>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</si>
  <si>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</si>
  <si>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</si>
  <si>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</si>
  <si>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</si>
  <si>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</si>
  <si>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</si>
  <si>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</si>
  <si>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</si>
  <si>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</si>
  <si>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</si>
  <si>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</si>
  <si>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</si>
  <si>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</si>
  <si>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</si>
  <si>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</si>
  <si>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</si>
  <si>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</si>
  <si>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</si>
  <si>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</si>
  <si>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</si>
  <si>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</si>
  <si>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</si>
  <si>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</si>
  <si>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</si>
  <si>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</si>
  <si>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</si>
  <si>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</si>
  <si>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</si>
  <si>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</si>
  <si>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</si>
  <si>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</si>
  <si>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</si>
  <si>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</si>
  <si>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</si>
  <si>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</si>
  <si>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</si>
  <si>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</si>
  <si>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</si>
  <si>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</si>
  <si>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</si>
  <si>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</si>
  <si>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</si>
  <si>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</si>
  <si>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</si>
  <si>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</si>
  <si>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</si>
  <si>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</si>
  <si>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</si>
  <si>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</si>
  <si>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</si>
  <si>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</si>
  <si>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</si>
  <si>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</si>
  <si>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</si>
  <si>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</si>
  <si>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</si>
  <si>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</si>
  <si>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</si>
  <si>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</si>
  <si>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</si>
  <si>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</si>
  <si>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</si>
  <si>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</si>
  <si>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</si>
  <si>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</si>
  <si>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</si>
  <si>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</si>
  <si>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</si>
  <si>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</si>
  <si>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</si>
  <si>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</si>
  <si>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</si>
  <si>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</si>
  <si>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</si>
  <si>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</si>
  <si>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</si>
  <si>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</si>
  <si>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</si>
  <si>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</si>
  <si>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</si>
  <si>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</si>
  <si>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</si>
  <si>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</si>
  <si>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</si>
  <si>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</si>
  <si>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</si>
  <si>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</si>
  <si>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</si>
  <si>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</si>
  <si>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</si>
  <si>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</si>
  <si>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</si>
  <si>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</si>
  <si>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</si>
  <si>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</si>
  <si>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</si>
  <si>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</si>
  <si>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</si>
  <si>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</si>
  <si>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</si>
  <si>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</si>
  <si>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</si>
  <si>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</si>
  <si>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</si>
  <si>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</si>
  <si>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</si>
  <si>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</si>
  <si>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</si>
  <si>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</si>
  <si>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</si>
  <si>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</si>
  <si>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</si>
  <si>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</si>
  <si>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</si>
  <si>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</si>
  <si>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</si>
  <si>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</si>
  <si>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</si>
  <si>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</si>
  <si>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</si>
  <si>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</si>
  <si>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</si>
  <si>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</si>
  <si>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</si>
  <si>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</si>
  <si>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</si>
  <si>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</si>
  <si>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</si>
  <si>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</si>
  <si>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</si>
  <si>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</si>
  <si>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</si>
  <si>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</si>
  <si>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</si>
  <si>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</si>
  <si>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</si>
  <si>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</si>
  <si>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</si>
  <si>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</si>
  <si>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</si>
  <si>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</si>
  <si>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</si>
  <si>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</si>
  <si>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</si>
  <si>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</si>
  <si>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</si>
  <si>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</si>
  <si>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</si>
  <si>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</si>
  <si>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</si>
  <si>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</si>
  <si>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</si>
  <si>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</si>
  <si>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</si>
  <si>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</si>
  <si>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</si>
  <si>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</si>
  <si>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</si>
  <si>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</si>
  <si>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</si>
  <si>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</si>
  <si>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</si>
  <si>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</si>
  <si>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</si>
  <si>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</si>
  <si>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</si>
  <si>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</si>
  <si>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</si>
  <si>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</si>
  <si>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</si>
  <si>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</si>
  <si>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</si>
  <si>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</si>
  <si>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</si>
  <si>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</si>
  <si>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</si>
  <si>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</si>
  <si>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</si>
  <si>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</si>
  <si>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</si>
  <si>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</si>
  <si>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</si>
  <si>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</si>
  <si>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</si>
  <si>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</si>
  <si>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</si>
  <si>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</si>
  <si>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</si>
  <si>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</si>
  <si>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</si>
  <si>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</si>
  <si>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</si>
  <si>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</si>
  <si>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</si>
  <si>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</si>
  <si>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</si>
  <si>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</si>
  <si>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</si>
  <si>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</si>
  <si>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</si>
  <si>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</si>
  <si>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</si>
  <si>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</si>
  <si>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</si>
  <si>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</si>
  <si>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</si>
  <si>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</si>
  <si>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</si>
  <si>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</si>
  <si>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</si>
  <si>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</si>
  <si>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</si>
  <si>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</si>
  <si>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</si>
  <si>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</si>
  <si>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</si>
  <si>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</si>
  <si>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</si>
  <si>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</si>
  <si>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</si>
  <si>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</si>
  <si>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</si>
  <si>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</si>
  <si>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</si>
  <si>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</si>
  <si>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</si>
  <si>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</si>
  <si>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</si>
  <si>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</si>
  <si>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</si>
  <si>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</si>
  <si>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</si>
  <si>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</si>
  <si>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</si>
  <si>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</si>
  <si>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</si>
  <si>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</si>
  <si>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</si>
  <si>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</si>
  <si>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</si>
  <si>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</si>
  <si>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</si>
  <si>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</si>
  <si>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</si>
  <si>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</si>
  <si>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</si>
  <si>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</si>
  <si>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</si>
  <si>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</si>
  <si>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</si>
  <si>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</si>
  <si>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</si>
  <si>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</si>
  <si>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</si>
  <si>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</si>
  <si>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</si>
  <si>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</si>
  <si>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</si>
  <si>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</si>
  <si>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</si>
  <si>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</si>
  <si>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</si>
  <si>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</si>
  <si>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</si>
  <si>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</si>
  <si>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</si>
  <si>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</si>
  <si>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</si>
  <si>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</si>
  <si>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</si>
  <si>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</si>
  <si>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</si>
  <si>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</si>
  <si>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</si>
  <si>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</si>
  <si>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</si>
  <si>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</si>
  <si>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</si>
  <si>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</si>
  <si>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</si>
  <si>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</si>
  <si>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</si>
  <si>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</si>
  <si>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</si>
  <si>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</si>
  <si>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</si>
  <si>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</si>
  <si>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</si>
  <si>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</si>
  <si>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</si>
  <si>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</si>
  <si>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</si>
  <si>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</si>
  <si>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</si>
  <si>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</si>
  <si>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</si>
  <si>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</si>
  <si>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</si>
  <si>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</si>
  <si>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</si>
  <si>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</si>
  <si>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</si>
  <si>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</si>
  <si>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</si>
  <si>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</si>
  <si>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</si>
  <si>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</si>
  <si>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</si>
  <si>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</si>
  <si>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</si>
  <si>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</si>
  <si>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</si>
  <si>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</si>
  <si>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</si>
  <si>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</si>
  <si>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</si>
  <si>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</si>
  <si>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</si>
  <si>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</si>
  <si>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</si>
  <si>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</si>
  <si>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</si>
  <si>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</si>
  <si>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</si>
  <si>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</si>
  <si>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</si>
  <si>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</si>
  <si>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</si>
  <si>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</si>
  <si>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</si>
  <si>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</si>
  <si>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</si>
  <si>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</si>
  <si>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</si>
  <si>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</si>
  <si>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</si>
  <si>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</si>
  <si>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</si>
  <si>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</si>
  <si>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</si>
  <si>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</si>
  <si>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</si>
  <si>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</si>
  <si>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</si>
  <si>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</si>
  <si>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</si>
  <si>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</si>
  <si>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</si>
  <si>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</si>
  <si>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</si>
  <si>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</si>
  <si>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</si>
  <si>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</si>
  <si>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</si>
  <si>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</si>
  <si>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</si>
  <si>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</si>
  <si>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</si>
  <si>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</si>
  <si>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</si>
  <si>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</si>
  <si>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</si>
  <si>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</si>
  <si>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</si>
  <si>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</si>
  <si>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</si>
  <si>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</si>
  <si>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</si>
  <si>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</si>
  <si>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</si>
  <si>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</si>
  <si>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</si>
  <si>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</si>
  <si>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</si>
  <si>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</si>
  <si>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</si>
  <si>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</si>
  <si>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</si>
  <si>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</si>
  <si>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</si>
  <si>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</si>
  <si>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</si>
  <si>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</si>
  <si>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</si>
  <si>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</si>
  <si>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</si>
  <si>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</si>
  <si>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</si>
  <si>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</si>
  <si>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</si>
  <si>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</si>
  <si>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</si>
  <si>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</si>
  <si>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</si>
  <si>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</si>
  <si>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</si>
  <si>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</si>
  <si>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</si>
  <si>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</si>
  <si>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</si>
  <si>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</si>
  <si>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</si>
  <si>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</si>
  <si>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</si>
  <si>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</si>
  <si>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</si>
  <si>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</si>
  <si>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</si>
  <si>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</si>
  <si>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</si>
  <si>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</si>
  <si>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</si>
  <si>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</si>
  <si>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</si>
  <si>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</si>
  <si>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</si>
  <si>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</si>
  <si>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</si>
  <si>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</si>
  <si>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</si>
  <si>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</si>
  <si>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</si>
  <si>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</si>
  <si>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</si>
  <si>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</si>
  <si>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</si>
  <si>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</si>
  <si>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</si>
  <si>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</si>
  <si>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</si>
  <si>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</si>
  <si>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</si>
  <si>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</si>
  <si>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</si>
  <si>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</si>
  <si>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</si>
  <si>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</si>
  <si>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</si>
  <si>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</si>
  <si>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</si>
  <si>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</si>
  <si>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</si>
  <si>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</si>
  <si>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</si>
  <si>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</si>
  <si>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</si>
  <si>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</si>
  <si>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</si>
  <si>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</si>
  <si>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</si>
  <si>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</si>
  <si>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</si>
  <si>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</si>
  <si>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</si>
  <si>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</si>
  <si>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</si>
  <si>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</si>
  <si>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</si>
  <si>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</si>
  <si>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</si>
  <si>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</si>
  <si>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</si>
  <si>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</si>
  <si>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</si>
  <si>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</si>
  <si>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</si>
  <si>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</si>
  <si>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</si>
  <si>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</si>
  <si>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</si>
  <si>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</si>
  <si>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</si>
  <si>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</si>
  <si>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</si>
  <si>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</si>
  <si>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</si>
  <si>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</si>
  <si>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</si>
  <si>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</si>
  <si>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</si>
  <si>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</si>
  <si>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</si>
  <si>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</si>
  <si>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</si>
  <si>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</si>
  <si>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</si>
  <si>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</si>
  <si>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</si>
  <si>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</si>
  <si>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</si>
  <si>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</si>
  <si>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</si>
  <si>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</si>
  <si>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</si>
  <si>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</si>
  <si>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</si>
  <si>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</si>
  <si>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</si>
  <si>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</si>
  <si>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</si>
  <si>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</si>
  <si>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</si>
  <si>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</si>
  <si>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</si>
  <si>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</si>
  <si>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</si>
  <si>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</si>
  <si>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</si>
  <si>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</si>
  <si>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</si>
  <si>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</si>
  <si>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</si>
  <si>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</si>
  <si>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</si>
  <si>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</si>
  <si>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</si>
  <si>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</si>
  <si>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</si>
  <si>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</si>
  <si>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</si>
  <si>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</si>
  <si>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</si>
  <si>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</si>
  <si>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</si>
  <si>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</si>
  <si>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</si>
  <si>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</si>
  <si>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</si>
  <si>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</si>
  <si>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</si>
  <si>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</si>
  <si>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</si>
  <si>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</si>
  <si>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</si>
  <si>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</si>
  <si>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</si>
  <si>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</si>
  <si>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</si>
  <si>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</si>
  <si>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</si>
  <si>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</si>
  <si>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</si>
  <si>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</si>
  <si>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</si>
  <si>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</si>
  <si>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</si>
  <si>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</si>
  <si>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</si>
  <si>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</si>
  <si>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</si>
  <si>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</si>
  <si>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</si>
  <si>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</si>
  <si>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</si>
  <si>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</si>
  <si>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</si>
  <si>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</si>
  <si>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</si>
  <si>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</si>
  <si>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</si>
  <si>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</si>
  <si>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</si>
  <si>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</si>
  <si>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</si>
  <si>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</si>
  <si>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</si>
  <si>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</si>
  <si>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</si>
  <si>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</si>
  <si>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</si>
  <si>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</si>
  <si>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</si>
  <si>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</si>
  <si>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</si>
  <si>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</si>
  <si>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</si>
  <si>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</si>
  <si>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</si>
  <si>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</si>
  <si>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</si>
  <si>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</si>
  <si>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</si>
  <si>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</si>
  <si>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</si>
  <si>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</si>
  <si>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</si>
  <si>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</si>
  <si>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</si>
  <si>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</si>
  <si>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</si>
  <si>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</si>
  <si>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</si>
  <si>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</si>
  <si>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</si>
  <si>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</si>
  <si>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</si>
  <si>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</si>
  <si>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</si>
  <si>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</si>
  <si>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</si>
  <si>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</si>
  <si>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</si>
  <si>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</si>
  <si>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</si>
  <si>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</si>
  <si>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</si>
  <si>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</si>
  <si>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</si>
  <si>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</si>
  <si>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</si>
  <si>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</si>
  <si>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</si>
  <si>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</si>
  <si>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</si>
  <si>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</si>
  <si>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</si>
  <si>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</si>
  <si>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</si>
  <si>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</si>
  <si>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</si>
  <si>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</si>
  <si>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</si>
  <si>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</si>
  <si>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</si>
  <si>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</si>
  <si>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</si>
  <si>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</si>
  <si>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</si>
  <si>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</si>
  <si>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</si>
  <si>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</si>
  <si>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</si>
  <si>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</si>
  <si>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</si>
  <si>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</si>
  <si>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</si>
  <si>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</si>
  <si>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</si>
  <si>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</si>
  <si>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</si>
  <si>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</si>
  <si>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</si>
  <si>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</si>
  <si>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</si>
  <si>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</si>
  <si>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</si>
  <si>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</si>
  <si>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</si>
  <si>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</si>
  <si>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</si>
  <si>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</si>
  <si>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</si>
  <si>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</si>
  <si>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</si>
  <si>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</si>
  <si>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</si>
  <si>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</si>
  <si>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</si>
  <si>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</si>
  <si>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</si>
  <si>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</si>
  <si>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</si>
  <si>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</si>
  <si>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</si>
  <si>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</si>
  <si>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</si>
  <si>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</si>
  <si>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</si>
  <si>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</si>
  <si>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</si>
  <si>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</si>
  <si>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</si>
  <si>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</si>
  <si>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</si>
  <si>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</si>
  <si>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</si>
  <si>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</si>
  <si>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</si>
  <si>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</si>
  <si>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</si>
  <si>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</si>
  <si>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</si>
  <si>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</si>
  <si>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</si>
  <si>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</si>
  <si>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</si>
  <si>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</si>
  <si>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</si>
  <si>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</si>
  <si>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</si>
  <si>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</si>
  <si>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</si>
  <si>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</si>
  <si>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</si>
  <si>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</si>
  <si>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</si>
  <si>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</si>
  <si>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</si>
  <si>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</si>
  <si>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</si>
  <si>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</si>
  <si>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</si>
  <si>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</si>
  <si>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</si>
  <si>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</si>
  <si>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</si>
  <si>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</si>
  <si>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</si>
  <si>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</si>
  <si>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</si>
  <si>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</si>
  <si>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</si>
  <si>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</si>
  <si>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</si>
  <si>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</si>
  <si>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</si>
  <si>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</si>
  <si>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</si>
  <si>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</si>
  <si>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</si>
  <si>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</si>
  <si>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</si>
  <si>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</si>
  <si>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</si>
  <si>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</si>
  <si>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</si>
  <si>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</si>
  <si>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</si>
  <si>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</si>
  <si>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</si>
  <si>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</si>
  <si>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</si>
  <si>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</si>
  <si>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</si>
  <si>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</si>
  <si>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</si>
  <si>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</si>
  <si>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</si>
  <si>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</si>
  <si>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</si>
  <si>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</si>
  <si>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</si>
  <si>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</si>
  <si>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</si>
  <si>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</si>
  <si>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</si>
  <si>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</si>
  <si>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</si>
  <si>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</si>
  <si>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</si>
  <si>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</si>
  <si>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</si>
  <si>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</si>
  <si>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</si>
  <si>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</si>
  <si>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</si>
  <si>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</si>
  <si>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</si>
  <si>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</si>
  <si>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</si>
  <si>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</si>
  <si>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</si>
  <si>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</si>
  <si>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</si>
  <si>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</si>
  <si>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</si>
  <si>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</si>
  <si>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</si>
  <si>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</si>
  <si>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</si>
  <si>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</si>
  <si>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</si>
  <si>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</si>
  <si>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</si>
  <si>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</si>
  <si>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</si>
  <si>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</si>
  <si>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</si>
  <si>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</si>
  <si>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</si>
  <si>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</si>
  <si>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</si>
  <si>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</si>
  <si>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</si>
  <si>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</si>
  <si>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</si>
  <si>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</si>
  <si>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</si>
  <si>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</si>
  <si>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</si>
  <si>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</si>
  <si>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</si>
  <si>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</si>
  <si>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</si>
  <si>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</si>
  <si>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</si>
  <si>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</si>
  <si>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</si>
  <si>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</si>
  <si>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</si>
  <si>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</si>
  <si>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</si>
  <si>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</si>
  <si>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</si>
  <si>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</si>
  <si>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</si>
  <si>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</si>
  <si>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</si>
  <si>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</si>
  <si>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</si>
  <si>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</si>
  <si>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</si>
  <si>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</si>
  <si>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</si>
  <si>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</si>
  <si>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</si>
  <si>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</si>
  <si>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</si>
  <si>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</si>
  <si>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</si>
  <si>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</si>
  <si>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</si>
  <si>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</si>
  <si>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</si>
  <si>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</si>
  <si>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</si>
  <si>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</si>
  <si>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</si>
  <si>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</si>
  <si>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</si>
  <si>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</si>
  <si>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</si>
  <si>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</si>
  <si>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</si>
  <si>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</si>
  <si>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</si>
  <si>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</si>
  <si>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</si>
  <si>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</si>
  <si>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</si>
  <si>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</si>
  <si>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</si>
  <si>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</si>
  <si>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</si>
  <si>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</si>
  <si>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</si>
  <si>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</si>
  <si>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</si>
  <si>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</si>
  <si>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</si>
  <si>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</si>
  <si>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</si>
  <si>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</si>
  <si>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</si>
  <si>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</si>
  <si>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</si>
  <si>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</si>
  <si>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</si>
  <si>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</si>
  <si>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</si>
  <si>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</si>
  <si>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</si>
  <si>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</si>
  <si>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</si>
  <si>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</si>
  <si>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</si>
  <si>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</si>
  <si>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</si>
  <si>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</si>
  <si>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</si>
  <si>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</si>
  <si>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</si>
  <si>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</si>
  <si>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</si>
  <si>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</si>
  <si>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</si>
  <si>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</si>
  <si>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</si>
  <si>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</si>
  <si>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</si>
  <si>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</si>
  <si>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</si>
  <si>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</si>
  <si>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</si>
  <si>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</si>
  <si>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</si>
  <si>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</si>
  <si>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</si>
  <si>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</si>
  <si>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</si>
  <si>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</si>
  <si>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</si>
  <si>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</si>
  <si>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</si>
  <si>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</si>
  <si>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</si>
  <si>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</si>
  <si>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</si>
  <si>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</si>
  <si>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</si>
  <si>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</si>
  <si>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</si>
  <si>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</si>
  <si>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</si>
  <si>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</si>
  <si>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</si>
  <si>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</si>
  <si>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</si>
  <si>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</si>
  <si>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</si>
  <si>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</si>
  <si>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</si>
  <si>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</si>
  <si>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</si>
  <si>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</si>
  <si>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</si>
  <si>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</si>
  <si>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</si>
  <si>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</si>
  <si>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</si>
  <si>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</si>
  <si>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</si>
  <si>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</si>
  <si>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</si>
  <si>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</si>
  <si>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</si>
  <si>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</si>
  <si>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</si>
  <si>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</si>
  <si>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</si>
  <si>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</si>
  <si>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</si>
  <si>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</si>
  <si>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</si>
  <si>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</si>
  <si>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</si>
  <si>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</si>
  <si>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</si>
  <si>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</si>
  <si>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</si>
  <si>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</si>
  <si>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</si>
  <si>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</si>
  <si>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</si>
  <si>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</si>
  <si>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</si>
  <si>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</si>
  <si>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</si>
  <si>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</si>
  <si>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</si>
  <si>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</si>
  <si>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</si>
  <si>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</si>
  <si>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</si>
  <si>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</si>
  <si>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</si>
  <si>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</si>
  <si>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</si>
  <si>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</si>
  <si>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</si>
  <si>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</si>
  <si>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</si>
  <si>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</si>
  <si>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</si>
  <si>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</si>
  <si>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</si>
  <si>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</si>
  <si>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</si>
  <si>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</si>
  <si>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</si>
  <si>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</si>
  <si>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</si>
  <si>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</si>
  <si>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</si>
  <si>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</si>
  <si>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</si>
  <si>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</si>
  <si>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</si>
  <si>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</si>
  <si>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</si>
  <si>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</si>
  <si>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</si>
  <si>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</si>
  <si>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</si>
  <si>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</si>
  <si>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</si>
  <si>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</si>
  <si>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</si>
  <si>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</si>
  <si>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</si>
  <si>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</si>
  <si>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</si>
  <si>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</si>
  <si>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</si>
  <si>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</si>
  <si>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</si>
  <si>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</si>
  <si>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</si>
  <si>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</si>
  <si>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</si>
  <si>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</si>
  <si>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</si>
  <si>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</si>
  <si>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</si>
  <si>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</si>
  <si>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</si>
  <si>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</si>
  <si>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</si>
  <si>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</si>
  <si>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</si>
  <si>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</si>
  <si>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</si>
  <si>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</si>
  <si>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</si>
  <si>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</si>
  <si>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</si>
  <si>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</si>
  <si>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</si>
  <si>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</si>
  <si>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</si>
  <si>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</si>
  <si>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</si>
  <si>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</si>
  <si>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</si>
  <si>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</si>
  <si>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</si>
  <si>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</si>
  <si>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</si>
  <si>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</si>
  <si>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</si>
  <si>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</si>
  <si>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</si>
  <si>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</si>
  <si>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</si>
  <si>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</si>
  <si>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</si>
  <si>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</si>
  <si>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</si>
  <si>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</si>
  <si>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</si>
  <si>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</si>
  <si>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</si>
  <si>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</si>
  <si>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</si>
  <si>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</si>
  <si>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</si>
  <si>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</si>
  <si>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</si>
  <si>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</si>
  <si>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</si>
  <si>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</si>
  <si>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</si>
  <si>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</si>
  <si>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</si>
  <si>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</si>
  <si>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</si>
  <si>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</si>
  <si>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</si>
  <si>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</si>
  <si>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</si>
  <si>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</si>
  <si>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</si>
  <si>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</si>
  <si>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</si>
  <si>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</si>
  <si>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</si>
  <si>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</si>
  <si>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</si>
  <si>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</si>
  <si>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</si>
  <si>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</si>
  <si>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</si>
  <si>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</si>
  <si>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</si>
  <si>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</si>
  <si>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</si>
  <si>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</si>
  <si>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</si>
  <si>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</si>
  <si>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</si>
  <si>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</si>
  <si>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</si>
  <si>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</si>
  <si>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</si>
  <si>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</si>
  <si>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</si>
  <si>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</si>
  <si>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</si>
  <si>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</si>
  <si>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</si>
  <si>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</si>
  <si>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</si>
  <si>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</si>
  <si>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</si>
  <si>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</si>
  <si>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</si>
  <si>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</si>
  <si>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</si>
  <si>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</si>
  <si>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</si>
  <si>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</si>
  <si>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</si>
  <si>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</si>
  <si>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</si>
  <si>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</si>
  <si>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</si>
  <si>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</si>
  <si>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</si>
  <si>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</si>
  <si>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</si>
  <si>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</si>
  <si>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</si>
  <si>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</si>
  <si>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</si>
  <si>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</si>
  <si>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</si>
  <si>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</si>
  <si>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</si>
  <si>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</si>
  <si>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</si>
  <si>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</si>
  <si>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</si>
  <si>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</si>
  <si>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</si>
  <si>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</si>
  <si>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</si>
  <si>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</si>
  <si>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</si>
  <si>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</si>
  <si>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</si>
  <si>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</si>
  <si>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</si>
  <si>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</si>
  <si>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</si>
  <si>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</si>
  <si>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</si>
  <si>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</si>
  <si>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</si>
  <si>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</si>
  <si>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</si>
  <si>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</si>
  <si>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</si>
  <si>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</si>
  <si>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</si>
  <si>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</si>
  <si>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</si>
  <si>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</si>
  <si>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</si>
  <si>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</si>
  <si>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</si>
  <si>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</si>
  <si>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</si>
  <si>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</si>
  <si>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</si>
  <si>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</si>
  <si>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</si>
  <si>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</si>
  <si>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</si>
  <si>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</si>
  <si>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</si>
  <si>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</si>
  <si>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</si>
  <si>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</si>
  <si>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</si>
  <si>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</si>
  <si>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</si>
  <si>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</si>
  <si>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</si>
  <si>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</si>
  <si>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</si>
  <si>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</si>
  <si>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</si>
  <si>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</si>
  <si>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</si>
  <si>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</si>
  <si>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</si>
  <si>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</si>
  <si>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</si>
  <si>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</si>
  <si>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</si>
  <si>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</si>
  <si>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</si>
  <si>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</si>
  <si>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</si>
  <si>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</si>
  <si>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</si>
  <si>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</si>
  <si>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</si>
  <si>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</si>
  <si>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</si>
  <si>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</si>
  <si>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</si>
  <si>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</si>
  <si>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</si>
  <si>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</si>
  <si>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</si>
  <si>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</si>
  <si>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</si>
  <si>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</si>
  <si>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</si>
  <si>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</si>
  <si>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</si>
  <si>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</si>
  <si>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</si>
  <si>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</si>
  <si>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</si>
  <si>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</si>
  <si>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</si>
  <si>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</si>
  <si>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</si>
  <si>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</si>
  <si>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</si>
  <si>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</si>
  <si>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</si>
  <si>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</si>
  <si>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</si>
  <si>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</si>
  <si>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</si>
  <si>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</si>
  <si>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</si>
  <si>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</si>
  <si>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</si>
  <si>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</si>
  <si>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</si>
  <si>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</si>
  <si>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</si>
  <si>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</si>
  <si>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</si>
  <si>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</si>
  <si>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</si>
  <si>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</si>
  <si>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</si>
  <si>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</si>
  <si>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</si>
  <si>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</si>
  <si>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</si>
  <si>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</si>
  <si>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</si>
  <si>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</si>
  <si>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</si>
  <si>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</si>
  <si>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</si>
  <si>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</si>
  <si>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</si>
  <si>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</si>
  <si>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</si>
  <si>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</si>
  <si>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</si>
  <si>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</si>
  <si>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</si>
  <si>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</si>
  <si>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</si>
  <si>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</si>
  <si>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</si>
  <si>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</si>
  <si>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</si>
  <si>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</si>
  <si>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</si>
  <si>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</si>
  <si>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</si>
  <si>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</si>
  <si>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</si>
  <si>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</si>
  <si>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</si>
  <si>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</si>
  <si>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</si>
  <si>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</si>
  <si>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</si>
  <si>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</si>
  <si>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</si>
  <si>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</si>
  <si>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</si>
  <si>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</si>
  <si>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</si>
  <si>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</si>
  <si>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</si>
  <si>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</si>
  <si>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</si>
  <si>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</si>
  <si>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</si>
  <si>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</si>
  <si>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</si>
  <si>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</si>
  <si>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</si>
  <si>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</si>
  <si>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</si>
  <si>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</si>
  <si>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</si>
  <si>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</si>
  <si>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</si>
  <si>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</si>
  <si>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</si>
  <si>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</si>
  <si>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</si>
  <si>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</si>
  <si>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</si>
  <si>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</si>
  <si>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</si>
  <si>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</si>
  <si>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</si>
  <si>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</si>
  <si>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</si>
  <si>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</si>
  <si>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</si>
  <si>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</si>
  <si>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</si>
  <si>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</si>
  <si>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</si>
  <si>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</si>
  <si>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</si>
  <si>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</si>
  <si>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</si>
  <si>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</si>
  <si>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</si>
  <si>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</si>
  <si>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</si>
  <si>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</si>
  <si>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</si>
  <si>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</si>
  <si>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</si>
  <si>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</si>
  <si>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</si>
  <si>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</si>
  <si>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</si>
  <si>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</si>
  <si>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</si>
  <si>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</si>
  <si>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</si>
  <si>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</si>
  <si>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</si>
  <si>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</si>
  <si>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</si>
  <si>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</si>
  <si>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</si>
  <si>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</si>
  <si>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</si>
  <si>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</si>
  <si>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</si>
  <si>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</si>
  <si>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</si>
  <si>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</si>
  <si>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</si>
  <si>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</si>
  <si>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</si>
  <si>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</si>
  <si>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</si>
  <si>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</si>
  <si>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</si>
  <si>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</si>
  <si>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</si>
  <si>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</si>
  <si>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</si>
  <si>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</si>
  <si>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</si>
  <si>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</si>
  <si>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</si>
  <si>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</si>
  <si>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</si>
  <si>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</si>
  <si>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</si>
  <si>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</si>
  <si>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</si>
  <si>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</si>
  <si>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</si>
  <si>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</si>
  <si>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</si>
  <si>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</si>
  <si>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</si>
  <si>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</si>
  <si>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</si>
  <si>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</si>
  <si>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</si>
  <si>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</si>
  <si>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</si>
  <si>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</si>
  <si>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</si>
  <si>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</si>
  <si>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</si>
  <si>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</si>
  <si>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</si>
  <si>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</si>
  <si>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</si>
  <si>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</si>
  <si>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</si>
  <si>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</si>
  <si>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</si>
  <si>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</si>
  <si>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</si>
  <si>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</si>
  <si>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</si>
  <si>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</si>
  <si>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</si>
  <si>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</si>
  <si>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</si>
  <si>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</si>
  <si>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</si>
  <si>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</si>
  <si>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</si>
  <si>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</si>
  <si>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</si>
  <si>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</si>
  <si>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</si>
  <si>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</si>
  <si>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</si>
  <si>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</si>
  <si>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</si>
  <si>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</si>
  <si>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</si>
  <si>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</si>
  <si>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</si>
  <si>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</si>
  <si>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</si>
  <si>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</si>
  <si>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</si>
  <si>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</si>
  <si>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</si>
  <si>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</si>
  <si>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</si>
  <si>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</si>
  <si>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</si>
  <si>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</si>
  <si>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</si>
  <si>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</si>
  <si>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</si>
  <si>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</si>
  <si>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</si>
  <si>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</si>
  <si>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</si>
  <si>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</si>
  <si>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</si>
  <si>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</si>
  <si>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</si>
  <si>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</si>
  <si>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</si>
  <si>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</si>
  <si>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</si>
  <si>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</si>
  <si>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</si>
  <si>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</si>
  <si>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</si>
  <si>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</si>
  <si>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</si>
  <si>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</si>
  <si>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</si>
  <si>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</si>
  <si>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</si>
  <si>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</si>
  <si>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</si>
  <si>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</si>
  <si>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</si>
  <si>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</si>
  <si>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</si>
  <si>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</si>
  <si>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</si>
  <si>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</si>
  <si>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</si>
  <si>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</si>
  <si>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</si>
  <si>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</si>
  <si>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</si>
  <si>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</si>
  <si>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</si>
  <si>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</si>
  <si>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</si>
  <si>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</si>
  <si>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</si>
  <si>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</si>
  <si>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</si>
  <si>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</si>
  <si>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</si>
  <si>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</si>
  <si>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</si>
  <si>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</si>
  <si>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</si>
  <si>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</si>
  <si>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</si>
  <si>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</si>
  <si>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</si>
  <si>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</si>
  <si>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</si>
  <si>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</si>
  <si>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</si>
  <si>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</si>
  <si>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</si>
  <si>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</si>
  <si>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</si>
  <si>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</si>
  <si>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</si>
  <si>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</si>
  <si>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</si>
  <si>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</si>
  <si>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</si>
  <si>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</si>
  <si>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</si>
  <si>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</si>
  <si>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</si>
  <si>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</si>
  <si>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</si>
  <si>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</si>
  <si>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</si>
  <si>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</si>
  <si>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</si>
  <si>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</si>
  <si>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</si>
  <si>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</si>
  <si>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</si>
  <si>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</si>
  <si>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</si>
  <si>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</si>
  <si>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</si>
  <si>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</si>
  <si>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</si>
  <si>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</si>
  <si>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</si>
  <si>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</si>
  <si>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</si>
  <si>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</si>
  <si>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</si>
  <si>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</si>
  <si>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</si>
  <si>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</si>
  <si>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</si>
  <si>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</si>
  <si>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</si>
  <si>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</si>
  <si>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</si>
  <si>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</si>
  <si>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</si>
  <si>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</si>
  <si>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</si>
  <si>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</si>
  <si>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</si>
  <si>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</si>
  <si>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</si>
  <si>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</si>
  <si>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</si>
  <si>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</si>
  <si>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</si>
  <si>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</si>
  <si>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</si>
  <si>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</si>
  <si>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</si>
  <si>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</si>
  <si>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</si>
  <si>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</si>
  <si>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</si>
  <si>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</si>
  <si>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</si>
  <si>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</si>
  <si>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</si>
  <si>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</si>
  <si>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</si>
  <si>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</si>
  <si>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</si>
  <si>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</si>
  <si>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</si>
  <si>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</si>
  <si>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</si>
  <si>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</si>
  <si>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</si>
  <si>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</si>
  <si>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</si>
  <si>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</si>
  <si>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</si>
  <si>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</si>
  <si>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</si>
  <si>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</si>
  <si>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</si>
  <si>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</si>
  <si>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</si>
  <si>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</si>
  <si>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</si>
  <si>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</si>
  <si>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</si>
  <si>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</si>
  <si>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</si>
  <si>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</si>
  <si>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</si>
  <si>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</si>
  <si>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</si>
  <si>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</si>
  <si>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</si>
  <si>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</si>
  <si>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</si>
  <si>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</si>
  <si>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</si>
  <si>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</si>
  <si>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</si>
  <si>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</si>
  <si>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</si>
  <si>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</si>
  <si>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</si>
  <si>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</si>
  <si>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</si>
  <si>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</si>
  <si>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</si>
  <si>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</si>
  <si>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</si>
  <si>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</si>
  <si>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</si>
  <si>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</si>
  <si>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</si>
  <si>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</si>
  <si>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</si>
  <si>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</si>
  <si>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</si>
  <si>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</si>
  <si>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</si>
  <si>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</si>
  <si>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</si>
  <si>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</si>
  <si>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</si>
  <si>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</si>
  <si>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</si>
  <si>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</si>
  <si>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</si>
  <si>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</si>
  <si>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</si>
  <si>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</si>
  <si>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</si>
  <si>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</si>
  <si>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</si>
  <si>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</si>
  <si>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</si>
  <si>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</si>
  <si>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</si>
  <si>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</si>
  <si>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</si>
  <si>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</si>
  <si>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</si>
  <si>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</si>
  <si>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</si>
  <si>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</si>
  <si>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</si>
  <si>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</si>
  <si>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</si>
  <si>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</si>
  <si>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</si>
  <si>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</si>
  <si>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</si>
  <si>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</si>
  <si>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</si>
  <si>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</si>
  <si>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</si>
  <si>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</si>
  <si>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</si>
  <si>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</si>
  <si>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</si>
  <si>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</si>
  <si>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</si>
  <si>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</si>
  <si>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</si>
  <si>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</si>
  <si>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</si>
  <si>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</si>
  <si>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</si>
  <si>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</si>
  <si>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</si>
  <si>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</si>
  <si>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</si>
  <si>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</si>
  <si>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</si>
  <si>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</si>
  <si>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</si>
  <si>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</si>
  <si>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</si>
  <si>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</si>
  <si>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</si>
  <si>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</si>
  <si>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</si>
  <si>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</si>
  <si>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</si>
  <si>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</si>
  <si>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</si>
  <si>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</si>
  <si>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</si>
  <si>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</si>
  <si>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</si>
  <si>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</si>
  <si>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</si>
  <si>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</si>
  <si>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</si>
  <si>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</si>
  <si>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</si>
  <si>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</si>
  <si>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</si>
  <si>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</si>
  <si>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</si>
  <si>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</si>
  <si>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</si>
  <si>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</si>
  <si>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</si>
  <si>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</si>
  <si>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</si>
  <si>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</si>
  <si>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</si>
  <si>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</si>
  <si>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</si>
  <si>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</si>
  <si>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</si>
  <si>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</si>
  <si>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</si>
  <si>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</si>
  <si>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</si>
  <si>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</si>
  <si>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</si>
  <si>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</si>
  <si>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</si>
  <si>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</si>
  <si>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</si>
  <si>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</si>
  <si>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</si>
  <si>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</si>
  <si>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</si>
  <si>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</si>
  <si>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</si>
  <si>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</si>
  <si>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</si>
  <si>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</si>
  <si>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</si>
  <si>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</si>
  <si>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</si>
  <si>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</si>
  <si>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</si>
  <si>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</si>
  <si>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</si>
  <si>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</si>
  <si>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</si>
  <si>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</si>
  <si>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</si>
  <si>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</si>
  <si>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</si>
  <si>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</si>
  <si>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</si>
  <si>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</si>
  <si>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</si>
  <si>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</si>
  <si>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</si>
  <si>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</si>
  <si>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</si>
  <si>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</si>
  <si>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</si>
  <si>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</si>
  <si>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</si>
  <si>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</si>
  <si>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</si>
  <si>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</si>
  <si>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</si>
  <si>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</si>
  <si>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</si>
  <si>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</si>
  <si>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</si>
  <si>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</si>
  <si>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</si>
  <si>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</si>
  <si>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</si>
  <si>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</si>
  <si>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</si>
  <si>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</si>
  <si>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</si>
  <si>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</si>
  <si>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</si>
  <si>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</si>
  <si>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</si>
  <si>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</si>
  <si>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</si>
  <si>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</si>
  <si>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</si>
  <si>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</si>
  <si>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</si>
  <si>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</si>
  <si>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</si>
  <si>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</si>
  <si>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</si>
  <si>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</si>
  <si>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</si>
  <si>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</si>
  <si>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</si>
  <si>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</si>
  <si>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</si>
  <si>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</si>
  <si>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</si>
  <si>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</si>
  <si>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</si>
  <si>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</si>
  <si>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</si>
  <si>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</si>
  <si>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</si>
  <si>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</si>
  <si>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</si>
  <si>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</si>
  <si>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</si>
  <si>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</si>
  <si>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</si>
  <si>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</si>
  <si>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</si>
  <si>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</si>
  <si>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</si>
  <si>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</si>
  <si>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</si>
  <si>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</si>
  <si>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</si>
  <si>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</si>
  <si>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</si>
  <si>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</si>
  <si>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</si>
  <si>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</si>
  <si>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</si>
  <si>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</si>
  <si>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</si>
  <si>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</si>
  <si>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</si>
  <si>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</si>
  <si>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</si>
  <si>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</si>
  <si>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</si>
  <si>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</si>
  <si>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</si>
  <si>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</si>
  <si>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</si>
  <si>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</si>
  <si>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</si>
  <si>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</si>
  <si>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</si>
  <si>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</si>
  <si>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</si>
  <si>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</si>
  <si>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</si>
  <si>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</si>
  <si>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</si>
  <si>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</si>
  <si>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</si>
  <si>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</si>
  <si>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</si>
  <si>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</si>
  <si>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</si>
  <si>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</si>
  <si>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</si>
  <si>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</si>
  <si>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</si>
  <si>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</si>
  <si>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</si>
  <si>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</si>
  <si>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</si>
  <si>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</si>
  <si>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</si>
  <si>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</si>
  <si>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</si>
  <si>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</si>
  <si>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</si>
  <si>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</si>
  <si>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</si>
  <si>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</si>
  <si>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</si>
  <si>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</si>
  <si>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</si>
  <si>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</si>
  <si>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</si>
  <si>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</si>
  <si>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</si>
  <si>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</si>
  <si>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</si>
  <si>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</si>
  <si>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</si>
  <si>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</si>
  <si>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</si>
  <si>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</si>
  <si>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</si>
  <si>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</si>
  <si>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</si>
  <si>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</si>
  <si>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</si>
  <si>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</si>
  <si>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</si>
  <si>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</si>
  <si>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</si>
  <si>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</si>
  <si>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</si>
  <si>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</si>
  <si>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</si>
  <si>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</si>
  <si>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</si>
  <si>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</si>
  <si>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</si>
  <si>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</si>
  <si>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</si>
  <si>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</si>
  <si>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</si>
  <si>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</si>
  <si>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</si>
  <si>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</si>
  <si>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</si>
  <si>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</si>
  <si>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</si>
  <si>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</si>
  <si>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</si>
  <si>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</si>
  <si>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</si>
  <si>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</si>
  <si>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</si>
  <si>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</si>
  <si>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</si>
  <si>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</si>
  <si>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</si>
  <si>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</si>
  <si>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</si>
  <si>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</si>
  <si>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</si>
  <si>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</si>
  <si>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</si>
  <si>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</si>
  <si>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</si>
  <si>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</si>
  <si>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</si>
  <si>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</si>
  <si>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</si>
  <si>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</si>
  <si>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</si>
  <si>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</si>
  <si>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</si>
  <si>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</si>
  <si>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</si>
  <si>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</si>
  <si>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</si>
  <si>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</si>
  <si>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</si>
  <si>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</si>
  <si>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</si>
  <si>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</si>
  <si>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</si>
  <si>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</si>
  <si>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</si>
  <si>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</si>
  <si>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</si>
  <si>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</si>
  <si>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</si>
  <si>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</si>
  <si>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</si>
  <si>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</si>
  <si>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</si>
  <si>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</si>
  <si>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</si>
  <si>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</si>
  <si>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</si>
  <si>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</si>
  <si>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</si>
  <si>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</si>
  <si>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</si>
  <si>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</si>
  <si>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</si>
  <si>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</si>
  <si>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</si>
  <si>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</si>
  <si>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</si>
  <si>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</si>
  <si>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</si>
  <si>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</si>
  <si>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</si>
  <si>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</si>
  <si>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</si>
  <si>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</si>
  <si>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</si>
  <si>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</si>
  <si>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</si>
  <si>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</si>
  <si>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</si>
  <si>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</si>
  <si>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</si>
  <si>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</si>
  <si>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</si>
  <si>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</si>
  <si>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</si>
  <si>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</si>
  <si>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</si>
  <si>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</si>
  <si>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</si>
  <si>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</si>
  <si>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</si>
  <si>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</si>
  <si>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</si>
  <si>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</si>
  <si>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</si>
  <si>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</si>
  <si>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</si>
  <si>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</si>
  <si>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</si>
  <si>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</si>
  <si>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</si>
  <si>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</si>
  <si>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</si>
  <si>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</si>
  <si>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</si>
  <si>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</si>
  <si>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</si>
  <si>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</si>
  <si>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</si>
  <si>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</si>
  <si>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</si>
  <si>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</si>
  <si>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</si>
  <si>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</si>
  <si>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</si>
  <si>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</si>
  <si>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</si>
  <si>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</si>
  <si>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</si>
  <si>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</si>
  <si>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</si>
  <si>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</si>
  <si>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</si>
  <si>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</si>
  <si>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</si>
  <si>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</si>
  <si>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</si>
  <si>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</si>
  <si>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</si>
  <si>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</si>
  <si>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</si>
  <si>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</si>
  <si>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</si>
  <si>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</si>
  <si>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</si>
  <si>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</si>
  <si>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</si>
  <si>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</si>
  <si>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</si>
  <si>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</si>
  <si>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</si>
  <si>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</si>
  <si>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</si>
  <si>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</si>
  <si>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</si>
  <si>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</si>
  <si>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</si>
  <si>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</si>
  <si>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</si>
  <si>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</si>
  <si>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</si>
  <si>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</si>
  <si>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</si>
  <si>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</si>
  <si>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</si>
  <si>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</si>
  <si>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</si>
  <si>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</si>
  <si>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</si>
  <si>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</si>
  <si>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</si>
  <si>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</si>
  <si>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</si>
  <si>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</si>
  <si>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</si>
  <si>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</si>
  <si>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</si>
  <si>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</si>
  <si>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</si>
  <si>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</si>
  <si>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</si>
  <si>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</si>
  <si>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</si>
  <si>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</si>
  <si>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</si>
  <si>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</si>
  <si>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</si>
  <si>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</si>
  <si>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</si>
  <si>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</si>
  <si>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</si>
  <si>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</si>
  <si>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</si>
  <si>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</si>
  <si>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</si>
  <si>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</si>
  <si>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</si>
  <si>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</si>
  <si>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</si>
  <si>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</si>
  <si>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</si>
  <si>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</si>
  <si>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</si>
  <si>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</si>
  <si>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</si>
  <si>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</si>
  <si>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</si>
  <si>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</si>
  <si>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</si>
  <si>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</si>
  <si>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</si>
  <si>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</si>
  <si>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</si>
  <si>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</si>
  <si>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</si>
  <si>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</si>
  <si>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</si>
  <si>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</si>
  <si>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</si>
  <si>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</si>
  <si>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</si>
  <si>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</si>
  <si>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</si>
  <si>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</si>
  <si>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</si>
  <si>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</si>
  <si>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</si>
  <si>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</si>
  <si>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</si>
  <si>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</si>
  <si>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</si>
  <si>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</si>
  <si>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</si>
  <si>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</si>
  <si>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</si>
  <si>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</si>
  <si>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</si>
  <si>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</si>
  <si>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</si>
  <si>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</si>
  <si>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</si>
  <si>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</si>
  <si>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</si>
  <si>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</si>
  <si>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</si>
  <si>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</si>
  <si>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</si>
  <si>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</si>
  <si>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</si>
  <si>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</si>
  <si>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</si>
  <si>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</si>
  <si>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</si>
  <si>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</si>
  <si>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</si>
  <si>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</si>
  <si>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</si>
  <si>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</si>
  <si>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</si>
  <si>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</si>
  <si>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</si>
  <si>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</si>
  <si>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</si>
  <si>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</si>
  <si>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</si>
  <si>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</si>
  <si>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</si>
  <si>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</si>
  <si>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</si>
  <si>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</si>
  <si>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</si>
  <si>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</si>
  <si>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</si>
  <si>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</si>
  <si>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</si>
  <si>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</si>
  <si>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</si>
  <si>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</si>
  <si>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</si>
  <si>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</si>
  <si>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</si>
  <si>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</si>
  <si>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</si>
  <si>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</si>
  <si>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</si>
  <si>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</si>
  <si>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</si>
  <si>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</si>
  <si>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</si>
  <si>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</si>
  <si>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</si>
  <si>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</si>
  <si>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</si>
  <si>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</si>
  <si>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</si>
  <si>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</si>
  <si>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</si>
  <si>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</si>
  <si>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</si>
  <si>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</si>
  <si>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</si>
  <si>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</si>
  <si>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</si>
  <si>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</si>
  <si>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</si>
  <si>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</si>
  <si>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</si>
  <si>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</si>
  <si>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</si>
  <si>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</si>
  <si>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</si>
  <si>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</si>
  <si>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</si>
  <si>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</si>
  <si>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</si>
  <si>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</si>
  <si>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</si>
  <si>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</si>
  <si>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</si>
  <si>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</si>
  <si>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</si>
  <si>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</si>
  <si>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</si>
  <si>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</si>
  <si>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</si>
  <si>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</si>
  <si>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</si>
  <si>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</si>
  <si>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</si>
  <si>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</si>
  <si>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</si>
  <si>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</si>
  <si>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</si>
  <si>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</si>
  <si>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</si>
  <si>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</si>
  <si>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</si>
  <si>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</si>
  <si>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</si>
  <si>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</si>
  <si>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</si>
  <si>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</si>
  <si>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</si>
  <si>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</si>
  <si>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</si>
  <si>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</si>
  <si>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</si>
  <si>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</si>
  <si>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</si>
  <si>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</si>
  <si>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</si>
  <si>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</si>
  <si>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</si>
  <si>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</si>
  <si>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</si>
  <si>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</si>
  <si>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</si>
  <si>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</si>
  <si>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</si>
  <si>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</si>
  <si>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</si>
  <si>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</si>
  <si>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</si>
  <si>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</si>
  <si>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</si>
  <si>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</si>
  <si>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</si>
  <si>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</si>
  <si>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</si>
  <si>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</si>
  <si>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</si>
  <si>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</si>
  <si>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</si>
  <si>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</si>
  <si>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</si>
  <si>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</si>
  <si>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</si>
  <si>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</si>
  <si>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</si>
  <si>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</si>
  <si>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</si>
  <si>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</si>
  <si>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</si>
  <si>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</si>
  <si>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</si>
  <si>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</si>
  <si>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</si>
  <si>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</si>
  <si>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</si>
  <si>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</si>
  <si>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</si>
  <si>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</si>
  <si>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</si>
  <si>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</si>
  <si>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</si>
  <si>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</si>
  <si>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</si>
  <si>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</si>
  <si>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</si>
  <si>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</si>
  <si>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</si>
  <si>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</si>
  <si>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</si>
  <si>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</si>
  <si>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</si>
  <si>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</si>
  <si>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</si>
  <si>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</si>
  <si>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</si>
  <si>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</si>
  <si>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</si>
  <si>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</si>
  <si>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</si>
  <si>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</si>
  <si>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</si>
  <si>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</si>
  <si>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</si>
  <si>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</si>
  <si>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</si>
  <si>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</si>
  <si>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</si>
  <si>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</si>
  <si>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</si>
  <si>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</si>
  <si>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</si>
  <si>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</si>
  <si>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</si>
  <si>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</si>
  <si>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</si>
  <si>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</si>
  <si>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</si>
  <si>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</si>
  <si>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</si>
  <si>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</si>
  <si>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</si>
  <si>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</si>
  <si>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</si>
  <si>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</si>
  <si>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</si>
  <si>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</si>
  <si>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</si>
  <si>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</si>
  <si>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</si>
  <si>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</si>
  <si>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</si>
  <si>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</si>
  <si>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</si>
  <si>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</si>
  <si>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</si>
  <si>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</si>
  <si>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</si>
  <si>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</si>
  <si>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</si>
  <si>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</si>
  <si>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</si>
  <si>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</si>
  <si>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</si>
  <si>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</si>
  <si>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</si>
  <si>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</si>
  <si>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</si>
  <si>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</si>
  <si>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</si>
  <si>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</si>
  <si>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</si>
  <si>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</si>
  <si>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</si>
  <si>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</si>
  <si>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</si>
  <si>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</si>
  <si>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</si>
  <si>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</si>
  <si>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</si>
  <si>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</si>
  <si>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</si>
  <si>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</si>
  <si>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</si>
  <si>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</si>
  <si>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</si>
  <si>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</si>
  <si>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</si>
  <si>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</si>
  <si>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</si>
  <si>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</si>
  <si>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</si>
  <si>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</si>
  <si>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</si>
  <si>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</si>
  <si>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</si>
  <si>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</si>
  <si>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</si>
  <si>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</si>
  <si>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</si>
  <si>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</si>
  <si>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</si>
  <si>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</si>
  <si>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</si>
  <si>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</si>
  <si>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</si>
  <si>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</si>
  <si>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</si>
  <si>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</si>
  <si>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</si>
  <si>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</si>
  <si>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</si>
  <si>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</si>
  <si>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</si>
  <si>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</si>
  <si>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</si>
  <si>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</si>
  <si>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</si>
  <si>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</si>
  <si>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</si>
  <si>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</si>
  <si>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</si>
  <si>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</si>
  <si>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</si>
  <si>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</si>
  <si>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</si>
  <si>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</si>
  <si>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</si>
  <si>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</si>
  <si>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</si>
  <si>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</si>
  <si>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</si>
  <si>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</si>
  <si>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</si>
  <si>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</si>
  <si>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</si>
  <si>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</si>
  <si>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</si>
  <si>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</si>
  <si>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</si>
  <si>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</si>
  <si>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</si>
  <si>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</si>
  <si>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</si>
  <si>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</si>
  <si>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</si>
  <si>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</si>
  <si>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</si>
  <si>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</si>
  <si>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</si>
  <si>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</si>
  <si>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</si>
  <si>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</si>
  <si>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</si>
  <si>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</si>
  <si>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</si>
  <si>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</si>
  <si>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</si>
  <si>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</si>
  <si>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</si>
  <si>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</si>
  <si>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</si>
  <si>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</si>
  <si>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</si>
  <si>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</si>
  <si>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</si>
  <si>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</si>
  <si>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</si>
  <si>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</si>
  <si>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</si>
  <si>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</si>
  <si>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</si>
  <si>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</si>
  <si>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</si>
  <si>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</si>
  <si>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</si>
  <si>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</si>
  <si>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</si>
  <si>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</si>
  <si>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</si>
  <si>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</si>
  <si>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</si>
  <si>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</si>
  <si>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</si>
  <si>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</si>
  <si>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</si>
  <si>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</si>
  <si>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</si>
  <si>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</si>
  <si>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</si>
  <si>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</si>
  <si>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</si>
  <si>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</si>
  <si>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</si>
  <si>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</si>
  <si>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</si>
  <si>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</si>
  <si>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</si>
  <si>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</si>
  <si>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</si>
  <si>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</si>
  <si>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</si>
  <si>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</si>
  <si>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</si>
  <si>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</si>
  <si>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</si>
  <si>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</si>
  <si>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</si>
  <si>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</si>
  <si>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</si>
  <si>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</si>
  <si>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</si>
  <si>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</si>
  <si>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</si>
  <si>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</si>
  <si>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</si>
  <si>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</si>
  <si>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</si>
  <si>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</si>
  <si>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</si>
  <si>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</si>
  <si>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</si>
  <si>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</si>
  <si>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</si>
  <si>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</si>
  <si>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</si>
  <si>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</si>
  <si>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</si>
  <si>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</si>
  <si>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</si>
  <si>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</si>
  <si>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</si>
  <si>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</si>
  <si>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</si>
  <si>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</si>
  <si>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</si>
  <si>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</si>
  <si>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</si>
  <si>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</si>
  <si>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</si>
  <si>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</si>
  <si>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</si>
  <si>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</si>
  <si>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</si>
  <si>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</si>
  <si>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</si>
  <si>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</si>
  <si>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</si>
  <si>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</si>
  <si>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</si>
  <si>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</si>
  <si>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</si>
  <si>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</si>
  <si>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</si>
  <si>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</si>
  <si>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</si>
  <si>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</si>
  <si>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</si>
  <si>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</si>
  <si>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</si>
  <si>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</si>
  <si>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</si>
  <si>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</si>
  <si>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</si>
  <si>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</si>
  <si>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</si>
  <si>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</si>
  <si>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</si>
  <si>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</si>
  <si>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</si>
  <si>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</si>
  <si>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</si>
  <si>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</si>
  <si>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</si>
  <si>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</si>
  <si>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</si>
  <si>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</si>
  <si>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</si>
  <si>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</si>
  <si>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</si>
  <si>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</si>
  <si>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</si>
  <si>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</si>
  <si>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</si>
  <si>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</si>
  <si>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</si>
  <si>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</si>
  <si>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</si>
  <si>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</si>
  <si>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</si>
  <si>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</si>
  <si>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</si>
  <si>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</si>
  <si>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</si>
  <si>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</si>
  <si>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</si>
  <si>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</si>
  <si>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</si>
  <si>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</si>
  <si>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</si>
  <si>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</si>
  <si>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</si>
  <si>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</si>
  <si>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</si>
  <si>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</si>
  <si>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</si>
  <si>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</si>
  <si>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</si>
  <si>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</si>
  <si>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</si>
  <si>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</si>
  <si>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</si>
  <si>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</si>
  <si>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</si>
  <si>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</si>
  <si>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</si>
  <si>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</si>
  <si>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</si>
  <si>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</si>
  <si>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</si>
  <si>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</si>
  <si>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</si>
  <si>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</si>
  <si>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</si>
  <si>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</si>
  <si>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</si>
  <si>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</si>
  <si>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</si>
  <si>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</si>
  <si>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</si>
  <si>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</si>
  <si>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</si>
  <si>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</si>
  <si>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</si>
  <si>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</si>
  <si>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</si>
  <si>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</si>
  <si>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</si>
  <si>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</si>
  <si>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</si>
  <si>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</si>
  <si>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</si>
  <si>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</si>
  <si>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</si>
  <si>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</si>
  <si>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</si>
  <si>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</si>
  <si>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</si>
  <si>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</si>
  <si>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</si>
  <si>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</si>
  <si>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</si>
  <si>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</si>
  <si>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</si>
  <si>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</si>
  <si>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</si>
  <si>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</si>
  <si>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</si>
  <si>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</si>
  <si>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</si>
  <si>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</si>
  <si>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</si>
  <si>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</si>
  <si>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</si>
  <si>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</si>
  <si>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</si>
  <si>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</si>
  <si>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</si>
  <si>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</si>
  <si>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</si>
  <si>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</si>
  <si>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</si>
  <si>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</si>
  <si>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</si>
  <si>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</si>
  <si>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</si>
  <si>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</si>
  <si>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</si>
  <si>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</si>
  <si>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</si>
  <si>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</si>
  <si>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</si>
  <si>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</si>
  <si>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</si>
  <si>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</si>
  <si>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</si>
  <si>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</si>
  <si>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</si>
  <si>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</si>
  <si>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</si>
  <si>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</si>
  <si>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</si>
  <si>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</si>
  <si>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</si>
  <si>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</si>
  <si>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</si>
  <si>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</si>
  <si>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</si>
  <si>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</si>
  <si>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</si>
  <si>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</si>
  <si>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</si>
  <si>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</si>
  <si>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</si>
  <si>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</si>
  <si>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</si>
  <si>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</si>
  <si>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</si>
  <si>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</si>
  <si>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</si>
  <si>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</si>
  <si>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</si>
  <si>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</si>
  <si>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</si>
  <si>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</si>
  <si>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</si>
  <si>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</si>
  <si>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</si>
  <si>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</si>
  <si>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</si>
  <si>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</si>
  <si>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</si>
  <si>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</si>
  <si>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</si>
  <si>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</si>
  <si>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</si>
  <si>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</si>
  <si>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</si>
  <si>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</si>
  <si>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</si>
  <si>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</si>
  <si>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</si>
  <si>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</si>
  <si>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</si>
  <si>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</si>
  <si>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</si>
  <si>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</si>
  <si>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</si>
  <si>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</si>
  <si>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</si>
  <si>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</si>
  <si>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</si>
  <si>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</si>
  <si>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</si>
  <si>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</si>
  <si>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</si>
  <si>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</si>
  <si>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</si>
  <si>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</si>
  <si>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</si>
  <si>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</si>
  <si>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</si>
  <si>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</si>
  <si>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</si>
  <si>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</si>
  <si>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</si>
  <si>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</si>
  <si>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</si>
  <si>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</si>
  <si>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</si>
  <si>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</si>
  <si>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</si>
  <si>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</si>
  <si>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</si>
  <si>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</si>
  <si>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</si>
  <si>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</si>
  <si>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</si>
  <si>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</si>
  <si>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</si>
  <si>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</si>
  <si>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</si>
  <si>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</si>
  <si>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</si>
  <si>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</si>
  <si>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</si>
  <si>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</si>
  <si>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</si>
  <si>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</si>
  <si>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</si>
  <si>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</si>
  <si>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</si>
  <si>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</si>
  <si>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</si>
  <si>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</si>
  <si>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</si>
  <si>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</si>
  <si>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</si>
  <si>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</si>
  <si>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</si>
  <si>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</si>
  <si>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</si>
  <si>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</si>
  <si>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</si>
  <si>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</si>
  <si>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</si>
  <si>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</si>
  <si>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</si>
  <si>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</si>
  <si>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</si>
  <si>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</si>
  <si>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</si>
  <si>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</si>
  <si>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</si>
  <si>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</si>
  <si>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</si>
  <si>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</si>
  <si>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</si>
  <si>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</si>
  <si>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</si>
  <si>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</si>
  <si>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</si>
  <si>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</si>
  <si>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</si>
  <si>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</si>
  <si>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</si>
  <si>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</si>
  <si>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</si>
  <si>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</si>
  <si>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</si>
  <si>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</si>
  <si>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</si>
  <si>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</si>
  <si>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</si>
  <si>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</si>
  <si>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</si>
  <si>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</si>
  <si>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</si>
  <si>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</si>
  <si>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</si>
  <si>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</si>
  <si>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</si>
  <si>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</si>
  <si>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</si>
  <si>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</si>
  <si>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</si>
  <si>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</si>
  <si>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</si>
  <si>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</si>
  <si>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</si>
  <si>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</si>
  <si>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</si>
  <si>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</si>
  <si>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</si>
  <si>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</si>
  <si>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</si>
  <si>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</si>
  <si>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</si>
  <si>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</si>
  <si>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</si>
  <si>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</si>
  <si>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</si>
  <si>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</si>
  <si>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</si>
  <si>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</si>
  <si>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</si>
  <si>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</si>
  <si>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</si>
  <si>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</si>
  <si>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</si>
  <si>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</si>
  <si>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</si>
  <si>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</si>
  <si>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</si>
  <si>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</si>
  <si>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</si>
  <si>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</si>
  <si>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</si>
  <si>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</si>
  <si>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</si>
  <si>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</si>
  <si>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</si>
  <si>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</si>
  <si>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</si>
  <si>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</si>
  <si>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</si>
  <si>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</si>
  <si>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</si>
  <si>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</si>
  <si>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</si>
  <si>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</si>
  <si>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</si>
  <si>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</si>
  <si>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</si>
  <si>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</si>
  <si>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</si>
  <si>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</si>
  <si>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</si>
  <si>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</si>
  <si>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</si>
  <si>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</si>
  <si>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</si>
  <si>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</si>
  <si>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</si>
  <si>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</si>
  <si>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</si>
  <si>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</si>
  <si>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</si>
  <si>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</si>
  <si>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</si>
  <si>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</si>
  <si>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</si>
  <si>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</si>
  <si>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</si>
  <si>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</si>
  <si>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</si>
  <si>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</si>
  <si>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</si>
  <si>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</si>
  <si>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</si>
  <si>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</si>
  <si>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</si>
  <si>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</si>
  <si>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</si>
  <si>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</si>
  <si>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</si>
  <si>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</si>
  <si>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</si>
  <si>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</si>
  <si>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</si>
  <si>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</si>
  <si>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</si>
  <si>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</si>
  <si>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</si>
  <si>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</si>
  <si>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</si>
  <si>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</si>
  <si>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</si>
  <si>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</si>
  <si>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</si>
  <si>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</si>
  <si>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</si>
  <si>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</si>
  <si>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</si>
  <si>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</si>
  <si>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</si>
  <si>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</si>
  <si>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</si>
  <si>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</si>
  <si>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</si>
  <si>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</si>
  <si>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</si>
  <si>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</si>
  <si>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</si>
  <si>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</si>
  <si>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</si>
  <si>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</si>
  <si>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</si>
  <si>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</si>
  <si>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</si>
  <si>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</si>
  <si>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</si>
  <si>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</si>
  <si>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</si>
  <si>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</si>
  <si>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</si>
  <si>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</si>
  <si>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</si>
  <si>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</si>
  <si>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</si>
  <si>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</si>
  <si>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</si>
  <si>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</si>
  <si>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</si>
  <si>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</si>
  <si>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</si>
  <si>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</si>
  <si>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</si>
  <si>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</si>
  <si>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</si>
  <si>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</si>
  <si>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</si>
  <si>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</si>
  <si>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</si>
  <si>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</si>
  <si>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</si>
  <si>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</si>
  <si>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</si>
  <si>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</si>
  <si>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</si>
  <si>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</si>
  <si>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</si>
  <si>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</si>
  <si>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</si>
  <si>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</si>
  <si>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</si>
  <si>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</si>
  <si>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</si>
  <si>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</si>
  <si>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</si>
  <si>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</si>
  <si>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</si>
  <si>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</si>
  <si>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</si>
  <si>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</si>
  <si>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</si>
  <si>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</si>
  <si>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</si>
  <si>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</si>
  <si>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</si>
  <si>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</si>
  <si>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</si>
  <si>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</si>
  <si>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</si>
  <si>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</si>
  <si>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</si>
  <si>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</si>
  <si>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</si>
  <si>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</si>
  <si>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</si>
  <si>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</si>
  <si>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</si>
  <si>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</si>
  <si>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</si>
  <si>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</si>
  <si>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</si>
  <si>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</si>
  <si>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</si>
  <si>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</si>
  <si>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</si>
  <si>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</si>
  <si>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</si>
  <si>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</si>
  <si>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</si>
  <si>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</si>
  <si>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</si>
  <si>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</si>
  <si>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</si>
  <si>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</si>
  <si>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</si>
  <si>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</si>
  <si>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</si>
  <si>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</si>
  <si>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</si>
  <si>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</si>
  <si>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</si>
  <si>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</si>
  <si>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</si>
  <si>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</si>
  <si>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</si>
  <si>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</si>
  <si>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</si>
  <si>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</si>
  <si>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</si>
  <si>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</si>
  <si>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</si>
  <si>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</si>
  <si>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</si>
  <si>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</si>
  <si>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</si>
  <si>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</si>
  <si>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</si>
  <si>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</si>
  <si>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</si>
  <si>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</si>
  <si>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</si>
  <si>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</si>
  <si>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</si>
  <si>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</si>
  <si>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</si>
  <si>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</si>
  <si>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</si>
  <si>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</si>
  <si>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</si>
  <si>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</si>
  <si>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</si>
  <si>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</si>
  <si>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</si>
  <si>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</si>
  <si>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</si>
  <si>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</si>
  <si>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</si>
  <si>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</si>
  <si>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</si>
  <si>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</si>
  <si>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</si>
  <si>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</si>
  <si>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</si>
  <si>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</si>
  <si>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</si>
  <si>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</si>
  <si>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</si>
  <si>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</si>
  <si>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</si>
  <si>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</si>
  <si>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</si>
  <si>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</si>
  <si>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</si>
  <si>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</si>
  <si>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</si>
  <si>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</si>
  <si>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</si>
  <si>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</si>
  <si>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</si>
  <si>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</si>
  <si>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</si>
  <si>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</si>
  <si>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</si>
  <si>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</si>
  <si>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</si>
  <si>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</si>
  <si>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</si>
  <si>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</si>
  <si>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</si>
  <si>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</si>
  <si>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</si>
  <si>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</si>
  <si>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</si>
  <si>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</si>
  <si>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</si>
  <si>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</si>
  <si>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</si>
  <si>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</si>
  <si>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</si>
  <si>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</si>
  <si>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</si>
  <si>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</si>
  <si>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</si>
  <si>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</si>
  <si>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</si>
  <si>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</si>
  <si>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</si>
  <si>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</si>
  <si>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</si>
  <si>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</si>
  <si>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</si>
  <si>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</si>
  <si>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</si>
  <si>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</si>
  <si>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</si>
  <si>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</si>
  <si>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</si>
  <si>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</si>
  <si>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</si>
  <si>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</si>
  <si>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</si>
  <si>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</si>
  <si>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</si>
  <si>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</si>
  <si>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</si>
  <si>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</si>
  <si>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</si>
  <si>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</si>
  <si>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</si>
  <si>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</si>
  <si>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</si>
  <si>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</si>
  <si>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</si>
  <si>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</si>
  <si>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</si>
  <si>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</si>
  <si>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</si>
  <si>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</si>
  <si>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</si>
  <si>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</si>
  <si>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</si>
  <si>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</si>
  <si>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</si>
  <si>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</si>
  <si>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</si>
  <si>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</si>
  <si>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</si>
  <si>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</si>
  <si>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</si>
  <si>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</si>
  <si>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</si>
  <si>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</si>
  <si>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</si>
  <si>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</si>
  <si>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</si>
  <si>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</si>
  <si>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</si>
  <si>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</si>
  <si>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</si>
  <si>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</si>
  <si>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</si>
  <si>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</si>
  <si>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</si>
  <si>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</si>
  <si>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</si>
  <si>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</si>
  <si>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</si>
  <si>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</si>
  <si>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</si>
  <si>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</si>
  <si>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</si>
  <si>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</si>
  <si>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</si>
  <si>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</si>
  <si>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</si>
  <si>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</si>
  <si>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</si>
  <si>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</si>
  <si>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</si>
  <si>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</si>
  <si>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</si>
  <si>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</si>
  <si>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</si>
  <si>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</si>
  <si>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</si>
  <si>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</si>
  <si>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</si>
  <si>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</si>
  <si>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</si>
  <si>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</si>
  <si>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</si>
  <si>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</si>
  <si>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</si>
  <si>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</si>
  <si>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</si>
  <si>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</si>
  <si>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</si>
  <si>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</si>
  <si>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</si>
  <si>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</si>
  <si>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</si>
  <si>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</si>
  <si>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</si>
  <si>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</si>
  <si>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</si>
  <si>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</si>
  <si>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</si>
  <si>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</si>
  <si>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</si>
  <si>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</si>
  <si>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</si>
  <si>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</si>
  <si>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</si>
  <si>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</si>
  <si>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</si>
  <si>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</si>
  <si>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</si>
  <si>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</si>
  <si>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</si>
  <si>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</si>
  <si>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</si>
  <si>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</si>
  <si>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</si>
  <si>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</si>
  <si>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</si>
  <si>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</si>
  <si>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</si>
  <si>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</si>
  <si>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</si>
  <si>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</si>
  <si>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</si>
  <si>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</si>
  <si>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</si>
  <si>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</si>
  <si>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</si>
  <si>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</si>
  <si>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</si>
  <si>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</si>
  <si>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</si>
  <si>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</si>
  <si>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</si>
  <si>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</si>
  <si>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</si>
  <si>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</si>
  <si>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</si>
  <si>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</si>
  <si>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</si>
  <si>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</si>
  <si>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</si>
  <si>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</si>
  <si>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</si>
  <si>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</si>
  <si>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</si>
  <si>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</si>
  <si>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</si>
  <si>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</si>
  <si>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</si>
  <si>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</si>
  <si>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</si>
  <si>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</si>
  <si>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</si>
  <si>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</si>
  <si>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</si>
  <si>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</si>
  <si>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</si>
  <si>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</si>
  <si>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</si>
  <si>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</si>
  <si>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</si>
  <si>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</si>
  <si>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</si>
  <si>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</si>
  <si>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</si>
  <si>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</si>
  <si>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</si>
  <si>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</si>
  <si>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</si>
  <si>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</si>
  <si>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</si>
  <si>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</si>
  <si>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</si>
  <si>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</si>
  <si>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</si>
  <si>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</si>
  <si>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</si>
  <si>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</si>
  <si>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</si>
  <si>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</si>
  <si>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</si>
  <si>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</si>
  <si>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</si>
  <si>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</si>
  <si>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</si>
  <si>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</si>
  <si>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</si>
  <si>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</si>
  <si>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</si>
  <si>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</si>
  <si>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</si>
  <si>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</si>
  <si>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</si>
  <si>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</si>
  <si>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</si>
  <si>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</si>
  <si>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</si>
  <si>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</si>
  <si>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</si>
  <si>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</si>
  <si>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</si>
  <si>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</si>
  <si>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</si>
  <si>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</si>
  <si>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</si>
  <si>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</si>
  <si>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</si>
  <si>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</si>
  <si>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</si>
  <si>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</si>
  <si>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</si>
  <si>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</si>
  <si>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</si>
  <si>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</si>
  <si>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</si>
  <si>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</si>
  <si>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</si>
  <si>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</si>
  <si>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</si>
  <si>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</si>
  <si>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</si>
  <si>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</si>
  <si>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</si>
  <si>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</si>
  <si>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</si>
  <si>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</si>
  <si>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</si>
  <si>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</si>
  <si>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</si>
  <si>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</si>
  <si>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</si>
  <si>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</si>
  <si>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</si>
  <si>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</si>
  <si>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</si>
  <si>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</si>
  <si>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</si>
  <si>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</si>
  <si>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</si>
  <si>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</si>
  <si>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</si>
  <si>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</si>
  <si>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</si>
  <si>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</si>
  <si>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</si>
  <si>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</si>
  <si>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</si>
  <si>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</si>
  <si>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</si>
  <si>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</si>
  <si>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</si>
  <si>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</si>
  <si>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</si>
  <si>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</si>
  <si>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</si>
  <si>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</si>
  <si>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</si>
  <si>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</si>
  <si>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</si>
  <si>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</si>
  <si>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</si>
  <si>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</si>
  <si>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</si>
  <si>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</si>
  <si>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</si>
  <si>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</si>
  <si>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</si>
  <si>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</si>
  <si>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</si>
  <si>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</si>
  <si>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</si>
  <si>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</si>
  <si>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</si>
  <si>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</si>
  <si>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</si>
  <si>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</si>
  <si>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</si>
  <si>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</si>
  <si>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</si>
  <si>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</si>
  <si>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</si>
  <si>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</si>
  <si>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</si>
  <si>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</si>
  <si>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</si>
  <si>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</si>
  <si>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</si>
  <si>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</si>
  <si>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</si>
  <si>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</si>
  <si>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</si>
  <si>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</si>
  <si>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</si>
  <si>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</si>
  <si>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</si>
  <si>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</si>
  <si>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</si>
  <si>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</si>
  <si>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</si>
  <si>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</si>
  <si>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</si>
  <si>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</si>
  <si>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</si>
  <si>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</si>
  <si>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</si>
  <si>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</si>
  <si>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</si>
  <si>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</si>
  <si>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</si>
  <si>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</si>
  <si>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</si>
  <si>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</si>
  <si>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</si>
  <si>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</si>
  <si>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</si>
  <si>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</si>
  <si>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</si>
  <si>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</si>
  <si>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</si>
  <si>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</si>
  <si>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</si>
  <si>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</si>
  <si>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</si>
  <si>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</si>
  <si>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</si>
  <si>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</si>
  <si>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</si>
  <si>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</si>
  <si>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</si>
  <si>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</si>
  <si>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</si>
  <si>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</si>
  <si>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</si>
  <si>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</si>
  <si>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</si>
  <si>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</si>
  <si>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</si>
  <si>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</si>
  <si>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</si>
  <si>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</si>
  <si>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</si>
  <si>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</si>
  <si>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</si>
  <si>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</si>
  <si>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</si>
  <si>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</si>
  <si>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</si>
  <si>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</si>
  <si>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</si>
  <si>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</si>
  <si>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</si>
  <si>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</si>
  <si>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</si>
  <si>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</si>
  <si>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</si>
  <si>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</si>
  <si>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</si>
  <si>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</si>
  <si>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</si>
  <si>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</si>
  <si>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</si>
  <si>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</si>
  <si>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</si>
  <si>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</si>
  <si>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</si>
  <si>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</si>
  <si>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</si>
  <si>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</si>
  <si>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</si>
  <si>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</si>
  <si>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</si>
  <si>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</si>
  <si>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</si>
  <si>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</si>
  <si>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</si>
  <si>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</si>
  <si>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</si>
  <si>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</si>
  <si>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</si>
  <si>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</si>
  <si>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</si>
  <si>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</si>
  <si>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</si>
  <si>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</si>
  <si>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</si>
  <si>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</si>
  <si>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</si>
  <si>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</si>
  <si>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</si>
  <si>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</si>
  <si>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</si>
  <si>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</si>
  <si>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</si>
  <si>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</si>
  <si>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</si>
  <si>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</si>
  <si>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</si>
  <si>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</si>
  <si>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</si>
  <si>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</si>
  <si>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</si>
  <si>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</si>
  <si>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</si>
  <si>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</si>
  <si>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</si>
  <si>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</si>
  <si>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</si>
  <si>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</si>
  <si>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</si>
  <si>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</si>
  <si>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</si>
  <si>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</si>
  <si>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</si>
  <si>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</si>
  <si>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</si>
  <si>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</si>
  <si>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</si>
  <si>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</si>
  <si>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</si>
  <si>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</si>
  <si>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</si>
  <si>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</si>
  <si>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</si>
  <si>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</si>
  <si>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</si>
  <si>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</si>
  <si>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</si>
  <si>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</si>
  <si>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</si>
  <si>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</si>
  <si>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</si>
  <si>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</si>
  <si>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</si>
  <si>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</si>
  <si>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</si>
  <si>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</si>
  <si>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</si>
  <si>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</si>
  <si>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</si>
  <si>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</si>
  <si>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</si>
  <si>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</si>
  <si>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</si>
  <si>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</si>
  <si>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</si>
  <si>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</si>
  <si>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</si>
  <si>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</si>
  <si>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</si>
  <si>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</si>
  <si>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</si>
  <si>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</si>
  <si>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</si>
  <si>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</si>
  <si>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</si>
  <si>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</si>
  <si>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</si>
  <si>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</si>
  <si>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</si>
  <si>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</si>
  <si>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</si>
  <si>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</si>
  <si>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</si>
  <si>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</si>
  <si>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</si>
  <si>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</si>
  <si>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</si>
  <si>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</si>
  <si>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</si>
  <si>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</si>
  <si>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</si>
  <si>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</si>
  <si>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</si>
  <si>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</si>
  <si>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</si>
  <si>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</si>
  <si>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</si>
  <si>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</si>
  <si>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</si>
  <si>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</si>
  <si>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</si>
  <si>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</si>
  <si>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</si>
  <si>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</si>
  <si>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</si>
  <si>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</si>
  <si>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</si>
  <si>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</si>
  <si>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</si>
  <si>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</si>
  <si>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</si>
  <si>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</si>
  <si>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</si>
  <si>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</si>
  <si>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</si>
  <si>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</si>
  <si>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</si>
  <si>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</si>
  <si>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</si>
  <si>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</si>
  <si>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</si>
  <si>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</si>
  <si>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</si>
  <si>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</si>
  <si>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</si>
  <si>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</si>
  <si>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</si>
  <si>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</si>
  <si>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</si>
  <si>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</si>
  <si>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</si>
  <si>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</si>
  <si>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</si>
  <si>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</si>
  <si>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</si>
  <si>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</si>
  <si>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</si>
  <si>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</si>
  <si>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</si>
  <si>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</si>
  <si>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</si>
  <si>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</si>
  <si>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</si>
  <si>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</si>
  <si>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</si>
  <si>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</si>
  <si>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</si>
  <si>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</si>
  <si>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</si>
  <si>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</si>
  <si>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</si>
  <si>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</si>
  <si>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</si>
  <si>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</si>
  <si>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</si>
  <si>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</si>
  <si>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</si>
  <si>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</si>
  <si>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</si>
  <si>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</si>
  <si>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</si>
  <si>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</si>
  <si>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</si>
  <si>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</si>
  <si>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</si>
  <si>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</si>
  <si>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</si>
  <si>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</si>
  <si>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</si>
  <si>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</si>
  <si>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</si>
  <si>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</si>
  <si>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</si>
  <si>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</si>
  <si>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</si>
  <si>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</si>
  <si>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</si>
  <si>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</si>
  <si>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</si>
  <si>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</si>
  <si>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</si>
  <si>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</si>
  <si>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</si>
  <si>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</si>
  <si>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</si>
  <si>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</si>
  <si>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</si>
  <si>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</si>
  <si>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</si>
  <si>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</si>
  <si>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</si>
  <si>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</si>
  <si>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</si>
  <si>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</si>
  <si>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</si>
  <si>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</si>
  <si>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</si>
  <si>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</si>
  <si>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</si>
  <si>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</si>
  <si>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</si>
  <si>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</si>
  <si>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</si>
  <si>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</si>
  <si>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</si>
  <si>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</si>
  <si>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</si>
  <si>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</si>
  <si>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</si>
  <si>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</si>
  <si>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</si>
  <si>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</si>
  <si>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</si>
  <si>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</si>
  <si>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</si>
  <si>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</si>
  <si>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</si>
  <si>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</si>
  <si>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</si>
  <si>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</si>
  <si>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</si>
  <si>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</si>
  <si>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</si>
  <si>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</si>
  <si>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</si>
  <si>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</si>
  <si>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</si>
  <si>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</si>
  <si>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</si>
  <si>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</si>
  <si>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</si>
  <si>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</si>
  <si>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</si>
  <si>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</si>
  <si>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</si>
  <si>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</si>
  <si>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</si>
  <si>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</si>
  <si>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</si>
  <si>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</si>
  <si>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</si>
  <si>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</si>
  <si>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</si>
  <si>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</si>
  <si>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</si>
  <si>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</si>
  <si>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</si>
  <si>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</si>
  <si>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</si>
  <si>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</si>
  <si>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</si>
  <si>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</si>
  <si>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</si>
  <si>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</si>
  <si>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</si>
  <si>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</si>
  <si>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</si>
  <si>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</si>
  <si>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</si>
  <si>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</si>
  <si>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</si>
  <si>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</si>
  <si>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</si>
  <si>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</si>
  <si>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</si>
  <si>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</si>
  <si>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</si>
  <si>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</si>
  <si>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</si>
  <si>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</si>
  <si>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</si>
  <si>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</si>
  <si>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</si>
  <si>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</si>
  <si>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</si>
  <si>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</si>
  <si>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</si>
  <si>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</si>
  <si>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</si>
  <si>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</si>
  <si>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</si>
  <si>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</si>
  <si>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</si>
  <si>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</si>
  <si>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</si>
  <si>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</si>
  <si>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</si>
  <si>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</si>
  <si>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</si>
  <si>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</si>
  <si>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</si>
  <si>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</si>
  <si>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</si>
  <si>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</si>
  <si>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</si>
  <si>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</si>
  <si>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</si>
  <si>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</si>
  <si>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</si>
  <si>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</si>
  <si>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</si>
  <si>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</si>
  <si>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</si>
  <si>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</si>
  <si>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</si>
  <si>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</si>
  <si>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</si>
  <si>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</si>
  <si>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</si>
  <si>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</si>
  <si>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</si>
  <si>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</si>
  <si>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</si>
  <si>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</si>
  <si>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</si>
  <si>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</si>
  <si>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</si>
  <si>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</si>
  <si>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</si>
  <si>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</si>
  <si>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</si>
  <si>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</si>
  <si>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</si>
  <si>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</si>
  <si>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</si>
  <si>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</si>
  <si>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</si>
  <si>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</si>
  <si>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</si>
  <si>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</si>
  <si>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</si>
  <si>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</si>
  <si>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</si>
  <si>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</si>
  <si>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</si>
  <si>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</si>
  <si>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</si>
  <si>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</si>
  <si>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</si>
  <si>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</si>
  <si>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</si>
  <si>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</si>
  <si>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</si>
  <si>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</si>
  <si>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</si>
  <si>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</si>
  <si>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</si>
  <si>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</si>
  <si>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</si>
  <si>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</si>
  <si>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</si>
  <si>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</si>
  <si>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</si>
  <si>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</si>
  <si>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</si>
  <si>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</si>
  <si>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</si>
  <si>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</si>
  <si>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</si>
  <si>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</si>
  <si>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</si>
  <si>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</si>
  <si>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</si>
  <si>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</si>
  <si>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</si>
  <si>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</si>
  <si>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</si>
  <si>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</si>
  <si>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</si>
  <si>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</si>
  <si>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</si>
  <si>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</si>
  <si>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</si>
  <si>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</si>
  <si>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</si>
  <si>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</si>
  <si>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</si>
  <si>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</si>
  <si>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</si>
  <si>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</si>
  <si>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</si>
  <si>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</si>
  <si>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</si>
  <si>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</si>
  <si>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</si>
  <si>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</si>
  <si>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</si>
  <si>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</si>
  <si>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</si>
  <si>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</si>
  <si>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</si>
  <si>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</si>
  <si>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</si>
  <si>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</si>
  <si>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</si>
  <si>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</si>
  <si>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</si>
  <si>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</si>
  <si>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</si>
  <si>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</si>
  <si>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</si>
  <si>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</si>
  <si>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</si>
  <si>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</si>
  <si>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</si>
  <si>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</si>
  <si>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</si>
  <si>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</si>
  <si>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</si>
  <si>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</si>
  <si>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</si>
  <si>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</si>
  <si>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</si>
  <si>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</si>
  <si>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</si>
  <si>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</si>
  <si>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</si>
  <si>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</si>
  <si>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</si>
  <si>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</si>
  <si>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</si>
  <si>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</si>
  <si>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</si>
  <si>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</si>
  <si>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</si>
  <si>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</si>
  <si>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</si>
  <si>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</si>
  <si>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</si>
  <si>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</si>
  <si>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</si>
  <si>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</si>
  <si>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</si>
  <si>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</si>
  <si>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</si>
  <si>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</si>
  <si>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</si>
  <si>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</si>
  <si>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</si>
  <si>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</si>
  <si>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</si>
  <si>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</si>
  <si>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</si>
  <si>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</si>
  <si>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</si>
  <si>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</si>
  <si>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</si>
  <si>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</si>
  <si>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</si>
  <si>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</si>
  <si>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</si>
  <si>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</si>
  <si>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</si>
  <si>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</si>
  <si>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</si>
  <si>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</si>
  <si>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</si>
  <si>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</si>
  <si>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</si>
  <si>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</si>
  <si>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</si>
  <si>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</si>
  <si>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</si>
  <si>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</si>
  <si>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</si>
  <si>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</si>
  <si>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</si>
  <si>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</si>
  <si>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</si>
  <si>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</si>
  <si>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</si>
  <si>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</si>
  <si>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</si>
  <si>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</si>
  <si>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</si>
  <si>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</si>
  <si>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</si>
  <si>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</si>
  <si>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</si>
  <si>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</si>
  <si>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</si>
  <si>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</si>
  <si>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</si>
  <si>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</si>
  <si>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</si>
  <si>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</si>
  <si>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</si>
  <si>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</si>
  <si>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</si>
  <si>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</si>
  <si>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</si>
  <si>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</si>
  <si>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</si>
  <si>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</si>
  <si>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</si>
  <si>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</si>
  <si>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</si>
  <si>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</si>
  <si>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</si>
  <si>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</si>
  <si>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</si>
  <si>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</si>
  <si>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</si>
  <si>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</si>
  <si>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</si>
  <si>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</si>
  <si>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</si>
  <si>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</si>
  <si>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</si>
  <si>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</si>
  <si>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</si>
  <si>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</si>
  <si>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</si>
  <si>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</si>
  <si>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</si>
  <si>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</si>
  <si>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</si>
  <si>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</si>
  <si>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</si>
  <si>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</si>
  <si>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</si>
  <si>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</si>
  <si>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</si>
  <si>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</si>
  <si>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</si>
  <si>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</si>
  <si>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</si>
  <si>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</si>
  <si>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</si>
  <si>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</si>
  <si>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</si>
  <si>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</si>
  <si>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</si>
  <si>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</si>
  <si>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</si>
  <si>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</si>
  <si>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</si>
  <si>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</si>
  <si>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</si>
  <si>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</si>
  <si>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</si>
  <si>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</si>
  <si>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</si>
  <si>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</si>
  <si>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</si>
  <si>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</si>
  <si>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</si>
  <si>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</si>
  <si>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</si>
  <si>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</si>
  <si>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</si>
  <si>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</si>
  <si>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</si>
  <si>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</si>
  <si>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</si>
  <si>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</si>
  <si>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</si>
  <si>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</si>
  <si>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</si>
  <si>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</si>
  <si>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</si>
  <si>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</si>
  <si>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</si>
  <si>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</si>
  <si>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</si>
  <si>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</si>
  <si>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</si>
  <si>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</si>
  <si>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</si>
  <si>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</si>
  <si>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</si>
  <si>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</si>
  <si>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</si>
  <si>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</si>
  <si>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</si>
  <si>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</si>
  <si>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</si>
  <si>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</si>
  <si>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</si>
  <si>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</si>
  <si>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</si>
  <si>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</si>
  <si>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</si>
  <si>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</si>
  <si>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</si>
  <si>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</si>
  <si>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</si>
  <si>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</si>
  <si>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</si>
  <si>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</si>
  <si>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</si>
  <si>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</si>
  <si>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</si>
  <si>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</si>
  <si>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</si>
  <si>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</si>
  <si>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</si>
  <si>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</si>
  <si>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</si>
  <si>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</si>
  <si>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</si>
  <si>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</si>
  <si>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</si>
  <si>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</si>
  <si>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</si>
  <si>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</si>
  <si>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</si>
  <si>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</si>
  <si>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</si>
  <si>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</si>
  <si>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</si>
  <si>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</si>
  <si>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</si>
  <si>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</si>
  <si>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</si>
  <si>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</si>
  <si>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</si>
  <si>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</si>
  <si>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</si>
  <si>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</si>
  <si>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</si>
  <si>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</si>
  <si>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</si>
  <si>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</si>
  <si>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</si>
  <si>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</si>
  <si>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</si>
  <si>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</si>
  <si>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</si>
  <si>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</si>
  <si>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</si>
  <si>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</si>
  <si>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</si>
  <si>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</si>
  <si>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</si>
  <si>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</si>
  <si>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</si>
  <si>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</si>
  <si>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</si>
  <si>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</si>
  <si>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</si>
  <si>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</si>
  <si>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</si>
  <si>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</si>
  <si>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</si>
  <si>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</si>
  <si>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</si>
  <si>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</si>
  <si>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</si>
  <si>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</si>
  <si>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</si>
  <si>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</si>
  <si>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</si>
  <si>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</si>
  <si>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</si>
  <si>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</si>
  <si>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</si>
  <si>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</si>
  <si>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</si>
  <si>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</si>
  <si>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</si>
  <si>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</si>
  <si>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</si>
  <si>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</si>
  <si>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</si>
  <si>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</si>
  <si>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</si>
  <si>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</si>
  <si>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</si>
  <si>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</si>
  <si>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</si>
  <si>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</si>
  <si>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</si>
  <si>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</si>
  <si>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</si>
  <si>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</si>
  <si>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</si>
  <si>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</si>
  <si>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</si>
  <si>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</si>
  <si>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</si>
  <si>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</si>
  <si>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</si>
  <si>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</si>
  <si>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</si>
  <si>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</si>
  <si>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</si>
  <si>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</si>
  <si>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</si>
  <si>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</si>
  <si>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</si>
  <si>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</si>
  <si>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</si>
  <si>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</si>
  <si>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</si>
  <si>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</si>
  <si>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</si>
  <si>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</si>
  <si>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</si>
  <si>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</si>
  <si>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</si>
  <si>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</si>
  <si>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</si>
  <si>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</si>
  <si>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</si>
  <si>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</si>
  <si>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</si>
  <si>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</si>
  <si>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</si>
  <si>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</si>
  <si>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</si>
  <si>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</si>
  <si>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</si>
  <si>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</si>
  <si>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</si>
  <si>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</si>
  <si>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</si>
  <si>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</si>
  <si>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</si>
  <si>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</si>
  <si>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</si>
  <si>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</si>
  <si>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</si>
  <si>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</si>
  <si>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</si>
  <si>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</si>
  <si>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</si>
  <si>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</si>
  <si>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</si>
  <si>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</si>
  <si>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</si>
  <si>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</si>
  <si>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</si>
  <si>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</si>
  <si>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</si>
  <si>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</si>
  <si>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</si>
  <si>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</si>
  <si>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</si>
  <si>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</si>
  <si>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</si>
  <si>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</si>
  <si>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</si>
  <si>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</si>
  <si>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</si>
  <si>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</si>
  <si>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</si>
  <si>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</si>
  <si>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</si>
  <si>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</si>
  <si>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</si>
  <si>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</si>
  <si>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</si>
  <si>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</si>
  <si>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</si>
  <si>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</si>
  <si>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</si>
  <si>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</si>
  <si>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</si>
  <si>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</si>
  <si>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</si>
  <si>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</si>
  <si>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</si>
  <si>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</si>
  <si>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</si>
  <si>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</si>
  <si>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</si>
  <si>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</si>
  <si>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</si>
  <si>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</si>
  <si>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</si>
  <si>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</si>
  <si>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</si>
  <si>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</si>
  <si>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</si>
  <si>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</si>
  <si>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</si>
  <si>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</si>
  <si>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</si>
  <si>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</si>
  <si>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</si>
  <si>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</si>
  <si>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</si>
  <si>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</si>
  <si>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</si>
  <si>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</si>
  <si>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</si>
  <si>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</si>
  <si>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</si>
  <si>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</si>
  <si>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</si>
  <si>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</si>
  <si>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</si>
  <si>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</si>
  <si>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</si>
  <si>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</si>
  <si>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</si>
  <si>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</si>
  <si>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</si>
  <si>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</si>
  <si>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</si>
  <si>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</si>
  <si>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</si>
  <si>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</si>
  <si>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</si>
  <si>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</si>
  <si>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</si>
  <si>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</si>
  <si>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</si>
  <si>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</si>
  <si>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</si>
  <si>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</si>
  <si>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</si>
  <si>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</si>
  <si>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</si>
  <si>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</si>
  <si>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</si>
  <si>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</si>
  <si>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</si>
  <si>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</si>
  <si>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</si>
  <si>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</si>
  <si>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</si>
  <si>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</si>
  <si>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</si>
  <si>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</si>
  <si>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</si>
  <si>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</si>
  <si>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</si>
  <si>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</si>
  <si>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</si>
  <si>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</si>
  <si>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</si>
  <si>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</si>
  <si>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</si>
  <si>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</si>
  <si>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</si>
  <si>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</si>
  <si>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</si>
  <si>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</si>
  <si>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</si>
  <si>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</si>
  <si>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</si>
  <si>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</si>
  <si>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</si>
  <si>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</si>
  <si>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</si>
  <si>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</si>
  <si>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</si>
  <si>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</si>
  <si>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</si>
  <si>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</si>
  <si>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</si>
  <si>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</si>
  <si>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</si>
  <si>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</si>
  <si>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</si>
  <si>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</si>
  <si>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</si>
  <si>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</si>
  <si>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</si>
  <si>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</si>
  <si>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</si>
  <si>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</si>
  <si>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</si>
  <si>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</si>
  <si>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</si>
  <si>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</si>
  <si>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</si>
  <si>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</si>
  <si>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</si>
  <si>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</si>
  <si>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</si>
  <si>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</si>
  <si>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</si>
  <si>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</si>
  <si>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</si>
  <si>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</si>
  <si>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</si>
  <si>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</si>
  <si>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</si>
  <si>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</si>
  <si>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</si>
  <si>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</si>
  <si>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</si>
  <si>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</si>
  <si>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</si>
  <si>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</si>
  <si>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</si>
  <si>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</si>
  <si>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</si>
  <si>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</si>
  <si>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</si>
  <si>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</si>
  <si>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</si>
  <si>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</si>
  <si>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</si>
  <si>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</si>
  <si>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</si>
  <si>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</si>
  <si>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</si>
  <si>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</si>
  <si>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</si>
  <si>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</si>
  <si>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</si>
  <si>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</si>
  <si>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</si>
  <si>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</si>
  <si>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</si>
  <si>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</si>
  <si>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</si>
  <si>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</si>
  <si>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</si>
  <si>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</si>
  <si>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</si>
  <si>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</si>
  <si>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</si>
  <si>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</si>
  <si>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</si>
  <si>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</si>
  <si>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</si>
  <si>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</si>
  <si>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</si>
  <si>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</si>
  <si>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</si>
  <si>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</si>
  <si>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</si>
  <si>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</si>
  <si>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</si>
  <si>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</si>
  <si>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</si>
  <si>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</si>
  <si>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</si>
  <si>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</si>
  <si>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</si>
  <si>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</si>
  <si>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</si>
  <si>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</si>
  <si>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</si>
  <si>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</si>
  <si>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</si>
  <si>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</si>
  <si>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</si>
  <si>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</si>
  <si>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</si>
  <si>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</si>
  <si>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</si>
  <si>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</si>
  <si>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</si>
  <si>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</si>
  <si>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</si>
  <si>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</si>
  <si>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</si>
  <si>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</si>
  <si>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</si>
  <si>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</si>
  <si>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</si>
  <si>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</si>
  <si>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</si>
  <si>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</si>
  <si>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</si>
  <si>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</si>
  <si>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</si>
  <si>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</si>
  <si>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</si>
  <si>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</si>
  <si>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</si>
  <si>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</si>
  <si>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</si>
  <si>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</si>
  <si>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</si>
  <si>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</si>
  <si>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</si>
  <si>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</si>
  <si>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</si>
  <si>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</si>
  <si>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</si>
  <si>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</si>
  <si>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</si>
  <si>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</si>
  <si>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</si>
  <si>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</si>
  <si>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</si>
  <si>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</si>
  <si>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</si>
  <si>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</si>
  <si>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</si>
  <si>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</si>
  <si>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</si>
  <si>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</si>
  <si>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</si>
  <si>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</si>
  <si>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</si>
  <si>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</si>
  <si>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</si>
  <si>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</si>
  <si>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</si>
  <si>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</si>
  <si>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</si>
  <si>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</si>
  <si>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</si>
  <si>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</si>
  <si>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</si>
  <si>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</si>
  <si>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</si>
  <si>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</si>
  <si>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</si>
  <si>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</si>
  <si>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</si>
  <si>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</si>
  <si>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</si>
  <si>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</si>
  <si>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</si>
  <si>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</si>
  <si>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</si>
  <si>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</si>
  <si>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</si>
  <si>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</si>
  <si>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</si>
  <si>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</si>
  <si>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</si>
  <si>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</si>
  <si>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</si>
  <si>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</si>
  <si>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</si>
  <si>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</si>
  <si>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</si>
  <si>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</si>
  <si>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</si>
  <si>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</si>
  <si>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</si>
  <si>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</si>
  <si>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</si>
  <si>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</si>
  <si>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</si>
  <si>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</si>
  <si>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</si>
  <si>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</si>
  <si>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</si>
  <si>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</si>
  <si>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</si>
  <si>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</si>
  <si>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</si>
  <si>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</si>
  <si>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</si>
  <si>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</si>
  <si>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</si>
  <si>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</si>
  <si>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</si>
  <si>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</si>
  <si>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</si>
  <si>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</si>
  <si>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</si>
  <si>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</si>
  <si>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</si>
  <si>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</si>
  <si>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</si>
  <si>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</si>
  <si>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</si>
  <si>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</si>
  <si>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</si>
  <si>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</si>
  <si>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</si>
  <si>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</si>
  <si>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</si>
  <si>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</si>
  <si>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</si>
  <si>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</si>
  <si>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</si>
  <si>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</si>
  <si>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</si>
  <si>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</si>
  <si>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</si>
  <si>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</si>
  <si>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</si>
  <si>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</si>
  <si>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</si>
  <si>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</si>
  <si>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</si>
  <si>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</si>
  <si>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</si>
  <si>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</si>
  <si>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</si>
  <si>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</si>
  <si>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</si>
  <si>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</si>
  <si>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</si>
  <si>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</si>
  <si>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</si>
  <si>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</si>
  <si>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</si>
  <si>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</si>
  <si>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</si>
  <si>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</si>
  <si>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</si>
  <si>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</si>
  <si>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</si>
  <si>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</si>
  <si>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</si>
  <si>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</si>
  <si>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</si>
  <si>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</si>
  <si>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</si>
  <si>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</si>
  <si>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</si>
  <si>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</si>
  <si>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</si>
  <si>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</si>
  <si>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</si>
  <si>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</si>
  <si>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</si>
  <si>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</si>
  <si>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</si>
  <si>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</si>
  <si>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</si>
  <si>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</si>
  <si>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</si>
  <si>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</si>
  <si>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</si>
  <si>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</si>
  <si>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</si>
  <si>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</si>
  <si>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</si>
  <si>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</si>
  <si>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</si>
  <si>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</si>
  <si>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</si>
  <si>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</si>
  <si>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</si>
  <si>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</si>
  <si>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</si>
  <si>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</si>
  <si>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</si>
  <si>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</si>
  <si>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</si>
  <si>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</si>
  <si>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</si>
  <si>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</si>
  <si>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</si>
  <si>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</si>
  <si>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</si>
  <si>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</si>
  <si>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</si>
  <si>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</si>
  <si>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</si>
  <si>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</si>
  <si>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</si>
  <si>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</si>
  <si>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</si>
  <si>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</si>
  <si>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</si>
  <si>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</si>
  <si>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</si>
  <si>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</si>
  <si>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</si>
  <si>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</si>
  <si>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</si>
  <si>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</si>
  <si>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</si>
  <si>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</si>
  <si>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</si>
  <si>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</si>
  <si>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</si>
  <si>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</si>
  <si>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</si>
  <si>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</si>
  <si>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</si>
  <si>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</si>
  <si>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</si>
  <si>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</si>
  <si>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</si>
  <si>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</si>
  <si>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</si>
  <si>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</si>
  <si>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</si>
  <si>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</si>
  <si>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</si>
  <si>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</si>
  <si>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</si>
  <si>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</si>
  <si>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</si>
  <si>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</si>
  <si>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</si>
  <si>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</si>
  <si>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</si>
  <si>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</si>
  <si>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</si>
  <si>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</si>
  <si>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</si>
  <si>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</si>
  <si>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</si>
  <si>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</si>
  <si>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</si>
  <si>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</si>
  <si>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</si>
  <si>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</si>
  <si>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</si>
  <si>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</si>
  <si>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</si>
  <si>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</si>
  <si>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</si>
  <si>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</si>
  <si>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</si>
  <si>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</si>
  <si>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</si>
  <si>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</si>
  <si>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</si>
  <si>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</si>
  <si>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</si>
  <si>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</si>
  <si>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</si>
  <si>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</si>
  <si>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</si>
  <si>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</si>
  <si>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</si>
  <si>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</si>
  <si>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</si>
  <si>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</si>
  <si>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</si>
  <si>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</si>
  <si>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</si>
  <si>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</si>
  <si>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</si>
  <si>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</si>
  <si>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</si>
  <si>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</si>
  <si>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</si>
  <si>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</si>
  <si>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</si>
  <si>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</si>
  <si>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</si>
  <si>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</si>
  <si>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</si>
  <si>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</si>
  <si>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</si>
  <si>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</si>
  <si>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</si>
  <si>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</si>
  <si>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</si>
  <si>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</si>
  <si>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</si>
  <si>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</si>
  <si>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</si>
  <si>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</si>
  <si>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</si>
  <si>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</si>
  <si>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</si>
  <si>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</si>
  <si>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</si>
  <si>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</si>
  <si>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</si>
  <si>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</si>
  <si>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</si>
  <si>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</si>
  <si>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</si>
  <si>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</si>
  <si>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</si>
  <si>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</si>
  <si>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</si>
  <si>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</si>
  <si>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</si>
  <si>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</si>
  <si>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</si>
  <si>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</si>
  <si>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</si>
  <si>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</si>
  <si>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</si>
  <si>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</si>
  <si>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</si>
  <si>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</si>
  <si>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</si>
  <si>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</si>
  <si>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</si>
  <si>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</si>
  <si>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</si>
  <si>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</si>
  <si>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</si>
  <si>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</si>
  <si>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</si>
  <si>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</si>
  <si>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</si>
  <si>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</si>
  <si>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</si>
  <si>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</si>
  <si>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</si>
  <si>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</si>
  <si>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</si>
  <si>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</si>
  <si>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</si>
  <si>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</si>
  <si>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</si>
  <si>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</si>
  <si>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</si>
  <si>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</si>
  <si>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</si>
  <si>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</si>
  <si>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</si>
  <si>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</si>
  <si>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</si>
  <si>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</si>
  <si>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</si>
  <si>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</si>
  <si>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</si>
  <si>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</si>
  <si>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</si>
  <si>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</si>
  <si>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</si>
  <si>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</si>
  <si>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</si>
  <si>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</si>
  <si>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</si>
  <si>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</si>
  <si>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</si>
  <si>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</si>
  <si>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</si>
  <si>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</si>
  <si>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</si>
  <si>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</si>
  <si>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</si>
  <si>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</si>
  <si>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</si>
  <si>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</si>
  <si>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</si>
  <si>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</si>
  <si>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</si>
  <si>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</si>
  <si>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</si>
  <si>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</si>
  <si>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</si>
  <si>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</si>
  <si>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</si>
  <si>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</si>
  <si>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</si>
  <si>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</si>
  <si>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</si>
  <si>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</si>
  <si>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</si>
  <si>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</si>
  <si>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</si>
  <si>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</si>
  <si>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</si>
  <si>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</si>
  <si>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</si>
  <si>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</si>
  <si>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</si>
  <si>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</si>
  <si>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</si>
  <si>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</si>
  <si>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</si>
  <si>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</si>
  <si>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</si>
  <si>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</si>
  <si>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</si>
  <si>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</si>
  <si>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</si>
  <si>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</si>
  <si>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</si>
  <si>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</si>
  <si>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</si>
  <si>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</si>
  <si>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</si>
  <si>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</si>
  <si>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</si>
  <si>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</si>
  <si>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</si>
  <si>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</si>
  <si>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</si>
  <si>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</si>
  <si>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</si>
  <si>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</si>
  <si>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</si>
  <si>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</si>
  <si>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</si>
  <si>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</si>
  <si>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</si>
  <si>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</si>
  <si>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</si>
  <si>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</si>
  <si>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</si>
  <si>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</si>
  <si>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</si>
  <si>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</si>
  <si>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</si>
  <si>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</si>
  <si>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</si>
  <si>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</si>
  <si>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</si>
  <si>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</si>
  <si>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</si>
  <si>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</si>
  <si>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</si>
  <si>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</si>
  <si>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</si>
  <si>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</si>
  <si>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</si>
  <si>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</si>
  <si>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</si>
  <si>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</si>
  <si>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</si>
  <si>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</si>
  <si>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</si>
  <si>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</si>
  <si>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</si>
  <si>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</si>
  <si>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</si>
  <si>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</si>
  <si>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</si>
  <si>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</si>
  <si>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</si>
  <si>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</si>
  <si>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</si>
  <si>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</si>
  <si>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</si>
  <si>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</si>
  <si>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</si>
  <si>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</si>
  <si>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</si>
  <si>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</si>
  <si>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</si>
  <si>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</si>
  <si>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</si>
  <si>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</si>
  <si>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</si>
  <si>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</si>
  <si>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</si>
  <si>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</si>
  <si>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</si>
  <si>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</si>
  <si>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</si>
  <si>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</si>
  <si>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</si>
  <si>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</si>
  <si>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</si>
  <si>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</si>
  <si>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</si>
  <si>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</si>
  <si>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</si>
  <si>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</si>
  <si>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</si>
  <si>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</si>
  <si>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</si>
  <si>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</si>
  <si>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</si>
  <si>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</si>
  <si>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</si>
  <si>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</si>
  <si>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</si>
  <si>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</si>
  <si>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</si>
  <si>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</si>
  <si>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</si>
  <si>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</si>
  <si>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</si>
  <si>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</si>
  <si>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</si>
  <si>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</si>
  <si>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</si>
  <si>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</si>
  <si>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</si>
  <si>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</si>
  <si>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</si>
  <si>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</si>
  <si>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</si>
  <si>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</si>
  <si>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</si>
  <si>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</si>
  <si>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</si>
  <si>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</si>
  <si>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</si>
  <si>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</si>
  <si>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</si>
  <si>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</si>
  <si>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</si>
  <si>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</si>
  <si>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</si>
  <si>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</si>
  <si>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</si>
  <si>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</si>
  <si>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</si>
  <si>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</si>
  <si>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</si>
  <si>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</si>
  <si>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</si>
  <si>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</si>
  <si>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</si>
  <si>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</si>
  <si>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</si>
  <si>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</si>
  <si>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</si>
  <si>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</si>
  <si>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</si>
  <si>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</si>
  <si>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</si>
  <si>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</si>
  <si>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</si>
  <si>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</si>
  <si>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</si>
  <si>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</si>
  <si>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</si>
  <si>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</si>
  <si>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</si>
  <si>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</si>
  <si>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</si>
  <si>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</si>
  <si>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</si>
  <si>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</si>
  <si>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</si>
  <si>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</si>
  <si>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</si>
  <si>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</si>
  <si>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</si>
  <si>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</si>
  <si>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</si>
  <si>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</si>
  <si>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</si>
  <si>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</si>
  <si>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</si>
  <si>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</si>
  <si>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</si>
  <si>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</si>
  <si>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</si>
  <si>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</si>
  <si>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</si>
  <si>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</si>
  <si>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</si>
  <si>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</si>
  <si>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</si>
  <si>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</si>
  <si>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</si>
  <si>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</si>
  <si>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</si>
  <si>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</si>
  <si>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</si>
  <si>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</si>
  <si>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</si>
  <si>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</si>
  <si>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</si>
  <si>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</si>
  <si>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</si>
  <si>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</si>
  <si>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</si>
  <si>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</si>
  <si>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</si>
  <si>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</si>
  <si>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</si>
  <si>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</si>
  <si>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</si>
  <si>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</si>
  <si>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</si>
  <si>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</si>
  <si>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</si>
  <si>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</si>
  <si>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</si>
  <si>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</si>
  <si>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</si>
  <si>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</si>
  <si>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</si>
  <si>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</si>
  <si>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</si>
  <si>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</si>
  <si>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</si>
  <si>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</si>
  <si>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</si>
  <si>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</si>
  <si>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</si>
  <si>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</si>
  <si>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</si>
  <si>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</si>
  <si>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</si>
  <si>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</si>
  <si>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</si>
  <si>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</si>
  <si>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</si>
  <si>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</si>
  <si>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</si>
  <si>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</si>
  <si>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</si>
  <si>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</si>
  <si>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</si>
  <si>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</si>
  <si>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</si>
  <si>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</si>
  <si>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</si>
  <si>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</si>
  <si>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</si>
  <si>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</si>
  <si>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</si>
  <si>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</si>
  <si>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</si>
  <si>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</si>
  <si>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</si>
  <si>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</si>
  <si>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</si>
  <si>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</si>
  <si>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</si>
  <si>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</si>
  <si>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</si>
  <si>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</si>
  <si>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</si>
  <si>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</si>
  <si>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</si>
  <si>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</si>
  <si>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</si>
  <si>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</si>
  <si>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</si>
  <si>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</si>
  <si>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</si>
  <si>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</si>
  <si>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</si>
  <si>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</si>
  <si>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</si>
  <si>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</si>
  <si>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</si>
  <si>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</si>
  <si>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</si>
  <si>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</si>
  <si>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</si>
  <si>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</si>
  <si>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</si>
  <si>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</si>
  <si>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</si>
  <si>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</si>
  <si>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</si>
  <si>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</si>
  <si>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</si>
  <si>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</si>
  <si>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</si>
  <si>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</si>
  <si>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</si>
  <si>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</si>
  <si>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</si>
  <si>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</si>
  <si>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</si>
  <si>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</si>
  <si>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</si>
  <si>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</si>
  <si>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</si>
  <si>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</si>
  <si>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</si>
  <si>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</si>
  <si>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</si>
  <si>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</si>
  <si>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</si>
  <si>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</si>
  <si>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</si>
  <si>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</si>
  <si>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</si>
  <si>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</si>
  <si>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</si>
  <si>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</si>
  <si>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</si>
  <si>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</si>
  <si>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</si>
  <si>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</si>
  <si>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</si>
  <si>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</si>
  <si>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</si>
  <si>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</si>
  <si>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</si>
  <si>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</si>
  <si>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</si>
  <si>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</si>
  <si>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</si>
  <si>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</si>
  <si>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</si>
  <si>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</si>
  <si>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</si>
  <si>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</si>
  <si>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</si>
  <si>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</si>
  <si>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</si>
  <si>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</si>
  <si>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</si>
  <si>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</si>
  <si>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</si>
  <si>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</si>
  <si>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</si>
  <si>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</si>
  <si>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</si>
  <si>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</si>
  <si>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</si>
  <si>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</si>
  <si>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</si>
  <si>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</si>
  <si>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</si>
  <si>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</si>
  <si>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</si>
  <si>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</si>
  <si>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</si>
  <si>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</si>
  <si>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</si>
  <si>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</si>
  <si>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</si>
  <si>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</si>
  <si>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</si>
  <si>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</si>
  <si>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</si>
  <si>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</si>
  <si>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</si>
  <si>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</si>
  <si>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</si>
  <si>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</si>
  <si>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</si>
  <si>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</si>
  <si>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</si>
  <si>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</si>
  <si>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</si>
  <si>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</si>
  <si>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</si>
  <si>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</si>
  <si>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</si>
  <si>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</si>
  <si>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</si>
  <si>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</si>
  <si>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</si>
  <si>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</si>
  <si>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</si>
  <si>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</si>
  <si>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</si>
  <si>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</si>
  <si>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</si>
  <si>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</si>
  <si>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</si>
  <si>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</si>
  <si>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</si>
  <si>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</si>
  <si>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</si>
  <si>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</si>
  <si>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</si>
  <si>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</si>
  <si>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</si>
  <si>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</si>
  <si>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</si>
  <si>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</si>
  <si>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</si>
  <si>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</si>
  <si>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</si>
  <si>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</si>
  <si>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</si>
  <si>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</si>
  <si>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</si>
  <si>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</si>
  <si>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</si>
  <si>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</si>
  <si>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</si>
  <si>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</si>
  <si>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</si>
  <si>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</si>
  <si>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</si>
  <si>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</si>
  <si>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</si>
  <si>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</si>
  <si>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</si>
  <si>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</si>
  <si>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</si>
  <si>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</si>
  <si>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</si>
  <si>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</si>
  <si>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</si>
  <si>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</si>
  <si>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</si>
  <si>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</si>
  <si>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</si>
  <si>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</si>
  <si>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</si>
  <si>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</si>
  <si>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</si>
  <si>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</si>
  <si>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</si>
  <si>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</si>
  <si>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</si>
  <si>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</si>
  <si>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</si>
  <si>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</si>
  <si>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</si>
  <si>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</si>
  <si>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</si>
  <si>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</si>
  <si>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</si>
  <si>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</si>
  <si>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</si>
  <si>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</si>
  <si>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</si>
  <si>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</si>
  <si>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</si>
  <si>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</si>
  <si>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</si>
  <si>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</si>
  <si>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</si>
  <si>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</si>
  <si>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</si>
  <si>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</si>
  <si>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</si>
  <si>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</si>
  <si>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</si>
  <si>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</si>
  <si>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</si>
  <si>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</si>
  <si>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</si>
  <si>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</si>
  <si>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</si>
  <si>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</si>
  <si>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</si>
  <si>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</si>
  <si>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</si>
  <si>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</si>
  <si>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</si>
  <si>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</si>
  <si>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</si>
  <si>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</si>
  <si>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</si>
  <si>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</si>
  <si>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</si>
  <si>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</si>
  <si>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</si>
  <si>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</si>
  <si>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</si>
  <si>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</si>
  <si>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</si>
  <si>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</si>
  <si>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</si>
  <si>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</si>
  <si>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</si>
  <si>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</si>
  <si>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</si>
  <si>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</si>
  <si>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</si>
  <si>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</si>
  <si>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</si>
  <si>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</si>
  <si>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</si>
  <si>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</si>
  <si>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</si>
  <si>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</si>
  <si>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</si>
  <si>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</si>
  <si>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</si>
  <si>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</si>
  <si>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</si>
  <si>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</si>
  <si>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</si>
  <si>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</si>
  <si>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</si>
  <si>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</si>
  <si>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</si>
  <si>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</si>
  <si>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</si>
  <si>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</si>
  <si>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</si>
  <si>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</si>
  <si>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</si>
  <si>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</si>
  <si>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</si>
  <si>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</si>
  <si>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</si>
  <si>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</si>
  <si>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</si>
  <si>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</si>
  <si>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</si>
  <si>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</si>
  <si>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</si>
  <si>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</si>
  <si>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</si>
  <si>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</si>
  <si>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</si>
  <si>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</si>
  <si>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</si>
  <si>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</si>
  <si>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</si>
  <si>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</si>
  <si>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</si>
  <si>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</si>
  <si>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</si>
  <si>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</si>
  <si>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</si>
  <si>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</si>
  <si>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</si>
  <si>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</si>
  <si>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</si>
  <si>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</si>
  <si>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</si>
  <si>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</si>
  <si>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</si>
  <si>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</si>
  <si>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</si>
  <si>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</si>
  <si>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</si>
  <si>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</si>
  <si>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</si>
  <si>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</si>
  <si>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</si>
  <si>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</si>
  <si>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</si>
  <si>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</si>
  <si>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</si>
  <si>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</si>
  <si>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</si>
  <si>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</si>
  <si>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</si>
  <si>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</si>
  <si>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</si>
  <si>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</si>
  <si>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</si>
  <si>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</si>
  <si>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</si>
  <si>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</si>
  <si>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</si>
  <si>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</si>
  <si>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</si>
  <si>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</si>
  <si>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</si>
  <si>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</si>
  <si>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</si>
  <si>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</si>
  <si>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</si>
  <si>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</si>
  <si>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</si>
  <si>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</si>
  <si>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</si>
  <si>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</si>
  <si>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</si>
  <si>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</si>
  <si>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</si>
  <si>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</si>
  <si>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</si>
  <si>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</si>
  <si>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</si>
  <si>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</si>
  <si>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</si>
  <si>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</si>
  <si>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</si>
  <si>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</si>
  <si>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</si>
  <si>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</si>
  <si>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</si>
  <si>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</si>
  <si>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</si>
  <si>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</si>
  <si>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</si>
  <si>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</si>
  <si>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</si>
  <si>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</si>
  <si>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</si>
  <si>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</si>
  <si>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</si>
  <si>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</si>
  <si>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</si>
  <si>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</si>
  <si>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</si>
  <si>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</si>
  <si>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</si>
  <si>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</si>
  <si>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</si>
  <si>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</si>
  <si>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</si>
  <si>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</si>
  <si>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</si>
  <si>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</si>
  <si>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</si>
  <si>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</si>
  <si>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</si>
  <si>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</si>
  <si>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</si>
  <si>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</si>
  <si>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</si>
  <si>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</si>
  <si>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</si>
  <si>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</si>
  <si>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</si>
  <si>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</si>
  <si>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</si>
  <si>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</si>
  <si>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</si>
  <si>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</si>
  <si>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</si>
  <si>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</si>
  <si>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</si>
  <si>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</si>
  <si>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</si>
  <si>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</si>
  <si>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</si>
  <si>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</si>
  <si>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</si>
  <si>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</si>
  <si>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</si>
  <si>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</si>
  <si>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</si>
  <si>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</si>
  <si>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</si>
  <si>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</si>
  <si>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</si>
  <si>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</si>
  <si>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</si>
  <si>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</si>
  <si>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</si>
  <si>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</si>
  <si>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</si>
  <si>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</si>
  <si>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</si>
  <si>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</si>
  <si>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</si>
  <si>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</si>
  <si>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</si>
  <si>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</si>
  <si>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</si>
  <si>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</si>
  <si>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</si>
  <si>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</si>
  <si>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</si>
  <si>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</si>
  <si>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</si>
  <si>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</si>
  <si>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</si>
  <si>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</si>
  <si>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</si>
  <si>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</si>
  <si>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</si>
  <si>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</si>
  <si>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</si>
  <si>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</si>
  <si>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</si>
  <si>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</si>
  <si>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</si>
  <si>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</si>
  <si>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</si>
  <si>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</si>
  <si>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</si>
  <si>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</si>
  <si>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</si>
  <si>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</si>
  <si>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</si>
  <si>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</si>
  <si>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</si>
  <si>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</si>
  <si>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</si>
  <si>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</si>
  <si>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</si>
  <si>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</si>
  <si>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</si>
  <si>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</si>
  <si>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</si>
  <si>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</si>
  <si>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</si>
  <si>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</si>
  <si>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</si>
  <si>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</si>
  <si>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</si>
  <si>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</si>
  <si>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</si>
  <si>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</si>
  <si>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</si>
  <si>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</si>
  <si>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</si>
  <si>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</si>
  <si>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</si>
  <si>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</si>
  <si>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</si>
  <si>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</si>
  <si>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</si>
  <si>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</si>
  <si>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</si>
  <si>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</si>
  <si>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</si>
  <si>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</si>
  <si>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</si>
  <si>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</si>
  <si>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</si>
  <si>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</si>
  <si>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</si>
  <si>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</si>
  <si>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</si>
  <si>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</si>
  <si>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</si>
  <si>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</si>
  <si>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</si>
  <si>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</si>
  <si>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</si>
  <si>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</si>
  <si>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</si>
  <si>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</si>
  <si>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</si>
  <si>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</si>
  <si>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</si>
  <si>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</si>
  <si>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</si>
  <si>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</si>
  <si>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</si>
  <si>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</si>
  <si>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</si>
  <si>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</si>
  <si>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</si>
  <si>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</si>
  <si>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</si>
  <si>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</si>
  <si>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</si>
  <si>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</si>
  <si>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</si>
  <si>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</si>
  <si>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</si>
  <si>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</si>
  <si>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</si>
  <si>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</si>
  <si>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</si>
  <si>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</si>
  <si>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</si>
  <si>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</si>
  <si>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</si>
  <si>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</si>
  <si>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</si>
  <si>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</si>
  <si>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</si>
  <si>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</si>
  <si>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</si>
  <si>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</si>
  <si>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</si>
  <si>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</si>
  <si>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</si>
  <si>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</si>
  <si>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</si>
  <si>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</si>
  <si>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</si>
  <si>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</si>
  <si>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</si>
  <si>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</si>
  <si>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</si>
  <si>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</si>
  <si>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</si>
  <si>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</si>
  <si>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</si>
  <si>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</si>
  <si>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</si>
  <si>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</si>
  <si>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</si>
  <si>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</si>
  <si>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</si>
  <si>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</si>
  <si>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</si>
  <si>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</si>
  <si>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</si>
  <si>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</si>
  <si>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</si>
  <si>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</si>
  <si>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</si>
  <si>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</si>
  <si>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</si>
  <si>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</si>
  <si>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</si>
  <si>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</si>
  <si>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</si>
  <si>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</si>
  <si>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</si>
  <si>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</si>
  <si>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</si>
  <si>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</si>
  <si>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</si>
  <si>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</si>
  <si>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</si>
  <si>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</si>
  <si>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</si>
  <si>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</si>
  <si>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</si>
  <si>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</si>
  <si>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</si>
  <si>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</si>
  <si>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</si>
  <si>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</si>
  <si>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</si>
  <si>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</si>
  <si>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</si>
  <si>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</si>
  <si>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</si>
  <si>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</si>
  <si>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</si>
  <si>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</si>
  <si>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</si>
  <si>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</si>
  <si>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</si>
  <si>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</si>
  <si>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</si>
  <si>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</si>
  <si>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</si>
  <si>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</si>
  <si>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</si>
  <si>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</si>
  <si>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</si>
  <si>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</si>
  <si>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</si>
  <si>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</si>
  <si>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</si>
  <si>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</si>
  <si>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</si>
  <si>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</si>
  <si>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</si>
  <si>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</si>
  <si>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</si>
  <si>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</si>
  <si>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</si>
  <si>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</si>
  <si>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</si>
  <si>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</si>
  <si>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</si>
  <si>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</si>
  <si>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</si>
  <si>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</si>
  <si>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</si>
  <si>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</si>
  <si>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</si>
  <si>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</si>
  <si>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</si>
  <si>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</si>
  <si>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</si>
  <si>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</si>
  <si>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</si>
  <si>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</si>
  <si>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</si>
  <si>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</si>
  <si>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</si>
  <si>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</si>
  <si>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</si>
  <si>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</si>
  <si>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</si>
  <si>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</si>
  <si>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</si>
  <si>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</si>
  <si>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</si>
  <si>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</si>
  <si>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</si>
  <si>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</si>
  <si>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</si>
  <si>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</si>
  <si>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</si>
  <si>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</si>
  <si>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</si>
  <si>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</si>
  <si>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</si>
  <si>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</si>
  <si>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</si>
  <si>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</si>
  <si>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</si>
  <si>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</si>
  <si>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</si>
  <si>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</si>
  <si>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</si>
  <si>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</si>
  <si>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</si>
  <si>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</si>
  <si>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</si>
  <si>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</si>
  <si>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</si>
  <si>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</si>
  <si>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</si>
  <si>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</si>
  <si>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</si>
  <si>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</si>
  <si>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</si>
  <si>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</si>
  <si>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</si>
  <si>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</si>
  <si>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</si>
  <si>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</si>
  <si>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</si>
  <si>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</si>
  <si>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</si>
  <si>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</si>
  <si>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</si>
  <si>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</si>
  <si>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</si>
  <si>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</si>
  <si>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</si>
  <si>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</si>
  <si>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</si>
  <si>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</si>
  <si>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</si>
  <si>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</si>
  <si>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</si>
  <si>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</si>
  <si>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</si>
  <si>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</si>
  <si>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</si>
  <si>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</si>
  <si>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</si>
  <si>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</si>
  <si>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</si>
  <si>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</si>
  <si>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</si>
  <si>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</si>
  <si>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</si>
  <si>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</si>
  <si>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</si>
  <si>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</si>
  <si>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</si>
  <si>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</si>
  <si>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</si>
  <si>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</si>
  <si>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</si>
  <si>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</si>
  <si>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</si>
  <si>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</si>
  <si>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</si>
  <si>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</si>
  <si>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</si>
  <si>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</si>
  <si>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</si>
  <si>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</si>
  <si>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</si>
  <si>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</si>
  <si>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</si>
  <si>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</si>
  <si>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</si>
  <si>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</si>
  <si>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</si>
  <si>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</si>
  <si>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</si>
  <si>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</si>
  <si>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</si>
  <si>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</si>
  <si>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</si>
  <si>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</si>
  <si>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</si>
  <si>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</si>
  <si>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</si>
  <si>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</si>
  <si>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</si>
  <si>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</si>
  <si>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</si>
  <si>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</si>
  <si>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</si>
  <si>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</si>
  <si>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</si>
  <si>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</si>
  <si>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</si>
  <si>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</si>
  <si>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</si>
  <si>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</si>
  <si>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</si>
  <si>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</si>
  <si>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</si>
  <si>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</si>
  <si>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</si>
  <si>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</si>
  <si>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</si>
  <si>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</si>
  <si>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</si>
  <si>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</si>
  <si>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</si>
  <si>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</si>
  <si>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</si>
  <si>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</si>
  <si>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</si>
  <si>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</si>
  <si>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</si>
  <si>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</si>
  <si>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</si>
  <si>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</si>
  <si>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</si>
  <si>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</si>
  <si>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</si>
  <si>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</si>
  <si>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</si>
  <si>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</si>
  <si>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</si>
  <si>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</si>
  <si>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</si>
  <si>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</si>
  <si>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</si>
  <si>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</si>
  <si>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</si>
  <si>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</si>
  <si>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</si>
  <si>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</si>
  <si>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</si>
  <si>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</si>
  <si>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</si>
  <si>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</si>
  <si>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</si>
  <si>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</si>
  <si>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</si>
  <si>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</si>
  <si>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</si>
  <si>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</si>
  <si>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</si>
  <si>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</si>
  <si>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</si>
  <si>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</si>
  <si>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</si>
  <si>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</si>
  <si>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</si>
  <si>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</si>
  <si>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</si>
  <si>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</si>
  <si>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</si>
  <si>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</si>
  <si>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</si>
  <si>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</si>
  <si>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</si>
  <si>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</si>
  <si>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</si>
  <si>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</si>
  <si>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</si>
  <si>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</si>
  <si>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</si>
  <si>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</si>
  <si>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</si>
  <si>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</si>
  <si>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</si>
  <si>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</si>
  <si>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</si>
  <si>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</si>
  <si>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</si>
  <si>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</si>
  <si>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</si>
  <si>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</si>
  <si>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</si>
  <si>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</si>
  <si>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</si>
  <si>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</si>
  <si>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</si>
  <si>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</si>
  <si>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</si>
  <si>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</si>
  <si>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</si>
  <si>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</si>
  <si>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</si>
  <si>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</si>
  <si>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</si>
  <si>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</si>
  <si>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</si>
  <si>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</si>
  <si>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</si>
  <si>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</si>
  <si>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</si>
  <si>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</si>
  <si>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</si>
  <si>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</si>
  <si>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</si>
  <si>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</si>
  <si>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</si>
  <si>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</si>
  <si>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</si>
  <si>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</si>
  <si>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</si>
  <si>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</si>
  <si>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</si>
  <si>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</si>
  <si>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</si>
  <si>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</si>
  <si>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</si>
  <si>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</si>
  <si>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</si>
  <si>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</si>
  <si>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</si>
  <si>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</si>
  <si>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</si>
  <si>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</si>
  <si>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</si>
  <si>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</si>
  <si>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</si>
  <si>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</si>
  <si>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</si>
  <si>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</si>
  <si>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</si>
  <si>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</si>
  <si>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</si>
  <si>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</si>
  <si>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</si>
  <si>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</si>
  <si>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</si>
  <si>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</si>
  <si>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</si>
  <si>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</si>
  <si>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</si>
  <si>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</si>
  <si>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</si>
  <si>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</si>
  <si>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</si>
  <si>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</si>
  <si>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</si>
  <si>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</si>
  <si>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</si>
  <si>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</si>
  <si>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</si>
  <si>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</si>
  <si>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</si>
  <si>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</si>
  <si>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</si>
  <si>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</si>
  <si>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</si>
  <si>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</si>
  <si>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</si>
  <si>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</si>
  <si>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</si>
  <si>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</si>
  <si>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</si>
  <si>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</si>
  <si>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</si>
  <si>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</si>
  <si>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</si>
  <si>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</si>
  <si>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</si>
  <si>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</si>
  <si>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</si>
  <si>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</si>
  <si>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</si>
  <si>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</si>
  <si>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</si>
  <si>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</si>
  <si>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</si>
  <si>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</si>
  <si>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</si>
  <si>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</si>
  <si>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</si>
  <si>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</si>
  <si>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</si>
  <si>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</si>
  <si>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</si>
  <si>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</si>
  <si>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</si>
  <si>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</si>
  <si>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</si>
  <si>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</si>
  <si>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</si>
  <si>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</si>
  <si>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</si>
  <si>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</si>
  <si>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</si>
  <si>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</si>
  <si>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</si>
  <si>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</si>
  <si>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</si>
  <si>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</si>
  <si>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</si>
  <si>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</si>
  <si>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</si>
  <si>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</si>
  <si>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</si>
  <si>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</si>
  <si>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</si>
  <si>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</si>
  <si>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</si>
  <si>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</si>
  <si>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</si>
  <si>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</si>
  <si>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</si>
  <si>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</si>
  <si>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</si>
  <si>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</si>
  <si>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</si>
  <si>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</si>
  <si>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</si>
  <si>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</si>
  <si>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</si>
  <si>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</si>
  <si>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</si>
  <si>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</si>
  <si>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</si>
  <si>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</si>
  <si>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</si>
  <si>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</si>
  <si>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</si>
  <si>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</si>
  <si>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</si>
  <si>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</si>
  <si>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</si>
  <si>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</si>
  <si>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</si>
  <si>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</si>
  <si>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</si>
  <si>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</si>
  <si>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</si>
  <si>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</si>
  <si>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</si>
  <si>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</si>
  <si>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</si>
  <si>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</si>
  <si>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</si>
  <si>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</si>
  <si>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</si>
  <si>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</si>
  <si>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</si>
  <si>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</si>
  <si>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</si>
  <si>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</si>
  <si>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</si>
  <si>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</si>
  <si>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</si>
  <si>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</si>
  <si>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</si>
  <si>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</si>
  <si>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</si>
  <si>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</si>
  <si>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</si>
  <si>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</si>
  <si>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</si>
  <si>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</si>
  <si>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</si>
  <si>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</si>
  <si>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</si>
  <si>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</si>
  <si>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</si>
  <si>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</si>
  <si>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</si>
  <si>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</si>
  <si>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</si>
  <si>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</si>
  <si>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</si>
  <si>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</si>
  <si>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</si>
  <si>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</si>
  <si>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</si>
  <si>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</si>
  <si>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</si>
  <si>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</si>
  <si>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</si>
  <si>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</si>
  <si>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</si>
  <si>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</si>
  <si>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</si>
  <si>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</si>
  <si>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</si>
  <si>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</si>
  <si>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</si>
  <si>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</si>
  <si>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</si>
  <si>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</si>
  <si>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</si>
  <si>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</si>
  <si>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</si>
  <si>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</si>
  <si>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</si>
  <si>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</si>
  <si>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</si>
  <si>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</si>
  <si>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</si>
  <si>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</si>
  <si>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</si>
  <si>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</si>
  <si>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</si>
  <si>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</si>
  <si>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</si>
  <si>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</si>
  <si>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</si>
  <si>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</si>
  <si>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</si>
  <si>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</si>
  <si>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</si>
  <si>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</si>
  <si>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</si>
  <si>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</si>
  <si>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</si>
  <si>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</si>
  <si>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</si>
  <si>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</si>
  <si>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</si>
  <si>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</si>
  <si>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</si>
  <si>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</si>
  <si>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</si>
  <si>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</si>
  <si>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</si>
  <si>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</si>
  <si>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</si>
  <si>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</si>
  <si>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</si>
  <si>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</si>
  <si>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</si>
  <si>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</si>
  <si>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</si>
  <si>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</si>
  <si>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</si>
  <si>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</si>
  <si>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</si>
  <si>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</si>
  <si>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</si>
  <si>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</si>
  <si>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</si>
  <si>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</si>
  <si>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</si>
  <si>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</si>
  <si>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</si>
  <si>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</si>
  <si>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</si>
  <si>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</si>
  <si>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</si>
  <si>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</si>
  <si>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</si>
  <si>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</si>
  <si>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</si>
  <si>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</si>
  <si>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</si>
  <si>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</si>
  <si>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</si>
  <si>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</si>
  <si>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</si>
  <si>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</si>
  <si>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</si>
  <si>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</si>
  <si>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</si>
  <si>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</si>
  <si>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</si>
  <si>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</si>
  <si>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</si>
  <si>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</si>
  <si>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</si>
  <si>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</si>
  <si>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</si>
  <si>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</si>
  <si>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</si>
  <si>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</si>
  <si>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</si>
  <si>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</si>
  <si>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</si>
  <si>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</si>
  <si>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</si>
  <si>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</si>
  <si>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</si>
  <si>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</si>
  <si>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</si>
  <si>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</si>
  <si>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</si>
  <si>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</si>
  <si>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</si>
  <si>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</si>
  <si>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</si>
  <si>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</si>
  <si>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</si>
  <si>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</si>
  <si>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</si>
  <si>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</si>
  <si>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</si>
  <si>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</si>
  <si>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</si>
  <si>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</si>
  <si>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</si>
  <si>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</si>
  <si>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</si>
  <si>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</si>
  <si>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</si>
  <si>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</si>
  <si>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</si>
  <si>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</si>
  <si>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</si>
  <si>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</si>
  <si>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</si>
  <si>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</si>
  <si>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</si>
  <si>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</si>
  <si>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</si>
  <si>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</si>
  <si>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</si>
  <si>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</si>
  <si>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</si>
  <si>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</si>
  <si>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</si>
  <si>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</si>
  <si>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</si>
  <si>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</si>
  <si>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</si>
  <si>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</si>
  <si>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</si>
  <si>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</si>
  <si>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</si>
  <si>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</si>
  <si>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</si>
  <si>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</si>
  <si>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</si>
  <si>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</si>
  <si>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</si>
  <si>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</si>
  <si>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</si>
  <si>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</si>
  <si>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</si>
  <si>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</si>
  <si>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</si>
  <si>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</si>
  <si>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</si>
  <si>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</si>
  <si>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</si>
  <si>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</si>
  <si>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</si>
  <si>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</si>
  <si>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</si>
  <si>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</si>
  <si>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</si>
  <si>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</si>
  <si>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</si>
  <si>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</si>
  <si>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</si>
  <si>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</si>
  <si>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</si>
  <si>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</si>
  <si>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</si>
  <si>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</si>
  <si>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</si>
  <si>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</si>
  <si>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</si>
  <si>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</si>
  <si>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</si>
  <si>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</si>
  <si>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</si>
  <si>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</si>
  <si>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</si>
  <si>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</si>
  <si>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</si>
  <si>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</si>
  <si>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</si>
  <si>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</si>
  <si>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</si>
  <si>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</si>
  <si>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</si>
  <si>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</si>
  <si>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</si>
  <si>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</si>
  <si>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</si>
  <si>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</si>
  <si>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</si>
  <si>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</si>
  <si>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</si>
  <si>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</si>
  <si>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</si>
  <si>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</si>
  <si>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</si>
  <si>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</si>
  <si>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</si>
  <si>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</si>
  <si>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</si>
  <si>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</si>
  <si>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</si>
  <si>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</si>
  <si>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</si>
  <si>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</si>
  <si>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</si>
  <si>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</si>
  <si>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</si>
  <si>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</si>
  <si>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</si>
  <si>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</si>
  <si>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</si>
  <si>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</si>
  <si>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</si>
  <si>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</si>
  <si>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</si>
  <si>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</si>
  <si>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</si>
  <si>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</si>
  <si>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</si>
  <si>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</si>
  <si>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</si>
  <si>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</si>
  <si>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</si>
  <si>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</si>
  <si>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</si>
  <si>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</si>
  <si>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</si>
  <si>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</si>
  <si>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</si>
  <si>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</si>
  <si>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</si>
  <si>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</si>
  <si>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</si>
  <si>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</si>
  <si>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</si>
  <si>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</si>
  <si>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</si>
  <si>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</si>
  <si>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</si>
  <si>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</si>
  <si>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</si>
  <si>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</si>
  <si>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</si>
  <si>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</si>
  <si>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</si>
  <si>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</si>
  <si>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</si>
  <si>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</si>
  <si>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</si>
  <si>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</si>
  <si>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</si>
  <si>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</si>
  <si>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</si>
  <si>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</si>
  <si>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</si>
  <si>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</si>
  <si>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</si>
  <si>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</si>
  <si>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</si>
  <si>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</si>
  <si>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</si>
  <si>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</si>
  <si>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</si>
  <si>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</si>
  <si>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</si>
  <si>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</si>
  <si>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</si>
  <si>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</si>
  <si>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</si>
  <si>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</si>
  <si>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</si>
  <si>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</si>
  <si>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</si>
  <si>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</si>
  <si>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</si>
  <si>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</si>
  <si>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</si>
  <si>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</si>
  <si>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</si>
  <si>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</si>
  <si>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</si>
  <si>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</si>
  <si>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</si>
  <si>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</si>
  <si>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</si>
  <si>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</si>
  <si>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</si>
  <si>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</si>
  <si>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</si>
  <si>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</si>
  <si>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</si>
  <si>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</si>
  <si>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</si>
  <si>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</si>
  <si>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</si>
  <si>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</si>
  <si>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</si>
  <si>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</si>
  <si>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</si>
  <si>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</si>
  <si>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</si>
  <si>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</si>
  <si>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</si>
  <si>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</si>
  <si>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</si>
  <si>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</si>
  <si>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</si>
  <si>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</si>
  <si>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</si>
  <si>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</si>
  <si>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</si>
  <si>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</si>
  <si>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</si>
  <si>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</si>
  <si>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</si>
  <si>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</si>
  <si>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</si>
  <si>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</si>
  <si>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</si>
  <si>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</si>
  <si>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</si>
  <si>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</si>
  <si>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</si>
  <si>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</si>
  <si>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</si>
  <si>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</si>
  <si>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</si>
  <si>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</si>
  <si>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</si>
  <si>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</si>
  <si>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</si>
  <si>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</si>
  <si>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</si>
  <si>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</si>
  <si>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</si>
  <si>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</si>
  <si>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</si>
  <si>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</si>
  <si>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</si>
  <si>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</si>
  <si>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</si>
  <si>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</si>
  <si>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</si>
  <si>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</si>
  <si>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</si>
  <si>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</si>
  <si>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</si>
  <si>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</si>
  <si>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</si>
  <si>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</si>
  <si>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</si>
  <si>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</si>
  <si>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</si>
  <si>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</si>
  <si>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</si>
  <si>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</si>
  <si>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</si>
  <si>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</si>
  <si>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</si>
  <si>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</si>
  <si>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</si>
  <si>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</si>
  <si>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</si>
  <si>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</si>
  <si>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</si>
  <si>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</si>
  <si>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</si>
  <si>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</si>
  <si>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</si>
  <si>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</si>
  <si>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</si>
  <si>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</si>
  <si>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</si>
  <si>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</si>
  <si>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</si>
  <si>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</si>
  <si>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</si>
  <si>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</si>
  <si>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</si>
  <si>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</si>
  <si>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</si>
  <si>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</si>
  <si>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</si>
  <si>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</si>
  <si>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</si>
  <si>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</si>
  <si>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</si>
  <si>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</si>
  <si>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</si>
  <si>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</si>
  <si>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</si>
  <si>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</si>
  <si>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</si>
  <si>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</si>
  <si>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</si>
  <si>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</si>
  <si>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</si>
  <si>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</si>
  <si>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</si>
  <si>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</si>
  <si>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</si>
  <si>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</si>
  <si>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</si>
  <si>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</si>
  <si>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</si>
  <si>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</si>
  <si>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</si>
  <si>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</si>
  <si>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</si>
  <si>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</si>
  <si>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</si>
  <si>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</si>
  <si>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</si>
  <si>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</si>
  <si>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</si>
  <si>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</si>
  <si>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</si>
  <si>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</si>
  <si>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</si>
  <si>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</si>
  <si>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</si>
  <si>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</si>
  <si>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</si>
  <si>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</si>
  <si>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</si>
  <si>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</si>
  <si>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</si>
  <si>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</si>
  <si>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</si>
  <si>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</si>
  <si>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</si>
  <si>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</si>
  <si>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</si>
  <si>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</si>
  <si>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</si>
  <si>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</si>
  <si>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</si>
  <si>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</si>
  <si>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</si>
  <si>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</si>
  <si>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</si>
  <si>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</si>
  <si>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</si>
  <si>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</si>
  <si>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</si>
  <si>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</si>
  <si>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</si>
  <si>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</si>
  <si>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</si>
  <si>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</si>
  <si>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</si>
  <si>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</si>
  <si>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</si>
  <si>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</si>
  <si>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</si>
  <si>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</si>
  <si>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</si>
  <si>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</si>
  <si>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</si>
  <si>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</si>
  <si>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</si>
  <si>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</si>
  <si>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</si>
  <si>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</si>
  <si>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</si>
  <si>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</si>
  <si>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</si>
  <si>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</si>
  <si>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</si>
  <si>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</si>
  <si>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</si>
  <si>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</si>
  <si>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</si>
  <si>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</si>
  <si>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</si>
  <si>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</si>
  <si>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</si>
  <si>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</si>
  <si>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</si>
  <si>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</si>
  <si>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</si>
  <si>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</si>
  <si>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</si>
  <si>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</si>
  <si>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</si>
  <si>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</si>
  <si>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</si>
  <si>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</si>
  <si>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</si>
  <si>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</si>
  <si>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</si>
  <si>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</si>
  <si>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</si>
  <si>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</si>
  <si>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</si>
  <si>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</si>
  <si>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</si>
  <si>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</si>
  <si>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</si>
  <si>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</si>
  <si>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</si>
  <si>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</si>
  <si>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</si>
  <si>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</si>
  <si>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</si>
  <si>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</si>
  <si>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</si>
  <si>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</si>
  <si>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</si>
  <si>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</si>
  <si>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</si>
  <si>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</si>
  <si>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</si>
  <si>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</si>
  <si>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</si>
  <si>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</si>
  <si>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</si>
  <si>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</si>
  <si>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</si>
  <si>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</si>
  <si>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</si>
  <si>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</si>
  <si>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</si>
  <si>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</si>
  <si>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</si>
  <si>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</si>
  <si>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</si>
  <si>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</si>
  <si>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</si>
  <si>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</si>
  <si>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</si>
  <si>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</si>
  <si>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</si>
  <si>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</si>
  <si>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</si>
  <si>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</si>
  <si>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</si>
  <si>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</si>
  <si>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</si>
  <si>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</si>
  <si>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</si>
  <si>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</si>
  <si>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</si>
  <si>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</si>
  <si>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</si>
  <si>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</si>
  <si>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</si>
  <si>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</si>
  <si>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</si>
  <si>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</si>
  <si>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</si>
  <si>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</si>
  <si>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</si>
  <si>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</si>
  <si>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</si>
  <si>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</si>
  <si>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</si>
  <si>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</si>
  <si>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</si>
  <si>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</si>
  <si>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</si>
  <si>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</si>
  <si>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</si>
  <si>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</si>
  <si>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</si>
  <si>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</si>
  <si>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</si>
  <si>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</si>
  <si>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</si>
  <si>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</si>
  <si>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</si>
  <si>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</si>
  <si>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</si>
  <si>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</si>
  <si>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</si>
  <si>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</si>
  <si>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</si>
  <si>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</si>
  <si>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</si>
  <si>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</si>
  <si>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</si>
  <si>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</si>
  <si>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</si>
  <si>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</si>
  <si>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</si>
  <si>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</si>
  <si>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</si>
  <si>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</si>
  <si>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</si>
  <si>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</si>
  <si>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</si>
  <si>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</si>
  <si>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</si>
  <si>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</si>
  <si>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</si>
  <si>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</si>
  <si>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</si>
  <si>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</si>
  <si>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</si>
  <si>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</si>
  <si>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</si>
  <si>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</si>
  <si>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</si>
  <si>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</si>
  <si>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</si>
  <si>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</si>
  <si>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</si>
  <si>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</si>
  <si>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</si>
  <si>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</si>
  <si>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</si>
  <si>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</si>
  <si>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</si>
  <si>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</si>
  <si>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</si>
  <si>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</si>
  <si>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</si>
  <si>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</si>
  <si>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</si>
  <si>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</si>
  <si>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</si>
  <si>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</si>
  <si>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</si>
  <si>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</si>
  <si>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</si>
  <si>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</si>
  <si>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</si>
  <si>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</si>
  <si>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</si>
  <si>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</si>
  <si>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</si>
  <si>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</si>
  <si>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</si>
  <si>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</si>
  <si>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</si>
  <si>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</si>
  <si>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</si>
  <si>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</si>
  <si>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</si>
  <si>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</si>
  <si>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</si>
  <si>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</si>
  <si>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</si>
  <si>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</si>
  <si>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</si>
  <si>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</si>
  <si>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</si>
  <si>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</si>
  <si>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</si>
  <si>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</si>
  <si>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</si>
  <si>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</si>
  <si>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</si>
  <si>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</si>
  <si>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</si>
  <si>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</si>
  <si>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</si>
  <si>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</si>
  <si>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</si>
  <si>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</si>
  <si>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</si>
  <si>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</si>
  <si>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</si>
  <si>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</si>
  <si>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</si>
  <si>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</si>
  <si>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</si>
  <si>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</si>
  <si>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</si>
  <si>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</si>
  <si>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</si>
  <si>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</si>
  <si>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</si>
  <si>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</si>
  <si>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</si>
  <si>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</si>
  <si>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</si>
  <si>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</si>
  <si>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</si>
  <si>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</si>
  <si>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</si>
  <si>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</si>
  <si>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</si>
  <si>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</si>
  <si>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</si>
  <si>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</si>
  <si>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</si>
  <si>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</si>
  <si>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</si>
  <si>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</si>
  <si>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</si>
  <si>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</si>
  <si>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</si>
  <si>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</si>
  <si>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</si>
  <si>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</si>
  <si>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</si>
  <si>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</si>
  <si>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</si>
  <si>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</si>
  <si>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</si>
  <si>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</si>
  <si>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</si>
  <si>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</si>
  <si>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</si>
  <si>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</si>
  <si>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</si>
  <si>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</si>
  <si>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</si>
  <si>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</si>
  <si>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</si>
  <si>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</si>
  <si>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</si>
  <si>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</si>
  <si>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</si>
  <si>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</si>
  <si>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</si>
  <si>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</si>
  <si>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</si>
  <si>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</si>
  <si>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</si>
  <si>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</si>
  <si>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</si>
  <si>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</si>
  <si>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</si>
  <si>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</si>
  <si>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</si>
  <si>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</si>
  <si>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</si>
  <si>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</si>
  <si>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</si>
  <si>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</si>
  <si>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</si>
  <si>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</si>
  <si>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</si>
  <si>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</si>
  <si>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</si>
  <si>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</si>
  <si>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</si>
  <si>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</si>
  <si>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</si>
  <si>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</si>
  <si>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</si>
  <si>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</si>
  <si>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</si>
  <si>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</si>
  <si>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</si>
  <si>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</si>
  <si>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</si>
  <si>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</si>
  <si>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</si>
  <si>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</si>
  <si>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</si>
  <si>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</si>
  <si>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</si>
  <si>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</si>
  <si>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</si>
  <si>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</si>
  <si>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</si>
  <si>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</si>
  <si>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</si>
  <si>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</si>
  <si>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</si>
  <si>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</si>
  <si>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</si>
  <si>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</si>
  <si>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</si>
  <si>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</si>
  <si>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</si>
  <si>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</si>
  <si>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</si>
  <si>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</si>
  <si>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</si>
  <si>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</si>
  <si>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</si>
  <si>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</si>
  <si>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</si>
  <si>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</si>
  <si>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</si>
  <si>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</si>
  <si>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</si>
  <si>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</si>
  <si>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</si>
  <si>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</si>
  <si>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</si>
  <si>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</si>
  <si>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</si>
  <si>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</si>
  <si>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</si>
  <si>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</si>
  <si>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</si>
  <si>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</si>
  <si>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</si>
  <si>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</si>
  <si>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</si>
  <si>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</si>
  <si>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</si>
  <si>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</si>
  <si>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</si>
  <si>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</si>
  <si>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</si>
  <si>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</si>
  <si>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</si>
  <si>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</si>
  <si>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</si>
  <si>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</si>
  <si>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</si>
  <si>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</si>
  <si>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</si>
  <si>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</si>
  <si>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</si>
  <si>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</si>
  <si>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</si>
  <si>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</si>
  <si>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</si>
  <si>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</si>
  <si>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</si>
  <si>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</si>
  <si>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</si>
  <si>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</si>
  <si>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</si>
  <si>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</si>
  <si>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</si>
  <si>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</si>
  <si>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</si>
  <si>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</si>
  <si>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</si>
  <si>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</si>
  <si>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</si>
  <si>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</si>
  <si>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</si>
  <si>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</si>
  <si>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</si>
  <si>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</si>
  <si>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</si>
  <si>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</si>
  <si>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</si>
  <si>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</si>
  <si>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</si>
  <si>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</si>
  <si>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</si>
  <si>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</si>
  <si>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</si>
  <si>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</si>
  <si>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</si>
  <si>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</si>
  <si>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</si>
  <si>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</si>
  <si>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</si>
  <si>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</si>
  <si>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</si>
  <si>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</si>
  <si>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</si>
  <si>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</si>
  <si>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</si>
  <si>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</si>
  <si>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</si>
  <si>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</si>
  <si>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</si>
  <si>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</si>
  <si>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</si>
  <si>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</si>
  <si>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</si>
  <si>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</si>
  <si>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</si>
  <si>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</si>
  <si>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</si>
  <si>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</si>
  <si>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</si>
  <si>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</si>
  <si>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</si>
  <si>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</si>
  <si>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</si>
  <si>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</si>
  <si>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</si>
  <si>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</si>
  <si>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</si>
  <si>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</si>
  <si>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</si>
  <si>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</si>
  <si>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</si>
  <si>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</si>
  <si>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</si>
  <si>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</si>
  <si>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</si>
  <si>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</si>
  <si>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</si>
  <si>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</si>
  <si>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</si>
  <si>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</si>
  <si>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</si>
  <si>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</si>
  <si>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</si>
  <si>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</si>
  <si>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</si>
  <si>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</si>
  <si>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</si>
  <si>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</si>
  <si>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</si>
  <si>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</si>
  <si>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</si>
  <si>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</si>
  <si>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</si>
  <si>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</si>
  <si>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</si>
  <si>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</si>
  <si>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</si>
  <si>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</si>
  <si>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</si>
  <si>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</si>
  <si>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</si>
  <si>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</si>
  <si>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</si>
  <si>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</si>
  <si>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</si>
  <si>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</si>
  <si>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</si>
  <si>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</si>
  <si>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</si>
  <si>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</si>
  <si>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</si>
  <si>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</si>
  <si>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</si>
  <si>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</si>
  <si>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</si>
  <si>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</si>
  <si>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</si>
  <si>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</si>
  <si>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</si>
  <si>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</si>
  <si>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</si>
  <si>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</si>
  <si>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</si>
  <si>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</si>
  <si>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</si>
  <si>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</si>
  <si>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</si>
  <si>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</si>
  <si>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</si>
  <si>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</si>
  <si>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</si>
  <si>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</si>
  <si>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</si>
  <si>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</si>
  <si>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</si>
  <si>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</si>
  <si>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</si>
  <si>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</si>
  <si>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</si>
  <si>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</si>
  <si>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</si>
  <si>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</si>
  <si>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</si>
  <si>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</si>
  <si>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</si>
  <si>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</si>
  <si>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</si>
  <si>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</si>
  <si>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</si>
  <si>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</si>
  <si>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</si>
  <si>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</si>
  <si>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</si>
  <si>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</si>
  <si>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</si>
  <si>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</si>
  <si>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</si>
  <si>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</si>
  <si>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</si>
  <si>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</si>
  <si>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</si>
  <si>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</si>
  <si>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</si>
  <si>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</si>
  <si>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</si>
  <si>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</si>
  <si>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</si>
  <si>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</si>
  <si>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</si>
  <si>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</si>
  <si>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</si>
  <si>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</si>
  <si>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</si>
  <si>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</si>
  <si>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</si>
  <si>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</si>
  <si>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</si>
  <si>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</si>
  <si>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</si>
  <si>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</si>
  <si>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</si>
  <si>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</si>
  <si>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</si>
  <si>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</si>
  <si>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</si>
  <si>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</si>
  <si>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</si>
  <si>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</si>
  <si>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</si>
  <si>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</si>
  <si>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</si>
  <si>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</si>
  <si>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</si>
  <si>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</si>
  <si>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</si>
  <si>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</si>
  <si>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</si>
  <si>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</si>
  <si>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</si>
  <si>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</si>
  <si>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</si>
  <si>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</si>
  <si>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</si>
  <si>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</si>
  <si>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</si>
  <si>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</si>
  <si>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</si>
  <si>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</si>
  <si>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</si>
  <si>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</si>
  <si>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</si>
  <si>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</si>
  <si>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</si>
  <si>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</si>
  <si>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</si>
  <si>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</si>
  <si>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</si>
  <si>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</si>
  <si>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</si>
  <si>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</si>
  <si>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</si>
  <si>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</si>
  <si>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</si>
  <si>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</si>
  <si>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</si>
  <si>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</si>
  <si>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</si>
  <si>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</si>
  <si>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</si>
  <si>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</si>
  <si>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</si>
  <si>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</si>
  <si>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</si>
  <si>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</si>
  <si>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</si>
  <si>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</si>
  <si>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</si>
  <si>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</si>
  <si>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</si>
  <si>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</si>
  <si>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</si>
  <si>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</si>
  <si>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</si>
  <si>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</si>
  <si>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</si>
  <si>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</si>
  <si>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</si>
  <si>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</si>
  <si>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</si>
  <si>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</si>
  <si>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</si>
  <si>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</si>
  <si>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</si>
  <si>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</si>
  <si>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</si>
  <si>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</si>
  <si>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</si>
  <si>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</si>
  <si>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</si>
  <si>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</si>
  <si>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</si>
  <si>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</si>
  <si>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</si>
  <si>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</si>
  <si>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</si>
  <si>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</si>
  <si>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</si>
  <si>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</si>
  <si>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</si>
  <si>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</si>
  <si>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</si>
  <si>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</si>
  <si>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</si>
  <si>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</si>
  <si>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</si>
  <si>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</si>
  <si>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</si>
  <si>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</si>
  <si>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</si>
  <si>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</si>
  <si>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</si>
  <si>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</si>
  <si>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</si>
  <si>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</si>
  <si>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</si>
  <si>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</si>
  <si>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</si>
  <si>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</si>
  <si>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</si>
  <si>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</si>
  <si>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</si>
  <si>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</si>
  <si>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</si>
  <si>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</si>
  <si>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</si>
  <si>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</si>
  <si>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</si>
  <si>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</si>
  <si>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</si>
  <si>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</si>
  <si>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</si>
  <si>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</si>
  <si>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</si>
  <si>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</si>
  <si>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</si>
  <si>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</si>
  <si>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</si>
  <si>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</si>
  <si>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</si>
  <si>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</si>
  <si>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</si>
  <si>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</si>
  <si>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</si>
  <si>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</si>
  <si>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</si>
  <si>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</si>
  <si>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</si>
  <si>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</si>
  <si>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</si>
  <si>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</si>
  <si>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</si>
  <si>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</si>
  <si>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</si>
  <si>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</si>
  <si>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</si>
  <si>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</si>
  <si>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</si>
  <si>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</si>
  <si>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</si>
  <si>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</si>
  <si>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</si>
  <si>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</si>
  <si>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</si>
  <si>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</si>
  <si>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</si>
  <si>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</si>
  <si>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</si>
  <si>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</si>
  <si>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</si>
  <si>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</si>
  <si>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</si>
  <si>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</si>
  <si>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</si>
  <si>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</si>
  <si>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</si>
  <si>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</si>
  <si>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</si>
  <si>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</si>
  <si>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</si>
  <si>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</si>
  <si>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</si>
  <si>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</si>
  <si>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</si>
  <si>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</si>
  <si>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</si>
  <si>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</si>
  <si>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</si>
  <si>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</si>
  <si>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</si>
  <si>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</si>
  <si>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</si>
  <si>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</si>
  <si>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</si>
  <si>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</si>
  <si>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</si>
  <si>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</si>
  <si>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</si>
  <si>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</si>
  <si>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</si>
  <si>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</si>
  <si>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</si>
  <si>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</si>
  <si>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</si>
  <si>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</si>
  <si>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</si>
  <si>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</si>
  <si>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</si>
  <si>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</si>
  <si>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</si>
  <si>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</si>
  <si>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</si>
  <si>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</si>
  <si>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</si>
  <si>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</si>
  <si>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</si>
  <si>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</si>
  <si>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</si>
  <si>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</si>
  <si>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</si>
  <si>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</si>
  <si>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</si>
  <si>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</si>
  <si>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</si>
  <si>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</si>
  <si>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</si>
  <si>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</si>
  <si>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</si>
  <si>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</si>
  <si>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</si>
  <si>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</si>
  <si>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</si>
  <si>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</si>
  <si>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</si>
  <si>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</si>
  <si>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</si>
  <si>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</si>
  <si>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</si>
  <si>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</si>
  <si>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</si>
  <si>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</si>
  <si>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</si>
  <si>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</si>
  <si>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</si>
  <si>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</si>
  <si>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</si>
  <si>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</si>
  <si>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</si>
  <si>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</si>
  <si>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</si>
  <si>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</si>
  <si>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</si>
  <si>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</si>
  <si>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</si>
  <si>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</si>
  <si>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</si>
  <si>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</si>
  <si>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</si>
  <si>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</si>
  <si>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</si>
  <si>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</si>
  <si>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</si>
  <si>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</si>
  <si>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</si>
  <si>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</si>
  <si>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</si>
  <si>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</si>
  <si>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</si>
  <si>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</si>
  <si>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</si>
  <si>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</si>
  <si>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</si>
  <si>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</si>
  <si>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</si>
  <si>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</si>
  <si>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</si>
  <si>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</si>
  <si>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</si>
  <si>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</si>
  <si>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</si>
  <si>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</si>
  <si>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</si>
  <si>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</si>
  <si>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</si>
  <si>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</si>
  <si>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</si>
  <si>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</si>
  <si>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</si>
  <si>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</si>
  <si>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</si>
  <si>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</si>
  <si>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</si>
  <si>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</si>
  <si>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</si>
  <si>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</si>
  <si>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</si>
  <si>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</si>
  <si>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</si>
  <si>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</si>
  <si>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</si>
  <si>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</si>
  <si>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</si>
  <si>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</si>
  <si>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</si>
  <si>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</si>
  <si>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</si>
  <si>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</si>
  <si>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</si>
  <si>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</si>
  <si>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</si>
  <si>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</si>
  <si>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</si>
  <si>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</si>
  <si>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</si>
  <si>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</si>
  <si>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</si>
  <si>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</si>
  <si>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</si>
  <si>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</si>
  <si>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</si>
  <si>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</si>
  <si>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</si>
  <si>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</si>
  <si>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</si>
  <si>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</si>
  <si>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</si>
  <si>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</si>
  <si>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</si>
  <si>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</si>
  <si>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</si>
  <si>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</si>
  <si>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</si>
  <si>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</si>
  <si>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</si>
  <si>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</si>
  <si>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</si>
  <si>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</si>
  <si>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</si>
  <si>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</si>
  <si>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</si>
  <si>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</si>
  <si>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</si>
  <si>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</si>
  <si>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</si>
  <si>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</si>
  <si>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</si>
  <si>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</si>
  <si>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</si>
  <si>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</si>
  <si>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</si>
  <si>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</si>
  <si>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</si>
  <si>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</si>
  <si>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</si>
  <si>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</si>
  <si>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</si>
  <si>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</si>
  <si>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</si>
  <si>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</si>
  <si>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</si>
  <si>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</si>
  <si>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</si>
  <si>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</si>
  <si>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</si>
  <si>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</si>
  <si>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</si>
  <si>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</si>
  <si>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</si>
  <si>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</si>
  <si>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</si>
  <si>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</si>
  <si>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</si>
  <si>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</si>
  <si>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</si>
  <si>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</si>
  <si>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</si>
  <si>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</si>
  <si>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</si>
  <si>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</si>
  <si>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</si>
  <si>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</si>
  <si>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</si>
  <si>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</si>
  <si>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</si>
  <si>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</si>
  <si>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</si>
  <si>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</si>
  <si>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</si>
  <si>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</si>
  <si>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</si>
  <si>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</si>
  <si>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</si>
  <si>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</si>
  <si>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</si>
  <si>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</si>
  <si>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</si>
  <si>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</si>
  <si>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</si>
  <si>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</si>
  <si>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</si>
  <si>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</si>
  <si>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</si>
  <si>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</si>
  <si>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</si>
  <si>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</si>
  <si>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</si>
  <si>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</si>
  <si>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</si>
  <si>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</si>
  <si>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</si>
  <si>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</si>
  <si>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</si>
  <si>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</si>
  <si>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</si>
  <si>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</si>
  <si>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</si>
  <si>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</si>
  <si>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</si>
  <si>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</si>
  <si>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</si>
  <si>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</si>
  <si>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</si>
  <si>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</si>
  <si>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</si>
  <si>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</si>
  <si>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</si>
  <si>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</si>
  <si>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</si>
  <si>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</si>
  <si>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</si>
  <si>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</si>
  <si>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</si>
  <si>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</si>
  <si>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</si>
  <si>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</si>
  <si>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</si>
  <si>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</si>
  <si>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</si>
  <si>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</si>
  <si>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</si>
  <si>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</si>
  <si>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</si>
  <si>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</si>
  <si>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</si>
  <si>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</si>
  <si>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</si>
  <si>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</si>
  <si>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</si>
  <si>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</si>
  <si>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</si>
  <si>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</si>
  <si>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</si>
  <si>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</si>
  <si>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</si>
  <si>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</si>
  <si>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</si>
  <si>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</si>
  <si>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</si>
  <si>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</si>
  <si>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</si>
  <si>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</si>
  <si>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</si>
  <si>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</si>
  <si>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</si>
  <si>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</si>
  <si>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</si>
  <si>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</si>
  <si>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</si>
  <si>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</si>
  <si>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</si>
  <si>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</si>
  <si>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</si>
  <si>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</si>
  <si>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</si>
  <si>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</si>
  <si>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</si>
  <si>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</si>
  <si>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</si>
  <si>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</si>
  <si>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</si>
  <si>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</si>
  <si>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</si>
  <si>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</si>
  <si>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</si>
  <si>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</si>
  <si>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</si>
  <si>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</si>
  <si>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</si>
  <si>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</si>
  <si>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</si>
  <si>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</si>
  <si>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</si>
  <si>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</si>
  <si>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</si>
  <si>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</si>
  <si>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</si>
  <si>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</si>
  <si>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</si>
  <si>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</si>
  <si>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</si>
  <si>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</si>
  <si>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</si>
  <si>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</si>
  <si>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</si>
  <si>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</si>
  <si>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</si>
  <si>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</si>
  <si>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</si>
  <si>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</si>
  <si>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</si>
  <si>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</si>
  <si>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</si>
  <si>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</si>
  <si>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</si>
  <si>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</si>
  <si>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</si>
  <si>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</si>
  <si>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</si>
  <si>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</si>
  <si>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</si>
  <si>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</si>
  <si>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</si>
  <si>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</si>
  <si>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</si>
  <si>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</si>
  <si>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</si>
  <si>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</si>
  <si>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</si>
  <si>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</si>
  <si>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</si>
  <si>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</si>
  <si>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</si>
  <si>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</si>
  <si>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</si>
  <si>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</si>
  <si>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</si>
  <si>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</si>
  <si>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</si>
  <si>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</si>
  <si>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</si>
  <si>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</si>
  <si>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</si>
  <si>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</si>
  <si>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</si>
  <si>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</si>
  <si>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</si>
  <si>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</si>
  <si>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</si>
  <si>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</si>
  <si>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</si>
  <si>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</si>
  <si>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</si>
  <si>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</si>
  <si>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</si>
  <si>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</si>
  <si>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</si>
  <si>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</si>
  <si>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</si>
  <si>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</si>
  <si>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</si>
  <si>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</si>
  <si>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</si>
  <si>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</si>
  <si>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</si>
  <si>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</si>
  <si>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</si>
  <si>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</si>
  <si>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</si>
  <si>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</si>
  <si>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</si>
  <si>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</si>
  <si>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</si>
  <si>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</si>
  <si>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</si>
  <si>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</si>
  <si>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</si>
  <si>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</si>
  <si>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</si>
  <si>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</si>
  <si>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</si>
  <si>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</si>
  <si>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</si>
  <si>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</si>
  <si>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</si>
  <si>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</si>
  <si>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</si>
  <si>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</si>
  <si>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</si>
  <si>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</si>
  <si>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</si>
  <si>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</si>
  <si>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</si>
  <si>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</si>
  <si>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</si>
  <si>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</si>
  <si>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</si>
  <si>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</si>
  <si>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</si>
  <si>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</si>
  <si>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</si>
  <si>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</si>
  <si>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</si>
  <si>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</si>
  <si>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</si>
  <si>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</si>
  <si>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</si>
  <si>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</si>
  <si>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</si>
  <si>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</si>
  <si>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</si>
  <si>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</si>
  <si>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</si>
  <si>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</si>
  <si>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</si>
  <si>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</si>
  <si>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</si>
  <si>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</si>
  <si>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</si>
  <si>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</si>
  <si>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</si>
  <si>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</si>
  <si>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</si>
  <si>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</si>
  <si>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</si>
  <si>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</si>
  <si>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</si>
  <si>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</si>
  <si>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</si>
  <si>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</si>
  <si>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</si>
  <si>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</si>
  <si>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</si>
  <si>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</si>
  <si>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</si>
  <si>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</si>
  <si>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</si>
  <si>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</si>
  <si>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</si>
  <si>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</si>
  <si>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</si>
  <si>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</si>
  <si>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</si>
  <si>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</si>
  <si>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</si>
  <si>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</si>
  <si>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</si>
  <si>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</si>
  <si>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</si>
  <si>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</si>
  <si>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</si>
  <si>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</si>
  <si>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</si>
  <si>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</si>
  <si>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</si>
  <si>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</si>
  <si>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</si>
  <si>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</si>
  <si>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</si>
  <si>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</si>
  <si>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</si>
  <si>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</si>
  <si>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</si>
  <si>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</si>
  <si>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</si>
  <si>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</si>
  <si>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</si>
  <si>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</si>
  <si>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</si>
  <si>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</si>
  <si>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</si>
  <si>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</si>
  <si>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</si>
  <si>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</si>
  <si>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</si>
  <si>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</si>
  <si>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</si>
  <si>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</si>
  <si>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</si>
  <si>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</si>
  <si>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</si>
  <si>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</si>
  <si>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</si>
  <si>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</si>
  <si>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</si>
  <si>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</si>
  <si>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</si>
  <si>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</si>
  <si>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</si>
  <si>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</si>
  <si>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</si>
  <si>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</si>
  <si>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</si>
  <si>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</si>
  <si>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</si>
  <si>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</si>
  <si>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</si>
  <si>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</si>
  <si>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</si>
  <si>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</si>
  <si>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</si>
  <si>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</si>
  <si>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</si>
  <si>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</si>
  <si>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</si>
  <si>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</si>
  <si>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</si>
  <si>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</si>
  <si>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</si>
  <si>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</si>
  <si>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</si>
  <si>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</si>
  <si>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</si>
  <si>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</si>
  <si>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</si>
  <si>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</si>
  <si>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</si>
  <si>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</si>
  <si>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</si>
  <si>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</si>
  <si>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</si>
  <si>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</si>
  <si>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</si>
  <si>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</si>
  <si>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</si>
  <si>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</si>
  <si>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</si>
  <si>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</si>
  <si>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</si>
  <si>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</si>
  <si>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</si>
  <si>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</si>
  <si>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</si>
  <si>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</si>
  <si>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</si>
  <si>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</si>
  <si>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</si>
  <si>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</si>
  <si>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</si>
  <si>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</si>
  <si>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</si>
  <si>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</si>
  <si>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</si>
  <si>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</si>
  <si>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</si>
  <si>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</si>
  <si>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</si>
  <si>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</si>
  <si>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</si>
  <si>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</si>
  <si>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</si>
  <si>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</si>
  <si>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</si>
  <si>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</si>
  <si>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</si>
  <si>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</si>
  <si>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</si>
  <si>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</si>
  <si>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</si>
  <si>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</si>
  <si>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</si>
  <si>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</si>
  <si>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</si>
  <si>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</si>
  <si>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</si>
  <si>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</si>
  <si>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</si>
  <si>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</si>
  <si>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</si>
  <si>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</si>
  <si>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</si>
  <si>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</si>
  <si>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</si>
  <si>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</si>
  <si>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</si>
  <si>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</si>
  <si>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</si>
  <si>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</si>
  <si>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</si>
  <si>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</si>
  <si>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</si>
  <si>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</si>
  <si>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</si>
  <si>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</si>
  <si>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</si>
  <si>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</si>
  <si>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</si>
  <si>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</si>
  <si>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</si>
  <si>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</si>
  <si>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</si>
  <si>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</si>
  <si>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</si>
  <si>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</si>
  <si>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</si>
  <si>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</si>
  <si>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</si>
  <si>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</si>
  <si>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CASH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</si>
  <si>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</si>
  <si>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</si>
  <si>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</si>
  <si>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</si>
  <si>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</si>
  <si>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</si>
  <si>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</si>
  <si>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</si>
  <si>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</si>
  <si>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</si>
  <si>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</si>
  <si>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</si>
  <si>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</si>
  <si>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</si>
  <si>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</si>
  <si>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</si>
  <si>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</si>
  <si>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</si>
  <si>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</si>
  <si>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</si>
  <si>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</si>
  <si>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</si>
  <si>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</si>
  <si>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</si>
  <si>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</si>
  <si>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</si>
  <si>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</si>
  <si>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</si>
  <si>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</si>
  <si>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</si>
  <si>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</si>
  <si>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</si>
  <si>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</si>
  <si>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</si>
  <si>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</si>
  <si>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</si>
  <si>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</si>
  <si>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</si>
  <si>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</si>
  <si>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</si>
  <si>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</si>
  <si>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</si>
  <si>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</si>
  <si>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</si>
  <si>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</si>
  <si>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</si>
  <si>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</si>
  <si>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</si>
  <si>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</si>
  <si>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</si>
  <si>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</si>
  <si>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</si>
  <si>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</si>
  <si>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BH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</si>
  <si>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</si>
  <si>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</si>
  <si>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</si>
  <si>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</si>
  <si>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</si>
  <si>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</si>
  <si>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</si>
  <si>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</si>
  <si>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</si>
  <si>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</si>
  <si>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</si>
  <si>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</si>
  <si>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</si>
  <si>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</si>
  <si>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</si>
  <si>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</si>
  <si>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</si>
  <si>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</si>
  <si>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</si>
  <si>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RC CARD - YAWAR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</si>
</sst>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36" borderId="0" xfId="0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83" totalsRowShown="0" headerRowDxfId="84" dataDxfId="83">
  <autoFilter ref="A1:R883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9" dataDxfId="38">
  <autoFilter ref="A2:I15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8" totalsRowShown="0" headerRowDxfId="28" dataDxfId="27">
  <autoFilter ref="A2:H5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6"/>
    <tableColumn id="11" xr3:uid="{7AA66E15-5D81-45A6-A480-BC2F7EFDEB4C}" name="Name" dataDxfId="25"/>
    <tableColumn id="10" xr3:uid="{DA1D923C-25B3-4F76-823C-435E6464FF55}" name="Contact" dataDxfId="24"/>
    <tableColumn id="2" xr3:uid="{5FEBD558-5EB7-4421-BA25-DCAC1134B168}" name="Barcode No." dataDxfId="23"/>
    <tableColumn id="12" xr3:uid="{77758C8B-F2C8-47C0-B104-570729F9693B}" name="Reg Num" dataDxfId="22"/>
    <tableColumn id="5" xr3:uid="{9AC97A3F-3009-4A59-ACCF-A178780E6F61}" name="Date" dataDxfId="21"/>
    <tableColumn id="7" xr3:uid="{82C8F4C5-8489-4228-83CC-0B9666328CDD}" name="CHANNEL" dataDxfId="20"/>
    <tableColumn id="8" xr3:uid="{DDF1FC61-A0D6-46E9-9515-6DDC5AB1E932}" name="Statu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51"/>
  <sheetViews>
    <sheetView tabSelected="1" topLeftCell="G549" zoomScale="96" zoomScaleNormal="96" workbookViewId="0">
      <selection activeCell="N563" sqref="N56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11403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11330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11330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11330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11331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/>
      <c r="P833" s="24"/>
      <c r="Q833" s="21"/>
      <c r="R833" s="21"/>
    </row>
    <row r="834" spans="1:18" x14ac:dyDescent="0.25">
      <c r="A834" s="21">
        <f t="shared" ref="A834:A883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/>
      <c r="N835" s="22"/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11332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11333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11330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11335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11336</v>
      </c>
      <c r="C868" s="21" t="s">
        <v>11337</v>
      </c>
      <c r="D868" s="21" t="s">
        <v>11338</v>
      </c>
      <c r="E868" s="21" t="s">
        <v>11339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11340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11342</v>
      </c>
      <c r="C869" s="21" t="s">
        <v>11343</v>
      </c>
      <c r="D869" s="21" t="s">
        <v>11344</v>
      </c>
      <c r="E869" s="21" t="s">
        <v>11345</v>
      </c>
      <c r="F869" s="21" t="s">
        <v>11346</v>
      </c>
      <c r="G869" s="21" t="s">
        <v>197</v>
      </c>
      <c r="H869" s="21" t="str">
        <f t="shared" si="27"/>
        <v>SRINAGAR</v>
      </c>
      <c r="I869" s="21" t="s">
        <v>11347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11351</v>
      </c>
      <c r="C870" s="21" t="s">
        <v>11348</v>
      </c>
      <c r="D870" s="21" t="s">
        <v>11349</v>
      </c>
      <c r="E870" s="21" t="s">
        <v>11350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11372</v>
      </c>
      <c r="J870" s="22">
        <v>46191</v>
      </c>
      <c r="K870" s="21">
        <v>7889983332</v>
      </c>
      <c r="L870" s="21" t="s">
        <v>11192</v>
      </c>
      <c r="M870" s="23"/>
      <c r="N870" s="22"/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11352</v>
      </c>
      <c r="C871" s="21" t="s">
        <v>11353</v>
      </c>
      <c r="D871" s="21" t="s">
        <v>11354</v>
      </c>
      <c r="E871" s="21" t="s">
        <v>11355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11373</v>
      </c>
      <c r="J871" s="22">
        <v>46192</v>
      </c>
      <c r="K871" s="21">
        <v>7006689214</v>
      </c>
      <c r="L871" s="21" t="s">
        <v>11356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11357</v>
      </c>
      <c r="C872" s="21" t="s">
        <v>11358</v>
      </c>
      <c r="D872" s="21" t="s">
        <v>11359</v>
      </c>
      <c r="E872" s="21" t="s">
        <v>11360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11371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11364</v>
      </c>
      <c r="C873" s="21" t="s">
        <v>11361</v>
      </c>
      <c r="D873" s="21" t="s">
        <v>11362</v>
      </c>
      <c r="E873" s="21" t="s">
        <v>11363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11369</v>
      </c>
      <c r="J873" s="22">
        <v>46192</v>
      </c>
      <c r="K873" s="21">
        <v>9149654809</v>
      </c>
      <c r="L873" s="21" t="s">
        <v>173</v>
      </c>
      <c r="M873" s="23"/>
      <c r="N873" s="22"/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11365</v>
      </c>
      <c r="C874" s="21" t="s">
        <v>11366</v>
      </c>
      <c r="D874" s="21" t="s">
        <v>11367</v>
      </c>
      <c r="E874" s="21" t="s">
        <v>11368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11370</v>
      </c>
      <c r="J874" s="22">
        <v>46192</v>
      </c>
      <c r="K874" s="21">
        <v>9419040502</v>
      </c>
      <c r="L874" s="21" t="s">
        <v>10162</v>
      </c>
      <c r="M874" s="23" t="s">
        <v>11393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11377</v>
      </c>
      <c r="C875" s="21" t="s">
        <v>11374</v>
      </c>
      <c r="D875" s="21" t="s">
        <v>11375</v>
      </c>
      <c r="E875" s="21" t="s">
        <v>11376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11381</v>
      </c>
      <c r="J875" s="22">
        <v>46192</v>
      </c>
      <c r="K875" s="21">
        <v>7006079082</v>
      </c>
      <c r="L875" s="21" t="s">
        <v>68</v>
      </c>
      <c r="M875" s="23"/>
      <c r="N875" s="22"/>
      <c r="O875" s="21"/>
      <c r="P875" s="24"/>
      <c r="Q875" s="21"/>
      <c r="R875" s="21"/>
    </row>
    <row r="876" spans="1:18" x14ac:dyDescent="0.25">
      <c r="A876" s="21">
        <f t="shared" si="26"/>
        <v>875</v>
      </c>
      <c r="B876" s="21" t="s">
        <v>11387</v>
      </c>
      <c r="C876" s="21" t="s">
        <v>11384</v>
      </c>
      <c r="D876" s="21" t="s">
        <v>11385</v>
      </c>
      <c r="E876" s="21" t="s">
        <v>11386</v>
      </c>
      <c r="F876" s="21" t="s">
        <v>3126</v>
      </c>
      <c r="G876" s="21" t="s">
        <v>6469</v>
      </c>
      <c r="H876" s="21" t="str">
        <f t="shared" ref="H876:H883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11388</v>
      </c>
      <c r="J876" s="22">
        <v>46192</v>
      </c>
      <c r="K876" s="21">
        <v>9469765393</v>
      </c>
      <c r="L876" s="21" t="s">
        <v>18</v>
      </c>
      <c r="M876" s="23"/>
      <c r="N876" s="22"/>
      <c r="O876" s="21"/>
      <c r="P876" s="24"/>
      <c r="Q876" s="21"/>
      <c r="R876" s="21"/>
    </row>
    <row r="877" spans="1:18" x14ac:dyDescent="0.25">
      <c r="A877" s="21">
        <f t="shared" si="26"/>
        <v>876</v>
      </c>
      <c r="B877" s="21" t="s">
        <v>11394</v>
      </c>
      <c r="C877" s="21" t="s">
        <v>11395</v>
      </c>
      <c r="D877" s="21" t="s">
        <v>11396</v>
      </c>
      <c r="E877" s="21" t="s">
        <v>11397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11401</v>
      </c>
      <c r="J877" s="22">
        <v>46192</v>
      </c>
      <c r="K877" s="21">
        <v>9622847452</v>
      </c>
      <c r="L877" s="21" t="s">
        <v>7240</v>
      </c>
      <c r="M877" s="23"/>
      <c r="N877" s="22"/>
      <c r="O877" s="21"/>
      <c r="P877" s="24"/>
      <c r="Q877" s="21"/>
      <c r="R877" s="21"/>
    </row>
    <row r="878" spans="1:18" x14ac:dyDescent="0.25">
      <c r="A878" s="21">
        <f t="shared" si="26"/>
        <v>877</v>
      </c>
      <c r="B878" s="21" t="s">
        <v>11380</v>
      </c>
      <c r="C878" s="21" t="s">
        <v>11379</v>
      </c>
      <c r="D878" s="21" t="s">
        <v>11382</v>
      </c>
      <c r="E878" s="21" t="s">
        <v>11378</v>
      </c>
      <c r="F878" s="21" t="s">
        <v>98</v>
      </c>
      <c r="G878" s="21" t="s">
        <v>171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NEW</v>
      </c>
      <c r="I878" s="21" t="s">
        <v>11383</v>
      </c>
      <c r="J878" s="22">
        <v>46192</v>
      </c>
      <c r="K878" s="21">
        <v>9978492818</v>
      </c>
      <c r="L878" s="21" t="s">
        <v>26</v>
      </c>
      <c r="M878" s="23"/>
      <c r="N878" s="22"/>
      <c r="O878" s="21"/>
      <c r="P878" s="24"/>
      <c r="Q878" s="21"/>
      <c r="R878" s="21"/>
    </row>
    <row r="879" spans="1:18" x14ac:dyDescent="0.25">
      <c r="A879" s="21">
        <f t="shared" si="26"/>
        <v>878</v>
      </c>
      <c r="B879" s="21" t="s">
        <v>11389</v>
      </c>
      <c r="C879" s="21" t="s">
        <v>11390</v>
      </c>
      <c r="D879" s="21" t="s">
        <v>11391</v>
      </c>
      <c r="E879" s="21" t="s">
        <v>11392</v>
      </c>
      <c r="F879" s="21" t="s">
        <v>98</v>
      </c>
      <c r="G879" s="21" t="s">
        <v>197</v>
      </c>
      <c r="H879" s="21" t="str">
        <f>IF(LEFT(I879,4)="JK13","PULWAMA",IF(LEFT(I879,4)="JK01","SRINAGAR",IF(LEFT(I879,4)="JK04","BUDGAM",IF(LEFT(I879,4)="JK03","ANANTNAG",IF(LEFT(I879,4)="LA01","KARGIL",IF(LEFT(I879,4)="JK05","BARAMULLA",IF(LEFT(I879,4)="26BH","BHARAT",IF(LEFT(I879,4)="25BH","BHARAT",IF(LEFT(I879,4)="JK12","POONCH",IF(LEFT(I879,4)="JK16","GANDERBAL",IF(LEFT(I879,4)="JK18","KULGAM",IF(LEFT(I879,4)="JK22","SHOPIAN",IF(LEFT(I879,4)="JK02","JAMMU",IF(LEFT(I879,4)="JK09","KUPWARA",IF(LEFT(I879,4)="JK15","BANDIPORA",IF(LEFT(I879,4)="JK17","KISHTWAR",IF(LEFT(I879,4)="LA01","KARGIL",IF(LEFT(I879,1)="T","TEMP","NEW"))))))))))))))))))</f>
        <v>NEW</v>
      </c>
      <c r="I879" s="21"/>
      <c r="J879" s="22">
        <v>46192</v>
      </c>
      <c r="K879" s="21">
        <v>9906594726</v>
      </c>
      <c r="L879" s="21" t="s">
        <v>6823</v>
      </c>
      <c r="M879" s="23"/>
      <c r="N879" s="22"/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/>
      <c r="C880" s="21"/>
      <c r="D880" s="21"/>
      <c r="E880" s="21"/>
      <c r="F880" s="21"/>
      <c r="G880" s="21"/>
      <c r="H880" s="21" t="str">
        <f t="shared" si="29"/>
        <v>NEW</v>
      </c>
      <c r="I880" s="21"/>
      <c r="J880" s="22"/>
      <c r="K880" s="21"/>
      <c r="L880" s="21"/>
      <c r="M880" s="23"/>
      <c r="N880" s="22"/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/>
      <c r="C881" s="21"/>
      <c r="D881" s="21"/>
      <c r="E881" s="21"/>
      <c r="F881" s="21"/>
      <c r="G881" s="21"/>
      <c r="H881" s="21" t="str">
        <f t="shared" si="29"/>
        <v>NEW</v>
      </c>
      <c r="I881" s="21"/>
      <c r="J881" s="22"/>
      <c r="K881" s="21"/>
      <c r="L881" s="21"/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/>
      <c r="C882" s="21"/>
      <c r="D882" s="21"/>
      <c r="E882" s="21"/>
      <c r="F882" s="21"/>
      <c r="G882" s="21"/>
      <c r="H882" s="21" t="str">
        <f t="shared" si="29"/>
        <v>NEW</v>
      </c>
      <c r="I882" s="21"/>
      <c r="J882" s="22"/>
      <c r="K882" s="21"/>
      <c r="L882" s="21"/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/>
      <c r="C883" s="21"/>
      <c r="D883" s="21"/>
      <c r="E883" s="21"/>
      <c r="F883" s="21"/>
      <c r="G883" s="21"/>
      <c r="H883" s="21" t="str">
        <f t="shared" si="29"/>
        <v>NEW</v>
      </c>
      <c r="I883" s="21"/>
      <c r="J883" s="22"/>
      <c r="K883" s="21"/>
      <c r="L883" s="21"/>
      <c r="M883" s="23"/>
      <c r="N883" s="22"/>
      <c r="O883" s="21"/>
      <c r="P883" s="24"/>
      <c r="Q883" s="21"/>
      <c r="R883" s="21"/>
    </row>
    <row r="884" spans="1:18" ht="15.75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12"/>
      <c r="K884" s="21"/>
      <c r="L884" s="21"/>
      <c r="M884" t="s">
        <v>43</v>
      </c>
    </row>
    <row r="885" spans="1:18" ht="15.75" x14ac:dyDescent="0.25">
      <c r="A885" s="21"/>
      <c r="B885" s="21"/>
      <c r="C885" s="21"/>
      <c r="D885" s="21"/>
      <c r="E885" s="21"/>
      <c r="F885" s="21"/>
      <c r="G885" s="21"/>
      <c r="H885" s="1"/>
      <c r="I885" s="13"/>
      <c r="K885" s="21"/>
      <c r="L885" s="21"/>
    </row>
    <row r="886" spans="1:18" x14ac:dyDescent="0.25">
      <c r="K886" s="21"/>
    </row>
    <row r="887" spans="1:18" x14ac:dyDescent="0.25">
      <c r="K887" s="21"/>
    </row>
    <row r="888" spans="1:18" x14ac:dyDescent="0.25">
      <c r="K888" s="21"/>
    </row>
    <row r="889" spans="1:18" x14ac:dyDescent="0.25">
      <c r="K889" s="21"/>
    </row>
    <row r="890" spans="1:18" x14ac:dyDescent="0.25">
      <c r="K890" s="21"/>
    </row>
    <row r="891" spans="1:18" x14ac:dyDescent="0.25">
      <c r="K891" s="21"/>
    </row>
    <row r="892" spans="1:18" x14ac:dyDescent="0.25">
      <c r="K892" s="21"/>
    </row>
    <row r="893" spans="1:18" x14ac:dyDescent="0.25">
      <c r="K893" s="21"/>
    </row>
    <row r="894" spans="1:18" x14ac:dyDescent="0.25">
      <c r="K894" s="21"/>
    </row>
    <row r="895" spans="1:18" x14ac:dyDescent="0.25">
      <c r="K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x14ac:dyDescent="0.25">
      <c r="K1013" s="20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A865:A883 I866:J868 B866:H874 J869 I869:I874 J870:K874 B875:K876 B877:G880 H877:R883 L884:L885">
    <cfRule type="expression" dxfId="18" priority="23">
      <formula>CELL("row")=ROW()</formula>
    </cfRule>
  </conditionalFormatting>
  <conditionalFormatting sqref="B257:G290 B291:B300 C291:G301">
    <cfRule type="expression" dxfId="17" priority="21">
      <formula>CELL("row")=ROW()</formula>
    </cfRule>
  </conditionalFormatting>
  <conditionalFormatting sqref="B772:G772">
    <cfRule type="expression" dxfId="16" priority="4">
      <formula>CELL("row")=ROW()</formula>
    </cfRule>
  </conditionalFormatting>
  <conditionalFormatting sqref="F398">
    <cfRule type="expression" dxfId="15" priority="16">
      <formula>CELL("row")=ROW()</formula>
    </cfRule>
  </conditionalFormatting>
  <conditionalFormatting sqref="F420">
    <cfRule type="expression" dxfId="14" priority="15">
      <formula>CELL("row")=ROW()</formula>
    </cfRule>
  </conditionalFormatting>
  <conditionalFormatting sqref="F326:G326">
    <cfRule type="expression" dxfId="13" priority="18">
      <formula>CELL("row")=ROW()</formula>
    </cfRule>
  </conditionalFormatting>
  <conditionalFormatting sqref="G266">
    <cfRule type="expression" dxfId="12" priority="20">
      <formula>CELL("row")=ROW()</formula>
    </cfRule>
  </conditionalFormatting>
  <conditionalFormatting sqref="I558">
    <cfRule type="expression" dxfId="11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84:I884 K884:K963 A885:G885">
    <cfRule type="expression" dxfId="10" priority="9">
      <formula>CELL("row")=ROW()</formula>
    </cfRule>
  </conditionalFormatting>
  <conditionalFormatting sqref="K672:K697 K698:L700 L701">
    <cfRule type="expression" dxfId="9" priority="8">
      <formula>CELL("row")=ROW()</formula>
    </cfRule>
  </conditionalFormatting>
  <conditionalFormatting sqref="L532:L535">
    <cfRule type="expression" dxfId="8" priority="13">
      <formula>CELL("row")=ROW()</formula>
    </cfRule>
  </conditionalFormatting>
  <conditionalFormatting sqref="M718 M730 M733 M738:M739">
    <cfRule type="expression" dxfId="7" priority="3">
      <formula>CELL("row")=ROW()</formula>
    </cfRule>
  </conditionalFormatting>
  <conditionalFormatting sqref="M763:M764 M774">
    <cfRule type="expression" dxfId="6" priority="2">
      <formula>CELL("row")=ROW()</formula>
    </cfRule>
  </conditionalFormatting>
  <conditionalFormatting sqref="M884:O885">
    <cfRule type="expression" dxfId="5" priority="32">
      <formula>ROW(O93)=HighlightRow</formula>
    </cfRule>
  </conditionalFormatting>
  <conditionalFormatting sqref="N698">
    <cfRule type="expression" dxfId="4" priority="6">
      <formula>CELL("row")=ROW()</formula>
    </cfRule>
  </conditionalFormatting>
  <conditionalFormatting sqref="P884:Q885">
    <cfRule type="expression" dxfId="3" priority="36">
      <formula>ROW(S93)=HighlightRow</formula>
    </cfRule>
  </conditionalFormatting>
  <conditionalFormatting sqref="S105:XFD105">
    <cfRule type="expression" dxfId="2" priority="37">
      <formula>ROW(T94)=HighlightRow</formula>
    </cfRule>
  </conditionalFormatting>
  <conditionalFormatting sqref="S106:XFD114">
    <cfRule type="expression" dxfId="1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O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E23" sqref="E23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49" t="s">
        <v>9462</v>
      </c>
      <c r="B1" s="49"/>
      <c r="C1" s="49"/>
      <c r="D1" s="49"/>
      <c r="E1" s="49"/>
      <c r="F1" s="49"/>
      <c r="G1" s="49"/>
      <c r="H1" s="49"/>
      <c r="I1" s="49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11329</v>
      </c>
      <c r="F8" s="21"/>
      <c r="G8" s="21"/>
      <c r="H8" s="21">
        <v>280</v>
      </c>
      <c r="I8" s="21" t="s">
        <v>6094</v>
      </c>
    </row>
    <row r="9" spans="1:9" x14ac:dyDescent="0.25">
      <c r="A9" s="21">
        <f t="shared" si="0"/>
        <v>7</v>
      </c>
      <c r="B9" s="21"/>
      <c r="C9" s="21" t="s">
        <v>11320</v>
      </c>
      <c r="D9" s="21" t="s">
        <v>360</v>
      </c>
      <c r="E9" s="21" t="s">
        <v>11329</v>
      </c>
      <c r="F9" s="21"/>
      <c r="G9" s="21"/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1"/>
      <c r="C10" s="21" t="s">
        <v>11321</v>
      </c>
      <c r="D10" s="21" t="s">
        <v>360</v>
      </c>
      <c r="E10" s="21" t="s">
        <v>11329</v>
      </c>
      <c r="F10" s="21"/>
      <c r="G10" s="21"/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1"/>
      <c r="C11" s="21" t="s">
        <v>11322</v>
      </c>
      <c r="D11" s="21" t="s">
        <v>360</v>
      </c>
      <c r="E11" s="21" t="s">
        <v>11329</v>
      </c>
      <c r="F11" s="21"/>
      <c r="G11" s="21"/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1"/>
      <c r="C12" s="21" t="s">
        <v>11323</v>
      </c>
      <c r="D12" s="21" t="s">
        <v>360</v>
      </c>
      <c r="E12" s="21" t="s">
        <v>11329</v>
      </c>
      <c r="F12" s="21"/>
      <c r="G12" s="21"/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1"/>
      <c r="C13" s="21" t="s">
        <v>9955</v>
      </c>
      <c r="D13" s="21" t="s">
        <v>360</v>
      </c>
      <c r="E13" s="21" t="s">
        <v>11329</v>
      </c>
      <c r="F13" s="21"/>
      <c r="G13" s="21"/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1"/>
      <c r="C14" s="21" t="s">
        <v>11324</v>
      </c>
      <c r="D14" s="21" t="s">
        <v>360</v>
      </c>
      <c r="E14" s="21" t="s">
        <v>11329</v>
      </c>
      <c r="F14" s="21"/>
      <c r="G14" s="21"/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11334</v>
      </c>
      <c r="D15" s="21"/>
      <c r="E15" s="21"/>
      <c r="F15" s="21"/>
      <c r="G15" s="21"/>
      <c r="H15" s="21"/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8"/>
  <sheetViews>
    <sheetView topLeftCell="A557" zoomScaleNormal="100" workbookViewId="0">
      <selection activeCell="B575" sqref="B575:E5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0" t="s">
        <v>6648</v>
      </c>
      <c r="B1" s="50"/>
      <c r="C1" s="50"/>
      <c r="D1" s="50"/>
      <c r="E1" s="50"/>
      <c r="F1" s="50"/>
      <c r="G1" s="50"/>
      <c r="H1" s="50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8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11341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21" t="s">
        <v>11363</v>
      </c>
      <c r="C573" s="21">
        <v>9149654809</v>
      </c>
      <c r="D573" s="21" t="s">
        <v>11398</v>
      </c>
      <c r="E573" s="21" t="s">
        <v>11369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11368</v>
      </c>
      <c r="C574" s="21">
        <v>6006939791</v>
      </c>
      <c r="D574" s="21" t="s">
        <v>11399</v>
      </c>
      <c r="E574" s="21" t="s">
        <v>11370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11360</v>
      </c>
      <c r="C575" s="21">
        <v>9811039202</v>
      </c>
      <c r="D575" s="21" t="s">
        <v>11400</v>
      </c>
      <c r="E575" s="21" t="s">
        <v>11371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11345</v>
      </c>
      <c r="C576" s="21">
        <v>8082196159</v>
      </c>
      <c r="D576" s="21" t="s">
        <v>11402</v>
      </c>
      <c r="E576" s="21" t="s">
        <v>11347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12"/>
      <c r="C577" s="12"/>
      <c r="D577" s="12"/>
      <c r="E577" s="12"/>
      <c r="F577" s="14"/>
      <c r="G577" s="14"/>
      <c r="H577" s="12"/>
    </row>
    <row r="578" spans="1:8" ht="15.75" x14ac:dyDescent="0.25">
      <c r="A578" s="12">
        <f t="shared" si="8"/>
        <v>576</v>
      </c>
      <c r="B578" s="12"/>
      <c r="C578" s="12"/>
      <c r="D578" s="12"/>
      <c r="E578" s="12"/>
      <c r="F578" s="14"/>
      <c r="G578" s="14"/>
      <c r="H578" s="12"/>
    </row>
  </sheetData>
  <mergeCells count="1">
    <mergeCell ref="A1:H1"/>
  </mergeCells>
  <phoneticPr fontId="26" type="noConversion"/>
  <conditionalFormatting sqref="B568:E576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2026-06-19T12:30:43Z</dcterms:modified>
</cp:coreProperties>
</file>