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C22F522-CA2F-4B60-8367-225D34E2BC2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3" i="7" l="1"/>
  <c r="A204" i="7"/>
  <c r="A205" i="7"/>
  <c r="A206" i="7"/>
  <c r="H389" i="4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<sst xmlns="http://schemas.openxmlformats.org/spreadsheetml/2006/main" count="21467" uniqueCount="8406">
  <si>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</si>
  <si>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</si>
  <si>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</si>
  <si>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</si>
  <si>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</si>
  <si>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</si>
  <si>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</si>
  <si>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</si>
  <si>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</si>
  <si>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</si>
  <si>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</si>
  <si>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</si>
  <si>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</si>
  <si>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</si>
  <si>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</si>
  <si>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</si>
  <si>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</si>
  <si>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</si>
  <si>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</si>
  <si>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</si>
  <si>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</si>
  <si>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</si>
  <si>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</si>
  <si>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</si>
  <si>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</si>
  <si>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</si>
  <si>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</si>
  <si>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</si>
  <si>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</si>
  <si>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</si>
  <si>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</si>
  <si>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</si>
  <si>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</si>
  <si>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</si>
  <si>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</si>
  <si>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</si>
  <si>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</si>
  <si>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</si>
  <si>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</si>
  <si>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</si>
  <si>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</si>
  <si>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</si>
  <si>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</si>
  <si>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</si>
  <si>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</si>
  <si>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</si>
  <si>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</si>
  <si>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</si>
  <si>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</si>
  <si>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</si>
  <si>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</si>
  <si>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</si>
  <si>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</si>
  <si>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</si>
  <si>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</si>
  <si>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</si>
  <si>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</si>
  <si>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</si>
  <si>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</si>
  <si>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</si>
  <si>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</si>
  <si>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</si>
  <si>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</si>
  <si>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</si>
  <si>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</si>
  <si>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</si>
  <si>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</si>
  <si>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</si>
  <si>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</si>
  <si>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</si>
  <si>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</si>
  <si>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</si>
  <si>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</si>
  <si>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</si>
  <si>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</si>
  <si>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</si>
  <si>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</si>
  <si>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</si>
  <si>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</si>
  <si>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</si>
  <si>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</si>
  <si>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</si>
  <si>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</si>
  <si>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</si>
  <si>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</si>
  <si>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</si>
  <si>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</si>
  <si>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</si>
  <si>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</si>
  <si>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</si>
  <si>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</si>
  <si>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</si>
  <si>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</si>
  <si>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</si>
  <si>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</si>
  <si>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</si>
  <si>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</si>
  <si>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</si>
  <si>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</si>
  <si>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</si>
  <si>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</si>
  <si>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</si>
  <si>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</si>
  <si>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</si>
  <si>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</si>
  <si>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</si>
  <si>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</si>
  <si>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</si>
  <si>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</si>
  <si>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</si>
  <si>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</si>
  <si>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</si>
  <si>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</si>
  <si>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</si>
  <si>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</si>
  <si>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</si>
  <si>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</si>
  <si>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</si>
  <si>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</si>
  <si>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</si>
  <si>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</si>
  <si>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</si>
  <si>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</si>
  <si>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</si>
  <si>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</si>
  <si>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</si>
  <si>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</si>
  <si>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</si>
  <si>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</si>
  <si>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</si>
  <si>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</si>
  <si>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</si>
  <si>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</si>
  <si>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</si>
  <si>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</si>
  <si>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</si>
  <si>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</si>
  <si>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</si>
  <si>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</si>
  <si>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</si>
  <si>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</si>
  <si>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</si>
  <si>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</si>
  <si>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</si>
  <si>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</si>
  <si>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</si>
  <si>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</si>
  <si>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</si>
  <si>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</si>
  <si>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</si>
  <si>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</si>
  <si>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</si>
  <si>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</si>
  <si>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</si>
  <si>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</si>
  <si>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</si>
  <si>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</si>
  <si>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</si>
  <si>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</si>
  <si>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</si>
  <si>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</si>
  <si>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</si>
  <si>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</si>
  <si>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</si>
  <si>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</si>
  <si>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</si>
  <si>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</si>
  <si>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</si>
  <si>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</si>
  <si>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</si>
  <si>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</si>
  <si>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</si>
  <si>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</si>
  <si>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</si>
  <si>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</si>
  <si>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</si>
  <si>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</si>
  <si>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</si>
  <si>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</si>
  <si>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</si>
  <si>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</si>
  <si>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</si>
  <si>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</si>
  <si>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</si>
  <si>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</si>
  <si>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</si>
  <si>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</si>
  <si>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</si>
  <si>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</si>
  <si>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</si>
  <si>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</si>
  <si>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</si>
  <si>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</si>
  <si>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</si>
  <si>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</si>
  <si>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</si>
  <si>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</si>
  <si>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</si>
  <si>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</si>
  <si>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</si>
  <si>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</si>
  <si>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</si>
  <si>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</si>
  <si>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</si>
  <si>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</si>
  <si>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</si>
  <si>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</si>
  <si>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</si>
  <si>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</si>
  <si>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</si>
  <si>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</si>
  <si>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</si>
  <si>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</si>
  <si>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</si>
  <si>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</si>
  <si>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</si>
  <si>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</si>
  <si>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</si>
  <si>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</si>
  <si>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</si>
  <si>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</si>
  <si>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</si>
  <si>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</si>
  <si>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</si>
  <si>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</si>
  <si>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</si>
  <si>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</si>
  <si>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</si>
  <si>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</si>
  <si>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</si>
  <si>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</si>
  <si>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</si>
  <si>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</si>
  <si>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</si>
  <si>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</si>
  <si>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</si>
  <si>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</si>
  <si>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</si>
  <si>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</si>
  <si>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</si>
  <si>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</si>
  <si>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</si>
  <si>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</si>
  <si>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</si>
  <si>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</si>
  <si>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</si>
  <si>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</si>
  <si>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</si>
  <si>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</si>
  <si>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</si>
  <si>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</si>
  <si>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</si>
  <si>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</si>
  <si>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</si>
  <si>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</si>
  <si>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</si>
  <si>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</si>
  <si>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</si>
  <si>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</si>
  <si>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</si>
  <si>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</si>
  <si>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</si>
  <si>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</si>
  <si>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</si>
  <si>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</si>
  <si>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</si>
  <si>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</si>
  <si>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</si>
  <si>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</si>
  <si>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</si>
  <si>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</si>
  <si>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</si>
  <si>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</si>
  <si>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</si>
  <si>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</si>
  <si>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</si>
  <si>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</si>
  <si>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</si>
  <si>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</si>
  <si>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</si>
  <si>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</si>
  <si>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</si>
  <si>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</si>
  <si>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</si>
  <si>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</si>
  <si>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</si>
  <si>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</si>
  <si>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</si>
  <si>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</si>
  <si>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</si>
  <si>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</si>
  <si>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</si>
  <si>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</si>
  <si>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</si>
  <si>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</si>
  <si>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</si>
  <si>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</si>
  <si>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</si>
  <si>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</si>
  <si>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</si>
  <si>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</si>
  <si>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</si>
  <si>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</si>
  <si>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</si>
  <si>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</si>
  <si>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</si>
  <si>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</si>
  <si>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</si>
  <si>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</si>
  <si>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</si>
  <si>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</si>
  <si>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</si>
  <si>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</si>
  <si>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</si>
  <si>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</si>
  <si>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</si>
  <si>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</si>
  <si>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</si>
  <si>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</si>
  <si>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</si>
  <si>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</si>
  <si>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</si>
  <si>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</si>
  <si>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</si>
  <si>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</si>
  <si>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</si>
  <si>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</si>
  <si>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</si>
  <si>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</si>
  <si>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</si>
  <si>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</si>
  <si>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</si>
  <si>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</si>
  <si>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</si>
  <si>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</si>
  <si>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</si>
  <si>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</si>
  <si>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</si>
  <si>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</si>
  <si>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</si>
  <si>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</si>
  <si>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</si>
  <si>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</si>
  <si>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</si>
  <si>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</si>
  <si>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</si>
  <si>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</si>
  <si>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</si>
  <si>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</si>
  <si>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</si>
  <si>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</si>
  <si>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</si>
  <si>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</si>
  <si>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</si>
  <si>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</si>
  <si>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</si>
  <si>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</si>
  <si>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</si>
  <si>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</si>
  <si>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</si>
  <si>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</si>
  <si>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</si>
  <si>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</si>
  <si>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</si>
  <si>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</si>
  <si>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</si>
  <si>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</si>
  <si>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</si>
  <si>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</si>
  <si>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</si>
  <si>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</si>
  <si>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</si>
  <si>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</si>
  <si>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</si>
  <si>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</si>
  <si>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</si>
  <si>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</si>
  <si>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</si>
  <si>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</si>
  <si>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</si>
  <si>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</si>
  <si>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</si>
  <si>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</si>
  <si>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</si>
  <si>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</si>
  <si>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</si>
  <si>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</si>
  <si>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</si>
  <si>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</si>
  <si>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</si>
  <si>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</si>
  <si>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</si>
  <si>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</si>
  <si>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</si>
  <si>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</si>
  <si>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</si>
  <si>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</si>
  <si>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</si>
  <si>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</si>
  <si>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</si>
  <si>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</si>
  <si>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</si>
  <si>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</si>
  <si>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</si>
  <si>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</si>
  <si>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</si>
  <si>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</si>
  <si>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</si>
  <si>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</si>
  <si>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</si>
  <si>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</si>
  <si>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</si>
  <si>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</si>
  <si>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</si>
  <si>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</si>
  <si>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</si>
  <si>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</si>
  <si>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</si>
  <si>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</si>
  <si>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</si>
  <si>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</si>
  <si>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</si>
  <si>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</si>
  <si>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</si>
  <si>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</si>
  <si>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</si>
  <si>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</si>
  <si>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</si>
  <si>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</si>
  <si>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</si>
  <si>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</si>
  <si>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</si>
  <si>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</si>
  <si>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</si>
  <si>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</si>
  <si>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</si>
  <si>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</si>
  <si>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</si>
  <si>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</si>
  <si>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</si>
  <si>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</si>
  <si>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</si>
  <si>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</si>
  <si>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</si>
  <si>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</si>
  <si>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</si>
  <si>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</si>
  <si>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</si>
  <si>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</si>
  <si>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</si>
  <si>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</si>
  <si>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</si>
  <si>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</si>
  <si>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</si>
  <si>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</si>
  <si>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</si>
  <si>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</si>
  <si>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</si>
  <si>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</si>
  <si>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</si>
  <si>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</si>
  <si>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</si>
  <si>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</si>
  <si>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</si>
  <si>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</si>
  <si>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</si>
  <si>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</si>
  <si>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</si>
  <si>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</si>
  <si>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</si>
  <si>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</si>
  <si>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</si>
  <si>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</si>
  <si>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</si>
  <si>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</si>
  <si>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</si>
  <si>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</si>
  <si>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</si>
  <si>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</si>
  <si>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</si>
  <si>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</si>
  <si>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</si>
  <si>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</si>
  <si>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</si>
  <si>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</si>
  <si>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</si>
  <si>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</si>
  <si>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</si>
  <si>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</si>
  <si>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</si>
  <si>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</si>
  <si>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</si>
  <si>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</si>
  <si>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</si>
  <si>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</si>
  <si>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</si>
  <si>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</si>
  <si>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</si>
  <si>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</si>
  <si>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</si>
  <si>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</si>
  <si>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</si>
  <si>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</si>
  <si>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</si>
  <si>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</si>
  <si>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</si>
  <si>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</si>
  <si>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</si>
  <si>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</si>
  <si>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</si>
  <si>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</si>
  <si>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</si>
  <si>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</si>
  <si>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</si>
  <si>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</si>
  <si>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</si>
  <si>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</si>
  <si>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</si>
  <si>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</si>
  <si>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</si>
  <si>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</si>
  <si>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</si>
  <si>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</si>
  <si>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</si>
  <si>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</si>
  <si>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</si>
  <si>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</si>
  <si>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</si>
  <si>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</si>
  <si>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</si>
  <si>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</si>
  <si>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</si>
  <si>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</si>
  <si>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</si>
  <si>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</si>
  <si>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</si>
  <si>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</si>
  <si>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</si>
  <si>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</si>
  <si>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</si>
  <si>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</si>
  <si>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</si>
  <si>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</si>
  <si>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</si>
  <si>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</si>
  <si>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</si>
  <si>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</si>
  <si>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</si>
  <si>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</si>
  <si>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</si>
  <si>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</si>
  <si>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</si>
  <si>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</si>
  <si>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</si>
  <si>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</si>
  <si>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</si>
  <si>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</si>
  <si>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</si>
  <si>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</si>
  <si>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</si>
  <si>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</si>
  <si>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</si>
  <si>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</si>
  <si>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</si>
  <si>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</si>
  <si>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</si>
  <si>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</si>
  <si>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</si>
  <si>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</si>
  <si>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</si>
  <si>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</si>
  <si>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</si>
  <si>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</si>
  <si>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</si>
  <si>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</si>
  <si>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</si>
  <si>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</si>
  <si>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</si>
  <si>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</si>
  <si>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</si>
  <si>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</si>
  <si>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</si>
  <si>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</si>
  <si>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</si>
  <si>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</si>
  <si>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</si>
  <si>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</si>
  <si>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</si>
  <si>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</si>
  <si>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</si>
  <si>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</si>
  <si>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</si>
  <si>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</si>
  <si>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</si>
  <si>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</si>
  <si>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</si>
  <si>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</si>
  <si>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</si>
  <si>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</si>
  <si>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</si>
  <si>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</si>
  <si>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</si>
  <si>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</si>
  <si>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</si>
  <si>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</si>
  <si>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</si>
  <si>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</si>
  <si>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</si>
  <si>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</si>
  <si>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</si>
  <si>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</si>
  <si>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</si>
  <si>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</si>
  <si>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</si>
  <si>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</si>
  <si>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</si>
  <si>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</si>
  <si>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</si>
  <si>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</si>
  <si>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</si>
  <si>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</si>
  <si>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</si>
  <si>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</si>
  <si>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</si>
  <si>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</si>
  <si>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</si>
  <si>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</si>
  <si>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</si>
  <si>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</si>
  <si>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</si>
  <si>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</si>
  <si>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</si>
  <si>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</si>
  <si>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</si>
  <si>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</si>
  <si>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</si>
  <si>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</si>
  <si>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</si>
  <si>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</si>
  <si>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</si>
  <si>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</si>
  <si>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</si>
  <si>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</si>
  <si>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</si>
  <si>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</si>
  <si>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</si>
  <si>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</si>
  <si>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</si>
  <si>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</si>
  <si>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</si>
  <si>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</si>
  <si>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</si>
  <si>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</si>
  <si>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</si>
  <si>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</si>
  <si>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</si>
  <si>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</si>
  <si>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</si>
  <si>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</si>
  <si>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</si>
  <si>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</si>
  <si>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</si>
  <si>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</si>
  <si>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</si>
  <si>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</si>
  <si>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</si>
  <si>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</si>
  <si>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</si>
  <si>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</si>
  <si>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</si>
  <si>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</si>
  <si>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</si>
  <si>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</si>
  <si>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</si>
  <si>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</si>
  <si>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</si>
  <si>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</si>
  <si>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</si>
  <si>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</si>
  <si>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</si>
  <si>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</si>
  <si>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</si>
  <si>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</si>
  <si>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</si>
  <si>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</si>
  <si>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</si>
  <si>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</si>
  <si>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</si>
  <si>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</si>
  <si>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</si>
  <si>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</si>
  <si>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</si>
  <si>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</si>
  <si>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</si>
  <si>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</si>
  <si>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</si>
  <si>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</si>
  <si>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</si>
  <si>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</si>
  <si>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</si>
  <si>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</si>
  <si>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</si>
  <si>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</si>
  <si>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</si>
  <si>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</si>
  <si>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</si>
  <si>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</si>
  <si>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</si>
  <si>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</si>
  <si>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</si>
  <si>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</si>
  <si>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</si>
  <si>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</si>
  <si>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</si>
  <si>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</si>
  <si>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</si>
  <si>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</si>
  <si>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</si>
  <si>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</si>
  <si>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</si>
  <si>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</si>
  <si>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</si>
  <si>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</si>
  <si>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</si>
  <si>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</si>
  <si>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</si>
  <si>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</si>
  <si>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</si>
  <si>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</si>
  <si>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</si>
  <si>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</si>
  <si>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</si>
  <si>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</si>
  <si>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</si>
  <si>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</si>
  <si>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</si>
  <si>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</si>
  <si>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</si>
  <si>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</si>
  <si>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</si>
  <si>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</si>
  <si>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</si>
  <si>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</si>
  <si>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</si>
  <si>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</si>
  <si>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</si>
  <si>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</si>
  <si>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</si>
  <si>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</si>
  <si>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</si>
  <si>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</si>
  <si>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</si>
  <si>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</si>
  <si>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</si>
  <si>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</si>
  <si>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</si>
  <si>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</si>
  <si>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</si>
  <si>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</si>
  <si>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</si>
  <si>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</si>
  <si>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</si>
  <si>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</si>
  <si>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</si>
  <si>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</si>
  <si>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</si>
  <si>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</si>
  <si>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</si>
  <si>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</si>
  <si>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</si>
  <si>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</si>
  <si>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</si>
  <si>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</si>
  <si>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</si>
  <si>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</si>
  <si>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</si>
  <si>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</si>
  <si>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</si>
  <si>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</si>
  <si>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</si>
  <si>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</si>
  <si>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</si>
  <si>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</si>
  <si>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</si>
  <si>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</si>
  <si>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</si>
  <si>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</si>
  <si>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</si>
  <si>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</si>
  <si>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</si>
  <si>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</si>
  <si>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</si>
  <si>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</si>
  <si>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</si>
  <si>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</si>
  <si>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</si>
  <si>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</si>
  <si>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</si>
  <si>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</si>
  <si>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</si>
  <si>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</si>
  <si>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</si>
  <si>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</si>
  <si>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</si>
  <si>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</si>
  <si>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</si>
  <si>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</si>
  <si>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</si>
  <si>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</si>
  <si>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</si>
  <si>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</si>
  <si>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</si>
  <si>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</si>
  <si>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</si>
  <si>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</si>
  <si>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</si>
  <si>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</si>
  <si>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</si>
  <si>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</si>
  <si>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</si>
  <si>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</si>
  <si>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</si>
  <si>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</si>
  <si>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</si>
  <si>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</si>
  <si>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</si>
  <si>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</si>
  <si>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</si>
  <si>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</si>
  <si>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</si>
  <si>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</si>
  <si>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</si>
  <si>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</si>
  <si>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</si>
  <si>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</si>
  <si>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</si>
  <si>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</si>
  <si>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</si>
  <si>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</si>
  <si>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</si>
  <si>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</si>
  <si>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</si>
  <si>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</si>
  <si>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</si>
  <si>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</si>
  <si>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</si>
  <si>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</si>
  <si>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</si>
  <si>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</si>
  <si>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</si>
  <si>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</si>
  <si>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</si>
  <si>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</si>
  <si>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</si>
  <si>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</si>
  <si>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</si>
  <si>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</si>
  <si>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</si>
  <si>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</si>
  <si>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</si>
  <si>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</si>
  <si>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</si>
  <si>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</si>
  <si>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</si>
  <si>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</si>
  <si>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</si>
  <si>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</si>
  <si>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</si>
  <si>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</si>
  <si>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</si>
  <si>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</si>
  <si>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</si>
  <si>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</si>
  <si>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</si>
  <si>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</si>
  <si>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</si>
  <si>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</si>
  <si>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</si>
  <si>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</si>
  <si>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</si>
  <si>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</si>
  <si>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</si>
  <si>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</si>
  <si>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</si>
  <si>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</si>
  <si>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</si>
  <si>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</si>
  <si>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</si>
  <si>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</si>
  <si>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</si>
  <si>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</si>
  <si>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</si>
  <si>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</si>
  <si>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</si>
  <si>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</si>
  <si>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</si>
  <si>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</si>
  <si>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</si>
  <si>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</si>
  <si>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</si>
  <si>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</si>
  <si>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</si>
  <si>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</si>
  <si>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</si>
  <si>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</si>
  <si>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</si>
  <si>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</si>
  <si>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</si>
  <si>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</si>
  <si>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</si>
  <si>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</si>
  <si>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</si>
  <si>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</si>
  <si>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</si>
  <si>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</si>
  <si>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</si>
  <si>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</si>
  <si>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</si>
  <si>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</si>
  <si>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</si>
  <si>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</si>
  <si>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</si>
  <si>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</si>
  <si>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</si>
  <si>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</si>
  <si>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</si>
  <si>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</si>
  <si>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</si>
  <si>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</si>
  <si>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</si>
  <si>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</si>
  <si>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</si>
  <si>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</si>
  <si>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</si>
  <si>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</si>
  <si>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</si>
  <si>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</si>
  <si>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</si>
  <si>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</si>
  <si>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</si>
  <si>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</si>
  <si>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</si>
  <si>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</si>
  <si>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</si>
  <si>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</si>
  <si>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</si>
  <si>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</si>
  <si>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</si>
  <si>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</si>
  <si>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</si>
  <si>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</si>
  <si>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</si>
  <si>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</si>
  <si>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</si>
  <si>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</si>
  <si>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</si>
  <si>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</si>
  <si>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</si>
  <si>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</si>
  <si>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</si>
  <si>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</si>
  <si>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</si>
  <si>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</si>
  <si>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</si>
  <si>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</si>
  <si>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</si>
  <si>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</si>
  <si>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</si>
  <si>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</si>
  <si>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</si>
  <si>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</si>
  <si>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</si>
  <si>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</si>
  <si>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</si>
  <si>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</si>
  <si>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</si>
  <si>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</si>
  <si>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</si>
  <si>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</si>
  <si>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</si>
  <si>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</si>
  <si>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</si>
  <si>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</si>
  <si>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</si>
  <si>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</si>
  <si>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</si>
  <si>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</si>
  <si>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</si>
  <si>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</si>
  <si>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</si>
  <si>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</si>
  <si>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</si>
  <si>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</si>
  <si>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</si>
  <si>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</si>
  <si>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</si>
  <si>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</si>
  <si>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</si>
  <si>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</si>
  <si>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</si>
  <si>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</si>
  <si>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</si>
  <si>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</si>
  <si>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</si>
  <si>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</si>
  <si>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</si>
  <si>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</si>
  <si>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</si>
  <si>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</si>
  <si>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</si>
  <si>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</si>
  <si>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</si>
  <si>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</si>
  <si>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</si>
  <si>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</si>
  <si>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</si>
  <si>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</si>
  <si>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</si>
  <si>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</si>
  <si>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</si>
  <si>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</si>
  <si>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</si>
  <si>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</si>
  <si>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</si>
  <si>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</si>
  <si>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</si>
  <si>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</si>
  <si>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</si>
  <si>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</si>
  <si>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</si>
  <si>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</si>
  <si>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</si>
  <si>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</si>
  <si>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</si>
  <si>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</si>
  <si>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</si>
  <si>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</si>
  <si>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</si>
  <si>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</si>
  <si>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</si>
  <si>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</si>
  <si>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</si>
  <si>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</si>
  <si>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</si>
  <si>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</si>
  <si>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</si>
  <si>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</si>
  <si>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</si>
  <si>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</si>
  <si>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</si>
  <si>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</si>
  <si>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</si>
  <si>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</si>
  <si>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</si>
  <si>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</si>
  <si>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</si>
  <si>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</si>
  <si>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</si>
  <si>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</si>
  <si>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</si>
  <si>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</si>
  <si>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</si>
  <si>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</si>
  <si>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</si>
  <si>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</si>
  <si>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</si>
  <si>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</si>
  <si>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</si>
  <si>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</si>
  <si>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</si>
  <si>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</si>
  <si>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</si>
  <si>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</si>
  <si>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</si>
  <si>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</si>
  <si>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</si>
  <si>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</si>
  <si>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</si>
  <si>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</si>
  <si>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</si>
  <si>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</si>
  <si>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</si>
  <si>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</si>
  <si>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</si>
  <si>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</si>
  <si>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</si>
  <si>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</si>
  <si>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</si>
  <si>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</si>
  <si>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</si>
  <si>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</si>
  <si>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</si>
  <si>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</si>
  <si>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</si>
  <si>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</si>
  <si>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</si>
  <si>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</si>
  <si>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</si>
  <si>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</si>
  <si>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</si>
  <si>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</si>
  <si>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</si>
  <si>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</si>
  <si>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</si>
  <si>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</si>
  <si>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</si>
  <si>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</si>
  <si>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</si>
  <si>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</si>
  <si>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</si>
  <si>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</si>
  <si>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</si>
  <si>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</si>
  <si>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</si>
  <si>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</si>
  <si>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</si>
  <si>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</si>
  <si>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</si>
  <si>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</si>
  <si>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</si>
  <si>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</si>
  <si>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</si>
  <si>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</si>
  <si>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</si>
  <si>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</si>
  <si>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</si>
  <si>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</si>
  <si>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</si>
  <si>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</si>
  <si>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</si>
  <si>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</si>
  <si>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</si>
  <si>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</si>
  <si>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</si>
  <si>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</si>
  <si>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</si>
  <si>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</si>
  <si>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</si>
  <si>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</si>
  <si>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</si>
  <si>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</si>
  <si>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</si>
  <si>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</si>
  <si>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</si>
  <si>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</si>
  <si>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</si>
  <si>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</si>
  <si>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</si>
  <si>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</si>
  <si>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</si>
  <si>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</si>
  <si>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</si>
  <si>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</si>
  <si>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</si>
  <si>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</si>
  <si>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</si>
  <si>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</si>
  <si>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</si>
  <si>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</si>
  <si>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</si>
  <si>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</si>
  <si>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</si>
  <si>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</si>
  <si>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</si>
  <si>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</si>
  <si>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</si>
  <si>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</si>
  <si>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</si>
  <si>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</si>
  <si>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</si>
  <si>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</si>
  <si>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</si>
  <si>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</si>
  <si>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</si>
  <si>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</si>
  <si>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</si>
  <si>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</si>
  <si>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</si>
  <si>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</si>
  <si>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</si>
  <si>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</si>
  <si>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</si>
  <si>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</si>
  <si>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</si>
  <si>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</si>
  <si>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</si>
  <si>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</si>
  <si>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</si>
  <si>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</si>
  <si>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</si>
  <si>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</si>
  <si>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</si>
  <si>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</si>
  <si>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</si>
  <si>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</si>
  <si>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</si>
  <si>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</si>
  <si>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</si>
  <si>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</si>
  <si>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</si>
  <si>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</si>
  <si>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</si>
  <si>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</si>
  <si>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</si>
  <si>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</si>
  <si>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</si>
  <si>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</si>
  <si>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</si>
  <si>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</si>
  <si>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</si>
  <si>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</si>
  <si>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</si>
  <si>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</si>
  <si>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</si>
  <si>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</si>
  <si>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</si>
  <si>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</si>
  <si>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</si>
  <si>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</si>
  <si>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</si>
  <si>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</si>
  <si>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</si>
  <si>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</si>
  <si>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</si>
  <si>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</si>
  <si>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</si>
  <si>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</si>
  <si>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</si>
  <si>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</si>
  <si>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</si>
  <si>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</si>
  <si>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</si>
  <si>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</si>
  <si>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</si>
  <si>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</si>
  <si>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</si>
  <si>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</si>
  <si>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</si>
  <si>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</si>
  <si>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</si>
  <si>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</si>
  <si>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</si>
  <si>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</si>
  <si>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</si>
  <si>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</si>
  <si>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</si>
  <si>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</si>
  <si>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</si>
  <si>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</si>
  <si>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</si>
  <si>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</si>
  <si>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</si>
  <si>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</si>
  <si>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</si>
  <si>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</si>
  <si>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</si>
  <si>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</si>
  <si>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</si>
  <si>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</si>
  <si>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</si>
  <si>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</si>
  <si>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</si>
  <si>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</si>
  <si>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</si>
  <si>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</si>
  <si>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</si>
  <si>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</si>
  <si>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</si>
  <si>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</si>
  <si>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</si>
  <si>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</si>
  <si>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</si>
  <si>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</si>
  <si>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</si>
  <si>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</si>
  <si>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</si>
  <si>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</si>
  <si>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</si>
  <si>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</si>
  <si>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</si>
  <si>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</si>
  <si>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</si>
  <si>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</si>
  <si>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</si>
  <si>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</si>
  <si>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</si>
  <si>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</si>
  <si>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</si>
  <si>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</si>
  <si>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</si>
  <si>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</si>
  <si>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</si>
  <si>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</si>
  <si>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</si>
  <si>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</si>
  <si>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</si>
  <si>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</si>
  <si>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</si>
  <si>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</si>
  <si>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</si>
  <si>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</si>
  <si>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</si>
  <si>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</si>
  <si>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</si>
  <si>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</si>
  <si>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</si>
  <si>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</si>
  <si>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</si>
  <si>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</si>
  <si>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</si>
  <si>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</si>
  <si>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</si>
  <si>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</si>
  <si>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</si>
  <si>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</si>
  <si>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</si>
  <si>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</si>
  <si>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</si>
  <si>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</si>
  <si>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</si>
  <si>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</si>
  <si>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</si>
  <si>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</si>
  <si>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</si>
  <si>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</si>
  <si>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</si>
  <si>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</si>
  <si>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</si>
  <si>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</si>
  <si>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</si>
  <si>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</si>
  <si>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</si>
  <si>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</si>
  <si>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</si>
  <si>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</si>
  <si>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</si>
  <si>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</si>
  <si>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</si>
  <si>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</si>
  <si>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</si>
  <si>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</si>
  <si>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</si>
  <si>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</si>
  <si>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</si>
  <si>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</si>
  <si>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</si>
  <si>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</si>
  <si>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</si>
  <si>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</si>
  <si>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</si>
  <si>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</si>
  <si>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</si>
  <si>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</si>
  <si>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</si>
  <si>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</si>
  <si>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</si>
  <si>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</si>
  <si>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</si>
  <si>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</si>
  <si>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</si>
  <si>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</si>
  <si>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</si>
  <si>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</si>
  <si>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</si>
  <si>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</si>
  <si>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</si>
  <si>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</si>
  <si>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</si>
  <si>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</si>
  <si>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</si>
  <si>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</si>
  <si>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</si>
  <si>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</si>
  <si>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</si>
  <si>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</si>
  <si>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</si>
  <si>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</si>
  <si>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</si>
  <si>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</si>
  <si>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</si>
  <si>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</si>
  <si>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</si>
  <si>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</si>
  <si>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</si>
  <si>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</si>
  <si>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</si>
  <si>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</si>
  <si>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</si>
  <si>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</si>
  <si>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</si>
  <si>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</si>
  <si>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</si>
  <si>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</si>
  <si>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</si>
  <si>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</si>
  <si>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</si>
  <si>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</si>
  <si>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</si>
  <si>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</si>
  <si>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</si>
  <si>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</si>
  <si>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</si>
  <si>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</si>
  <si>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</si>
  <si>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</si>
  <si>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</si>
  <si>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</si>
  <si>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</si>
  <si>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</si>
  <si>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</si>
  <si>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</si>
  <si>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</si>
  <si>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</si>
  <si>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</si>
  <si>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</si>
  <si>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</si>
  <si>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</si>
  <si>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</si>
  <si>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</si>
  <si>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</si>
  <si>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</si>
  <si>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</si>
  <si>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</si>
  <si>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</si>
  <si>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</si>
  <si>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</si>
  <si>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</si>
  <si>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</si>
  <si>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</si>
  <si>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</si>
  <si>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</si>
  <si>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</si>
  <si>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</si>
  <si>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</si>
  <si>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</si>
  <si>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</si>
  <si>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</si>
  <si>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</si>
  <si>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</si>
  <si>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</si>
  <si>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</si>
  <si>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</si>
  <si>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</si>
  <si>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</si>
  <si>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</si>
  <si>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</si>
  <si>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</si>
  <si>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</si>
  <si>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</si>
  <si>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</si>
  <si>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</si>
  <si>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</si>
  <si>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</si>
  <si>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</si>
  <si>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</si>
  <si>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</si>
  <si>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</si>
  <si>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</si>
  <si>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</si>
  <si>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</si>
  <si>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</si>
  <si>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</si>
  <si>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</si>
  <si>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</si>
  <si>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</si>
  <si>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</si>
  <si>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</si>
  <si>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</si>
  <si>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</si>
  <si>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</si>
  <si>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</si>
  <si>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</si>
  <si>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</si>
  <si>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</si>
  <si>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</si>
  <si>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</si>
  <si>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</si>
  <si>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</si>
  <si>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</si>
  <si>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</si>
  <si>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</si>
  <si>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</si>
  <si>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</si>
  <si>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</si>
  <si>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</si>
  <si>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</si>
  <si>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</si>
  <si>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</si>
  <si>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</si>
  <si>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</si>
  <si>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</si>
  <si>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</si>
  <si>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</si>
  <si>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</si>
  <si>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</si>
  <si>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</si>
  <si>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</si>
  <si>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</si>
  <si>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</si>
  <si>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</si>
  <si>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</si>
  <si>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</si>
  <si>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</si>
  <si>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</si>
  <si>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</si>
  <si>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</si>
  <si>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</si>
  <si>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</si>
  <si>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</si>
  <si>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</si>
  <si>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</si>
  <si>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</si>
  <si>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</si>
  <si>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</si>
  <si>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</si>
  <si>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</si>
  <si>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</si>
  <si>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</si>
  <si>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</si>
  <si>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</si>
  <si>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</si>
  <si>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</si>
  <si>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</si>
  <si>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</si>
  <si>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</si>
  <si>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</si>
  <si>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</si>
  <si>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</si>
  <si>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</si>
  <si>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</si>
  <si>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</si>
  <si>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</si>
  <si>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</si>
  <si>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</si>
  <si>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</si>
  <si>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</si>
  <si>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</si>
  <si>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</si>
  <si>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</si>
  <si>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</si>
  <si>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</si>
  <si>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</si>
  <si>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</si>
  <si>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</si>
  <si>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</si>
  <si>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</si>
  <si>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</si>
  <si>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</si>
  <si>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</si>
  <si>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</si>
  <si>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</si>
  <si>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</si>
  <si>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</si>
  <si>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</si>
  <si>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</si>
  <si>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</si>
  <si>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</si>
  <si>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</si>
  <si>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</si>
  <si>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</si>
  <si>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</si>
  <si>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</si>
  <si>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</si>
  <si>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</si>
  <si>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</si>
  <si>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</si>
  <si>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</si>
  <si>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</si>
  <si>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</si>
  <si>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</si>
  <si>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</si>
  <si>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</si>
  <si>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</si>
  <si>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</si>
  <si>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</si>
  <si>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</si>
  <si>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</si>
  <si>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</si>
  <si>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</si>
  <si>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</si>
  <si>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</si>
  <si>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</si>
  <si>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</si>
  <si>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</si>
  <si>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</si>
  <si>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</si>
  <si>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</si>
  <si>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</si>
  <si>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</si>
  <si>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</si>
  <si>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</si>
  <si>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</si>
  <si>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</si>
  <si>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</si>
  <si>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</si>
  <si>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</si>
  <si>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</si>
  <si>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</si>
  <si>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</si>
  <si>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</si>
  <si>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</si>
  <si>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</si>
  <si>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</si>
  <si>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</si>
  <si>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</si>
  <si>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</si>
  <si>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</si>
  <si>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</si>
  <si>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</si>
  <si>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</si>
  <si>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</si>
  <si>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</si>
  <si>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</si>
  <si>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</si>
  <si>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</si>
  <si>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</si>
  <si>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</si>
  <si>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</si>
  <si>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</si>
  <si>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</si>
  <si>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</si>
  <si>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</si>
  <si>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</si>
  <si>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</si>
  <si>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</si>
  <si>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</si>
  <si>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</si>
  <si>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</si>
  <si>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</si>
  <si>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</si>
  <si>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</si>
  <si>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</si>
  <si>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</si>
  <si>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</si>
  <si>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</si>
  <si>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</si>
  <si>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</si>
  <si>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</si>
  <si>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</si>
  <si>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</si>
  <si>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</si>
  <si>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</si>
  <si>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</si>
  <si>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</si>
  <si>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</si>
  <si>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</si>
  <si>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</si>
  <si>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</si>
  <si>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</si>
  <si>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</si>
  <si>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</si>
  <si>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</si>
  <si>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</si>
  <si>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</si>
  <si>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</si>
  <si>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</si>
  <si>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</si>
  <si>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</si>
  <si>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</si>
  <si>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</si>
  <si>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</si>
  <si>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</si>
  <si>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</si>
  <si>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</si>
  <si>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</si>
  <si>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</si>
  <si>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</si>
  <si>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</si>
  <si>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</si>
  <si>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</si>
  <si>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</si>
  <si>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</si>
  <si>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</si>
  <si>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</si>
  <si>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</si>
  <si>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</si>
  <si>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</si>
  <si>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</si>
  <si>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</si>
  <si>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</si>
  <si>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</si>
  <si>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</si>
  <si>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</si>
  <si>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</si>
  <si>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</si>
  <si>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</si>
  <si>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</si>
  <si>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</si>
  <si>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</si>
  <si>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</si>
  <si>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</si>
  <si>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</si>
  <si>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</si>
  <si>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</si>
  <si>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</si>
  <si>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</si>
  <si>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</si>
  <si>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</si>
  <si>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</si>
  <si>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</si>
  <si>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</si>
  <si>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</si>
  <si>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</si>
  <si>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</si>
  <si>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</si>
  <si>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</si>
  <si>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</si>
  <si>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</si>
  <si>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</si>
  <si>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</si>
  <si>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</si>
  <si>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</si>
  <si>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</si>
  <si>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</si>
  <si>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</si>
  <si>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</si>
  <si>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</si>
  <si>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</si>
  <si>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</si>
  <si>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</si>
  <si>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</si>
  <si>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</si>
  <si>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</si>
  <si>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</si>
  <si>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</si>
  <si>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</si>
  <si>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</si>
  <si>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</si>
  <si>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</si>
  <si>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</si>
  <si>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</si>
  <si>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</si>
  <si>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</si>
  <si>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</si>
  <si>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</si>
  <si>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</si>
  <si>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</si>
  <si>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</si>
  <si>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</si>
  <si>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</si>
  <si>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</si>
  <si>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</si>
  <si>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</si>
  <si>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</si>
  <si>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</si>
  <si>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</si>
  <si>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</si>
  <si>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</si>
  <si>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</si>
  <si>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</si>
  <si>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</si>
  <si>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</si>
  <si>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</si>
  <si>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</si>
  <si>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</si>
  <si>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</si>
  <si>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</si>
  <si>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</si>
  <si>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</si>
  <si>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</si>
  <si>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</si>
  <si>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</si>
  <si>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</si>
  <si>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</si>
  <si>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</si>
  <si>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</si>
  <si>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</si>
  <si>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</si>
  <si>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</si>
  <si>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</si>
  <si>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</si>
  <si>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</si>
  <si>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</si>
  <si>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</si>
  <si>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</si>
  <si>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</si>
  <si>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</si>
  <si>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</si>
  <si>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</si>
  <si>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</si>
  <si>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</si>
  <si>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</si>
  <si>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</si>
  <si>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</si>
  <si>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</si>
  <si>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</si>
  <si>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</si>
  <si>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</si>
  <si>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</si>
  <si>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</si>
  <si>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</si>
  <si>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</si>
  <si>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</si>
  <si>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</si>
  <si>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</si>
  <si>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</si>
  <si>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</si>
  <si>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</si>
  <si>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</si>
  <si>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</si>
  <si>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</si>
  <si>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</si>
  <si>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</si>
  <si>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</si>
  <si>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</si>
  <si>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</si>
  <si>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</si>
  <si>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</si>
  <si>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</si>
  <si>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</si>
  <si>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</si>
  <si>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</si>
  <si>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</si>
  <si>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</si>
  <si>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</si>
  <si>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</si>
  <si>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</si>
  <si>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</si>
  <si>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</si>
  <si>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</si>
  <si>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</si>
  <si>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</si>
  <si>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</si>
  <si>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</si>
  <si>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</si>
  <si>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</si>
  <si>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</si>
  <si>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</si>
  <si>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</si>
  <si>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</si>
  <si>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</si>
  <si>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</si>
  <si>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</si>
  <si>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</si>
  <si>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</si>
  <si>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</si>
  <si>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</si>
  <si>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</si>
  <si>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</si>
  <si>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</si>
  <si>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</si>
  <si>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</si>
  <si>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</si>
  <si>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</si>
  <si>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</si>
  <si>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</si>
  <si>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</si>
  <si>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</si>
  <si>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</si>
  <si>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</si>
  <si>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</si>
  <si>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</si>
  <si>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</si>
  <si>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</si>
  <si>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</si>
  <si>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</si>
  <si>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</si>
  <si>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</si>
  <si>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</si>
  <si>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</si>
  <si>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</si>
  <si>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</si>
  <si>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</si>
  <si>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</si>
  <si>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</si>
  <si>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</si>
  <si>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</si>
  <si>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</si>
  <si>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</si>
  <si>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</si>
  <si>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</si>
  <si>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</si>
  <si>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</si>
  <si>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</si>
  <si>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</si>
  <si>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</si>
  <si>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</si>
  <si>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</si>
  <si>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</si>
  <si>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</si>
  <si>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</si>
  <si>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</si>
  <si>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</si>
  <si>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</si>
  <si>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</si>
  <si>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</si>
  <si>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</si>
  <si>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</si>
  <si>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</si>
  <si>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</si>
  <si>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</si>
  <si>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</si>
  <si>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</si>
  <si>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</si>
  <si>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</si>
  <si>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</si>
  <si>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</si>
  <si>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</si>
  <si>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</si>
  <si>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</si>
  <si>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</si>
  <si>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</si>
  <si>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</si>
  <si>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</si>
  <si>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</si>
  <si>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</si>
  <si>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</si>
  <si>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</si>
  <si>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</si>
  <si>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</si>
  <si>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</si>
  <si>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</si>
  <si>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</si>
  <si>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</si>
  <si>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</si>
  <si>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</si>
  <si>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</si>
  <si>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</si>
  <si>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</si>
  <si>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</si>
  <si>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</si>
  <si>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</si>
  <si>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</si>
  <si>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</si>
  <si>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</si>
  <si>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</si>
  <si>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</si>
  <si>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</si>
  <si>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</si>
  <si>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</si>
  <si>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</si>
  <si>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</si>
  <si>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</si>
  <si>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</si>
  <si>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</si>
  <si>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</si>
  <si>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</si>
  <si>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</si>
  <si>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</si>
  <si>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</si>
  <si>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</si>
  <si>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</si>
  <si>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</si>
  <si>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</si>
  <si>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</si>
  <si>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</si>
  <si>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</si>
  <si>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</si>
  <si>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</si>
  <si>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</si>
  <si>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</si>
  <si>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</si>
  <si>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</si>
  <si>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</si>
  <si>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</si>
  <si>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</si>
  <si>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</si>
  <si>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</si>
  <si>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</si>
  <si>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</si>
  <si>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</si>
  <si>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</si>
  <si>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</si>
  <si>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</si>
  <si>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</si>
  <si>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</si>
  <si>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</si>
  <si>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</si>
  <si>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</si>
  <si>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</si>
  <si>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</si>
  <si>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</si>
  <si>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</si>
  <si>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</si>
  <si>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</si>
  <si>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</si>
  <si>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</si>
  <si>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</si>
  <si>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</si>
  <si>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</si>
  <si>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</si>
  <si>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</si>
  <si>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</si>
  <si>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</si>
  <si>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</si>
  <si>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</si>
  <si>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</si>
  <si>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</si>
  <si>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</si>
  <si>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</si>
  <si>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</si>
  <si>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</si>
  <si>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</si>
  <si>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</si>
  <si>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</si>
  <si>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</si>
  <si>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</si>
  <si>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</si>
  <si>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</si>
  <si>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</si>
  <si>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</si>
  <si>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</si>
  <si>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</si>
  <si>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</si>
  <si>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</si>
  <si>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</si>
  <si>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</si>
  <si>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</si>
  <si>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</si>
  <si>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</si>
  <si>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</si>
  <si>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</si>
  <si>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</si>
  <si>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</si>
  <si>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</si>
  <si>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</si>
  <si>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</si>
  <si>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</si>
  <si>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</si>
  <si>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</si>
  <si>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</si>
  <si>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</si>
  <si>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</si>
  <si>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</si>
  <si>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</si>
  <si>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</si>
  <si>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</si>
  <si>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</si>
  <si>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</si>
  <si>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</si>
  <si>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</si>
  <si>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</si>
  <si>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</si>
  <si>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</si>
  <si>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</si>
  <si>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</si>
  <si>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</si>
  <si>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</si>
  <si>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</si>
  <si>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</si>
  <si>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</si>
  <si>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</si>
  <si>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</si>
  <si>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</si>
  <si>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</si>
  <si>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</si>
  <si>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</si>
  <si>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</si>
  <si>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</si>
  <si>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</si>
  <si>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</si>
  <si>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</si>
  <si>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</si>
  <si>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</si>
  <si>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</si>
  <si>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</si>
  <si>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</si>
  <si>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</si>
  <si>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</si>
  <si>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</si>
  <si>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</si>
  <si>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</si>
  <si>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</si>
  <si>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</si>
  <si>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</si>
  <si>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</si>
  <si>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</si>
  <si>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</si>
  <si>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</si>
  <si>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</si>
  <si>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</si>
  <si>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</si>
  <si>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</si>
  <si>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</si>
  <si>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</si>
  <si>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</si>
  <si>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</si>
  <si>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</si>
  <si>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</si>
  <si>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</si>
  <si>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</si>
  <si>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</si>
  <si>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</si>
  <si>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</si>
  <si>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</si>
  <si>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</si>
  <si>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</si>
  <si>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</si>
  <si>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</si>
  <si>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</si>
  <si>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</si>
  <si>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</si>
  <si>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</si>
  <si>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</si>
  <si>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</si>
  <si>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</si>
  <si>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</si>
  <si>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</si>
  <si>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</si>
  <si>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</si>
  <si>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</si>
  <si>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</si>
  <si>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</si>
  <si>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</si>
  <si>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</si>
  <si>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</si>
  <si>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</si>
  <si>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</si>
  <si>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</si>
  <si>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</si>
  <si>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</si>
  <si>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</si>
  <si>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</si>
  <si>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</si>
  <si>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</si>
  <si>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</si>
  <si>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</si>
  <si>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</si>
  <si>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</si>
  <si>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</si>
  <si>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</si>
  <si>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</si>
  <si>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</si>
  <si>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</si>
  <si>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</si>
  <si>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</si>
  <si>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</si>
  <si>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</si>
  <si>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</si>
  <si>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</si>
  <si>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</si>
  <si>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</si>
  <si>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</si>
  <si>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</si>
  <si>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</si>
  <si>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</si>
  <si>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</si>
  <si>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</si>
  <si>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</si>
  <si>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</si>
  <si>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</si>
  <si>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</si>
  <si>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</si>
  <si>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</si>
  <si>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</si>
  <si>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</si>
  <si>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</si>
  <si>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</si>
  <si>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</si>
  <si>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</si>
  <si>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</si>
  <si>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</si>
  <si>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</si>
  <si>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</si>
  <si>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</si>
  <si>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</si>
  <si>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</si>
  <si>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</si>
  <si>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</si>
  <si>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</si>
  <si>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</si>
  <si>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</si>
  <si>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</si>
  <si>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</si>
  <si>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</si>
  <si>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</si>
  <si>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</si>
  <si>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</si>
  <si>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</si>
  <si>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</si>
  <si>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</si>
  <si>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</si>
  <si>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</si>
  <si>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</si>
  <si>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</si>
  <si>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</si>
  <si>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</si>
  <si>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</si>
  <si>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</si>
  <si>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</si>
  <si>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</si>
  <si>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</si>
  <si>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</si>
  <si>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</si>
  <si>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</si>
  <si>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</si>
  <si>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</si>
  <si>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</si>
  <si>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</si>
  <si>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</si>
  <si>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</si>
  <si>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</si>
  <si>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</si>
  <si>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</si>
  <si>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</si>
  <si>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</si>
  <si>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</si>
  <si>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</si>
  <si>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</si>
  <si>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</si>
  <si>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</si>
  <si>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</si>
  <si>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</si>
  <si>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</si>
  <si>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</si>
  <si>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</si>
  <si>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</si>
  <si>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</si>
  <si>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</si>
  <si>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</si>
  <si>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</si>
  <si>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</si>
  <si>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</si>
  <si>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</si>
  <si>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</si>
  <si>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</si>
  <si>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</si>
  <si>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</si>
  <si>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</si>
  <si>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</si>
  <si>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</si>
  <si>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</si>
  <si>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</si>
  <si>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</si>
  <si>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</si>
  <si>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</si>
  <si>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</si>
  <si>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</si>
  <si>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</si>
  <si>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</si>
  <si>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</si>
  <si>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</si>
  <si>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</si>
  <si>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</si>
  <si>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</si>
  <si>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</si>
  <si>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</si>
  <si>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</si>
  <si>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</si>
  <si>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</si>
  <si>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</si>
  <si>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</si>
  <si>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</si>
  <si>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</si>
  <si>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</si>
  <si>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</si>
  <si>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</si>
  <si>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</si>
  <si>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</si>
  <si>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</si>
  <si>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</si>
  <si>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</si>
  <si>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</si>
  <si>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</si>
  <si>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</si>
  <si>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</si>
  <si>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</si>
  <si>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</si>
  <si>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</si>
  <si>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</si>
  <si>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</si>
  <si>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</si>
  <si>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</si>
  <si>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</si>
  <si>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</si>
  <si>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</si>
  <si>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</si>
  <si>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</si>
  <si>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</si>
  <si>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</si>
  <si>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</si>
  <si>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</si>
  <si>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</si>
  <si>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</si>
  <si>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</si>
  <si>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</si>
  <si>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</si>
  <si>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</si>
  <si>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</si>
  <si>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</si>
  <si>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</si>
  <si>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</si>
  <si>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</si>
  <si>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</si>
  <si>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</si>
  <si>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</si>
  <si>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</si>
  <si>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</si>
  <si>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</si>
  <si>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</si>
  <si>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</si>
  <si>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</si>
  <si>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</si>
  <si>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</si>
  <si>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</si>
  <si>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</si>
  <si>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</si>
  <si>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</si>
  <si>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</si>
  <si>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</si>
  <si>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</si>
  <si>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</si>
  <si>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</si>
  <si>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</si>
  <si>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</si>
  <si>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</si>
  <si>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</si>
  <si>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</si>
  <si>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</si>
  <si>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</si>
  <si>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</si>
  <si>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</si>
  <si>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</si>
  <si>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</si>
  <si>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</si>
  <si>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</si>
  <si>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</si>
  <si>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</si>
  <si>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</si>
  <si>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</si>
  <si>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</si>
  <si>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</si>
  <si>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</si>
  <si>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</si>
  <si>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</si>
  <si>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</si>
  <si>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</si>
  <si>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</si>
  <si>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</si>
  <si>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</si>
  <si>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</si>
  <si>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</si>
  <si>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</si>
  <si>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</si>
  <si>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</si>
  <si>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</si>
  <si>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</si>
  <si>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</si>
  <si>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</si>
  <si>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</si>
  <si>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</si>
  <si>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</si>
  <si>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</si>
  <si>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</si>
  <si>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</si>
  <si>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</si>
  <si>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</si>
  <si>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</si>
  <si>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</si>
  <si>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</si>
  <si>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</si>
  <si>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</si>
  <si>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</si>
  <si>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</si>
  <si>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</si>
  <si>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</si>
  <si>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</si>
  <si>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</si>
  <si>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</si>
  <si>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</si>
  <si>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</si>
  <si>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</si>
  <si>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</si>
  <si>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</si>
  <si>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</si>
  <si>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</si>
  <si>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</si>
  <si>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</si>
  <si>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</si>
  <si>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</si>
  <si>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</si>
  <si>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</si>
  <si>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</si>
  <si>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</si>
  <si>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</si>
  <si>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</si>
  <si>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</si>
  <si>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</si>
  <si>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</si>
  <si>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</si>
  <si>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</si>
  <si>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</si>
  <si>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</si>
  <si>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</si>
  <si>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</si>
  <si>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</si>
  <si>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</si>
  <si>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</si>
  <si>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</si>
  <si>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</si>
  <si>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</si>
  <si>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</si>
  <si>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</si>
  <si>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</si>
  <si>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</si>
  <si>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</si>
  <si>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</si>
  <si>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</si>
  <si>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</si>
  <si>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</si>
  <si>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</si>
  <si>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</si>
  <si>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</si>
  <si>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</si>
  <si>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</si>
  <si>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</si>
  <si>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</si>
  <si>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</si>
  <si>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</si>
  <si>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</si>
  <si>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</si>
  <si>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</si>
  <si>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</si>
  <si>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</si>
  <si>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</si>
  <si>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</si>
  <si>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</si>
  <si>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</si>
  <si>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</si>
  <si>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</si>
  <si>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</si>
  <si>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</si>
  <si>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</si>
  <si>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</si>
  <si>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</si>
  <si>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</si>
  <si>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</si>
  <si>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</si>
  <si>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</si>
  <si>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</si>
  <si>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</si>
  <si>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</si>
  <si>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</si>
  <si>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</si>
  <si>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</si>
  <si>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</si>
  <si>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</si>
  <si>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</si>
  <si>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</si>
  <si>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</si>
  <si>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</si>
  <si>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</si>
  <si>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</si>
  <si>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</si>
  <si>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</si>
  <si>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</si>
  <si>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</si>
  <si>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</si>
  <si>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</si>
  <si>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</si>
  <si>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</si>
  <si>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</si>
  <si>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</si>
  <si>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</si>
  <si>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</si>
  <si>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</si>
  <si>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</si>
  <si>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</si>
  <si>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</si>
  <si>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</si>
  <si>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</si>
  <si>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</si>
  <si>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</si>
  <si>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</si>
  <si>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</si>
  <si>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</si>
  <si>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</si>
  <si>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</si>
  <si>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</si>
  <si>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</si>
  <si>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</si>
  <si>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</si>
  <si>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</si>
  <si>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</si>
  <si>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</si>
  <si>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</si>
  <si>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</si>
  <si>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</si>
  <si>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</si>
  <si>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</si>
  <si>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</si>
  <si>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</si>
  <si>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</si>
  <si>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</si>
  <si>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</si>
  <si>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</si>
  <si>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</si>
  <si>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</si>
  <si>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</si>
  <si>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</si>
  <si>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</si>
  <si>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</si>
  <si>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</si>
  <si>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</si>
  <si>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</si>
  <si>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</si>
  <si>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</si>
  <si>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</si>
  <si>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</si>
  <si>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</si>
  <si>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</si>
  <si>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</si>
  <si>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</si>
  <si>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</si>
  <si>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</si>
  <si>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</si>
  <si>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</si>
  <si>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</si>
  <si>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</si>
  <si>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</si>
  <si>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</si>
  <si>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</si>
  <si>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</si>
  <si>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</si>
  <si>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</si>
  <si>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</si>
  <si>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</si>
  <si>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</si>
  <si>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</si>
  <si>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</si>
  <si>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</si>
  <si>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</si>
  <si>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</si>
  <si>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</si>
  <si>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</si>
  <si>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</si>
  <si>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</si>
  <si>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</si>
  <si>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</si>
  <si>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</si>
  <si>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</si>
  <si>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</si>
  <si>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</si>
  <si>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</si>
  <si>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</si>
  <si>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</si>
  <si>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</si>
  <si>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</si>
  <si>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</si>
  <si>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</si>
  <si>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</si>
  <si>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</si>
  <si>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</si>
  <si>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</si>
  <si>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</si>
  <si>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</si>
  <si>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</si>
  <si>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</si>
  <si>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</si>
  <si>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</si>
  <si>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</si>
  <si>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</si>
  <si>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</si>
  <si>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</si>
  <si>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</si>
  <si>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</si>
  <si>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</si>
  <si>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</si>
  <si>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</si>
  <si>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</si>
  <si>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</si>
  <si>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</si>
  <si>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</si>
  <si>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</si>
  <si>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</si>
  <si>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</si>
  <si>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</si>
  <si>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</si>
  <si>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</si>
  <si>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</si>
  <si>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</si>
  <si>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</si>
  <si>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</si>
  <si>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</si>
  <si>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</si>
  <si>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</si>
  <si>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</si>
  <si>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</si>
  <si>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</si>
  <si>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</si>
  <si>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</si>
  <si>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</si>
  <si>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</si>
  <si>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</si>
  <si>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</si>
  <si>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</si>
  <si>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</si>
  <si>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</si>
  <si>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</si>
  <si>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</si>
  <si>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</si>
  <si>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</si>
  <si>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</si>
  <si>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</si>
  <si>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</si>
  <si>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</si>
  <si>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</si>
  <si>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</si>
  <si>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</si>
  <si>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</si>
  <si>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</si>
  <si>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</si>
  <si>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</si>
  <si>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</si>
  <si>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</si>
  <si>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</si>
  <si>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</si>
  <si>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</si>
  <si>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</si>
  <si>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</si>
  <si>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</si>
  <si>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</si>
  <si>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</si>
  <si>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</si>
  <si>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</si>
  <si>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</si>
  <si>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</si>
  <si>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</si>
  <si>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</si>
  <si>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</si>
  <si>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</si>
  <si>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</si>
  <si>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</si>
  <si>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</si>
  <si>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</si>
  <si>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</si>
  <si>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</si>
  <si>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</si>
  <si>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</si>
  <si>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</si>
  <si>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</si>
  <si>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</si>
  <si>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</si>
  <si>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</si>
  <si>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</si>
  <si>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</si>
  <si>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</si>
  <si>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</si>
  <si>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</si>
  <si>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</si>
  <si>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</si>
  <si>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</si>
  <si>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</si>
  <si>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</si>
  <si>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</si>
  <si>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</si>
  <si>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</si>
  <si>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</si>
  <si>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</si>
  <si>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</si>
  <si>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</si>
  <si>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</si>
  <si>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</si>
  <si>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</si>
  <si>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</si>
  <si>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</si>
  <si>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</si>
  <si>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</si>
  <si>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</si>
  <si>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</si>
  <si>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</si>
  <si>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</si>
  <si>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</si>
  <si>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</si>
  <si>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</si>
  <si>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</si>
  <si>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</si>
  <si>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</si>
  <si>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</si>
  <si>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</si>
  <si>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</si>
  <si>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</si>
  <si>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</si>
  <si>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</si>
  <si>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</si>
  <si>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</si>
  <si>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</si>
  <si>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</si>
  <si>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</si>
  <si>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</si>
  <si>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</si>
  <si>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</si>
  <si>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</si>
  <si>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</si>
  <si>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</si>
  <si>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</si>
  <si>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</si>
  <si>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</si>
  <si>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</si>
  <si>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</si>
  <si>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</si>
  <si>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</si>
  <si>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</si>
  <si>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</si>
  <si>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</si>
  <si>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</si>
  <si>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</si>
  <si>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</si>
  <si>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</si>
  <si>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</si>
  <si>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</si>
  <si>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</si>
  <si>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</si>
  <si>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</si>
  <si>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</si>
  <si>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</si>
  <si>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</si>
  <si>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</si>
  <si>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</si>
  <si>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</si>
  <si>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</si>
  <si>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</si>
  <si>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</si>
  <si>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</si>
  <si>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</si>
  <si>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</si>
  <si>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</si>
  <si>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</si>
  <si>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</si>
  <si>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</si>
  <si>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</si>
  <si>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</si>
  <si>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</si>
  <si>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</si>
  <si>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</si>
  <si>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</si>
  <si>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</si>
  <si>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</si>
  <si>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</si>
  <si>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</si>
  <si>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</si>
  <si>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</si>
  <si>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</si>
  <si>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</si>
  <si>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</si>
  <si>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</si>
  <si>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</si>
  <si>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</si>
  <si>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</si>
  <si>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</si>
  <si>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</si>
  <si>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</si>
  <si>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</si>
  <si>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</si>
  <si>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</si>
  <si>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</si>
  <si>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</si>
  <si>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</si>
  <si>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</si>
  <si>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</si>
  <si>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</si>
  <si>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</si>
  <si>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</si>
  <si>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</si>
  <si>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</si>
  <si>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</si>
  <si>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</si>
  <si>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</si>
  <si>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</si>
  <si>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</si>
  <si>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</si>
  <si>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</si>
  <si>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</si>
  <si>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</si>
  <si>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</si>
  <si>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</si>
  <si>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</si>
  <si>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</si>
  <si>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</si>
  <si>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</si>
  <si>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</si>
  <si>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</si>
  <si>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</si>
  <si>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</si>
  <si>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</si>
  <si>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</si>
  <si>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</si>
  <si>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</si>
  <si>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</si>
  <si>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</si>
  <si>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</si>
  <si>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</si>
  <si>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</si>
  <si>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</si>
  <si>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</si>
  <si>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</si>
  <si>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</si>
  <si>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</si>
  <si>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</si>
  <si>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</si>
  <si>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</si>
  <si>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</si>
  <si>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</si>
  <si>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</si>
  <si>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</si>
  <si>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</si>
  <si>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</si>
  <si>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</si>
  <si>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</si>
  <si>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</si>
  <si>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</si>
  <si>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</si>
  <si>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</si>
  <si>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</si>
  <si>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</si>
  <si>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</si>
  <si>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</si>
  <si>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</si>
  <si>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</si>
  <si>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</si>
  <si>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</si>
  <si>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</si>
  <si>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</si>
  <si>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</si>
  <si>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</si>
  <si>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</si>
  <si>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</si>
  <si>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</si>
  <si>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</si>
  <si>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</si>
  <si>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</si>
  <si>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</si>
  <si>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</si>
  <si>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</si>
  <si>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</si>
  <si>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</si>
  <si>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</si>
  <si>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</si>
  <si>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</si>
  <si>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</si>
  <si>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</si>
  <si>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</si>
  <si>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</si>
  <si>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</si>
  <si>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</si>
  <si>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</si>
  <si>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</si>
  <si>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</si>
  <si>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</si>
  <si>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</si>
  <si>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</si>
  <si>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</si>
  <si>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</si>
  <si>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</si>
  <si>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</si>
  <si>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</si>
  <si>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</si>
  <si>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</si>
  <si>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</si>
  <si>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</si>
  <si>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</si>
  <si>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</si>
  <si>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</si>
  <si>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</si>
  <si>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</si>
  <si>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</si>
  <si>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</si>
  <si>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</si>
  <si>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</si>
  <si>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</si>
  <si>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</si>
  <si>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</si>
  <si>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</si>
  <si>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</si>
  <si>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</si>
  <si>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</si>
  <si>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</si>
  <si>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</si>
  <si>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</si>
  <si>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</si>
  <si>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</si>
  <si>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</si>
  <si>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</si>
  <si>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</si>
  <si>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</si>
  <si>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</si>
  <si>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</si>
  <si>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</si>
  <si>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</si>
  <si>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</si>
  <si>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</si>
  <si>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</si>
  <si>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</si>
  <si>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</si>
  <si>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</si>
  <si>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</si>
  <si>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</si>
  <si>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</si>
  <si>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</si>
  <si>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</si>
  <si>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</si>
  <si>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</si>
  <si>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</si>
  <si>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</si>
  <si>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</si>
  <si>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</si>
  <si>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</si>
  <si>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</si>
  <si>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</si>
  <si>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</si>
  <si>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</si>
  <si>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</si>
  <si>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</si>
  <si>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</si>
  <si>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</si>
  <si>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</si>
  <si>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</si>
  <si>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</si>
  <si>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</si>
  <si>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</si>
  <si>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</si>
  <si>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</si>
  <si>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</si>
  <si>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</si>
  <si>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</si>
  <si>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</si>
  <si>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</si>
  <si>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</si>
  <si>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</si>
  <si>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</si>
  <si>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</si>
  <si>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</si>
  <si>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</si>
  <si>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</si>
  <si>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</si>
  <si>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</si>
  <si>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</si>
  <si>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</si>
  <si>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</si>
  <si>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</si>
  <si>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</si>
  <si>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</si>
  <si>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</si>
  <si>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</si>
  <si>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</si>
  <si>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</si>
  <si>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</si>
  <si>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</si>
  <si>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</si>
  <si>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</si>
  <si>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</si>
  <si>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</si>
  <si>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</si>
  <si>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</si>
  <si>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</si>
  <si>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</si>
  <si>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</si>
  <si>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</si>
  <si>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</si>
  <si>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</si>
  <si>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</si>
  <si>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</si>
  <si>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</si>
  <si>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</si>
  <si>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</si>
  <si>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</si>
  <si>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</si>
  <si>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</si>
  <si>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</si>
  <si>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</si>
  <si>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</si>
  <si>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</si>
  <si>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</si>
  <si>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</si>
  <si>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</si>
  <si>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</si>
  <si>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</si>
  <si>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</si>
  <si>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</si>
  <si>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</si>
  <si>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</si>
  <si>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</si>
  <si>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</si>
  <si>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</si>
  <si>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</si>
  <si>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</si>
  <si>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</si>
  <si>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</si>
  <si>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</si>
  <si>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</si>
  <si>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</si>
  <si>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</si>
  <si>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</si>
  <si>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</si>
  <si>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</si>
  <si>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</si>
  <si>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</si>
  <si>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</si>
  <si>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</si>
  <si>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</si>
  <si>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</si>
  <si>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</si>
  <si>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</si>
  <si>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</si>
  <si>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</si>
  <si>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</si>
  <si>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</si>
  <si>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</si>
  <si>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</si>
  <si>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</si>
  <si>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</si>
  <si>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</si>
  <si>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</si>
  <si>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</si>
  <si>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</si>
  <si>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</si>
  <si>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</si>
  <si>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</si>
  <si>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</si>
  <si>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</si>
  <si>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</si>
  <si>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</si>
  <si>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</si>
  <si>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</si>
  <si>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</si>
  <si>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</si>
  <si>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</si>
  <si>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</si>
  <si>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</si>
  <si>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</si>
  <si>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</si>
  <si>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</si>
  <si>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</si>
  <si>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</si>
  <si>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</si>
  <si>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</si>
  <si>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</si>
  <si>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</si>
  <si>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</si>
  <si>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</si>
  <si>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</si>
  <si>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</si>
  <si>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</si>
  <si>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</si>
  <si>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</si>
  <si>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</si>
  <si>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</si>
  <si>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</si>
  <si>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</si>
  <si>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</si>
  <si>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</si>
  <si>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</si>
  <si>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</si>
  <si>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</si>
  <si>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</si>
  <si>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</si>
  <si>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</si>
  <si>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</si>
  <si>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</si>
  <si>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</si>
  <si>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</si>
  <si>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</si>
  <si>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</si>
  <si>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</si>
  <si>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</si>
  <si>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</si>
  <si>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</si>
  <si>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</si>
  <si>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</si>
  <si>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</si>
  <si>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</si>
  <si>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</si>
  <si>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</si>
  <si>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</si>
  <si>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</si>
  <si>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</si>
  <si>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</si>
  <si>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</si>
  <si>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</si>
  <si>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</si>
  <si>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</si>
  <si>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</si>
  <si>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</si>
  <si>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</si>
  <si>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</si>
  <si>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</si>
  <si>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</si>
  <si>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</si>
  <si>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</si>
  <si>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</si>
  <si>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</si>
  <si>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</si>
  <si>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</si>
  <si>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</si>
  <si>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</si>
  <si>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</si>
  <si>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</si>
  <si>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</si>
  <si>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</si>
  <si>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</si>
  <si>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</si>
  <si>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</si>
  <si>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</si>
  <si>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</si>
  <si>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</si>
  <si>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</si>
  <si>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</si>
  <si>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</si>
  <si>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</si>
  <si>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</si>
  <si>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</si>
  <si>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</si>
  <si>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</si>
  <si>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</si>
  <si>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</si>
  <si>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</si>
  <si>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</si>
  <si>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</si>
  <si>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</si>
  <si>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</si>
  <si>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</si>
  <si>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</si>
  <si>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</si>
  <si>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</si>
  <si>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</si>
  <si>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</si>
  <si>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</si>
  <si>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</si>
  <si>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</si>
  <si>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</si>
  <si>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</si>
  <si>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</si>
  <si>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</si>
  <si>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</si>
  <si>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</si>
  <si>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</si>
  <si>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</si>
  <si>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</si>
  <si>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</si>
  <si>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</si>
  <si>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</si>
  <si>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</si>
  <si>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</si>
  <si>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</si>
  <si>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</si>
  <si>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</si>
  <si>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</si>
  <si>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</si>
  <si>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</si>
  <si>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</si>
  <si>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</si>
  <si>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</si>
  <si>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</si>
  <si>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</si>
  <si>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</si>
  <si>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</si>
  <si>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</si>
  <si>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</si>
  <si>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</si>
  <si>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</si>
  <si>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</si>
  <si>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</si>
  <si>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</si>
  <si>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</si>
  <si>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</si>
  <si>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</si>
  <si>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</si>
  <si>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</si>
  <si>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</si>
  <si>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</si>
  <si>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</si>
  <si>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</si>
  <si>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</si>
  <si>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</si>
  <si>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</si>
  <si>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</si>
  <si>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</si>
  <si>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</si>
  <si>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</si>
  <si>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</si>
  <si>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</si>
  <si>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</si>
  <si>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</si>
  <si>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</si>
  <si>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</si>
  <si>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</si>
  <si>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</si>
  <si>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</si>
  <si>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</si>
  <si>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</si>
  <si>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</si>
  <si>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</si>
  <si>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</si>
  <si>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</si>
  <si>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</si>
  <si>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</si>
  <si>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</si>
  <si>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</si>
  <si>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</si>
  <si>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</si>
  <si>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</si>
  <si>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</si>
  <si>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</si>
  <si>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</si>
  <si>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</si>
  <si>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</si>
  <si>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</si>
  <si>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</si>
  <si>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</si>
  <si>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</si>
  <si>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</si>
  <si>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</si>
  <si>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</si>
  <si>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</si>
  <si>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</si>
  <si>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</si>
  <si>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</si>
  <si>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</si>
  <si>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</si>
  <si>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</si>
  <si>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</si>
  <si>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</si>
  <si>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</si>
  <si>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</si>
  <si>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</si>
  <si>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</si>
  <si>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</si>
  <si>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</si>
  <si>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</si>
  <si>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</si>
  <si>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</si>
  <si>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</si>
  <si>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</si>
  <si>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</si>
  <si>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</si>
  <si>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</si>
  <si>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</si>
  <si>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</si>
  <si>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</si>
  <si>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</si>
  <si>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</si>
  <si>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</si>
  <si>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</si>
  <si>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</si>
  <si>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</si>
  <si>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</si>
  <si>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</si>
  <si>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</si>
  <si>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</si>
  <si>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</si>
  <si>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</si>
  <si>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</si>
  <si>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</si>
  <si>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</si>
  <si>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</si>
  <si>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</si>
  <si>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</si>
  <si>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</si>
  <si>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</si>
  <si>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</si>
  <si>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</si>
  <si>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</si>
  <si>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</si>
  <si>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</si>
  <si>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</si>
  <si>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</si>
  <si>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</si>
  <si>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</si>
  <si>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</si>
  <si>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</si>
  <si>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</si>
  <si>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</si>
  <si>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</si>
  <si>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</si>
  <si>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</si>
  <si>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</si>
  <si>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</si>
  <si>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</si>
  <si>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</si>
  <si>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</si>
  <si>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</si>
  <si>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</si>
  <si>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</si>
  <si>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</si>
  <si>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</si>
  <si>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</si>
  <si>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</si>
  <si>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</si>
  <si>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</si>
  <si>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</si>
  <si>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</si>
  <si>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</si>
  <si>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</si>
  <si>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</si>
  <si>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</si>
  <si>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</si>
  <si>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</si>
  <si>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</si>
  <si>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</si>
  <si>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</si>
  <si>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</si>
  <si>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</si>
  <si>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</si>
  <si>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</si>
  <si>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</si>
  <si>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</si>
  <si>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</si>
  <si>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</si>
  <si>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</si>
  <si>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</si>
  <si>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</si>
  <si>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</si>
  <si>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</si>
  <si>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</si>
  <si>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</si>
  <si>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</si>
  <si>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</si>
  <si>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</si>
  <si>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</si>
  <si>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</si>
  <si>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</si>
  <si>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</si>
  <si>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</si>
  <si>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</si>
  <si>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</si>
  <si>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</si>
  <si>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</si>
  <si>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</si>
  <si>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</si>
  <si>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</si>
  <si>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</si>
  <si>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</si>
  <si>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</si>
  <si>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</si>
  <si>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</si>
  <si>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</si>
  <si>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</si>
  <si>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</si>
  <si>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</si>
  <si>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</si>
  <si>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</si>
  <si>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</si>
  <si>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</si>
  <si>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</si>
  <si>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</si>
  <si>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</si>
  <si>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</si>
  <si>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</si>
  <si>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</si>
  <si>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</si>
  <si>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</si>
  <si>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</si>
  <si>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</si>
  <si>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</si>
  <si>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</si>
  <si>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</si>
  <si>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</si>
  <si>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</si>
  <si>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</si>
  <si>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</si>
  <si>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</si>
  <si>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</si>
  <si>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</si>
  <si>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</si>
  <si>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</si>
  <si>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</si>
  <si>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</si>
  <si>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</si>
  <si>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</si>
  <si>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</si>
  <si>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</si>
  <si>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</si>
  <si>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</si>
  <si>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</si>
  <si>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</si>
  <si>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</si>
  <si>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</si>
  <si>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</si>
  <si>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</si>
  <si>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</si>
  <si>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</si>
  <si>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</si>
  <si>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</si>
  <si>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</si>
  <si>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</si>
  <si>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</si>
  <si>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</si>
  <si>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</si>
  <si>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</si>
  <si>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</si>
  <si>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</si>
  <si>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</si>
  <si>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</si>
  <si>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</si>
  <si>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</si>
  <si>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</si>
  <si>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</si>
  <si>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</si>
  <si>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</si>
  <si>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</si>
  <si>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</si>
  <si>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</si>
  <si>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</si>
  <si>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</si>
  <si>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</si>
  <si>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</si>
  <si>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</si>
  <si>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</si>
  <si>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</si>
  <si>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</si>
  <si>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</si>
  <si>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</si>
  <si>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</si>
  <si>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</si>
  <si>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</si>
  <si>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</si>
  <si>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</si>
  <si>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</si>
  <si>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</si>
  <si>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</si>
  <si>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</si>
  <si>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</si>
  <si>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</si>
  <si>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</si>
  <si>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</si>
  <si>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</si>
  <si>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</si>
  <si>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</si>
  <si>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</si>
  <si>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</si>
  <si>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</si>
  <si>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</si>
  <si>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</si>
  <si>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</si>
  <si>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</si>
  <si>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</si>
  <si>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</si>
  <si>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</si>
  <si>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</si>
  <si>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</si>
  <si>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</si>
  <si>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</si>
  <si>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</si>
  <si>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</si>
  <si>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</si>
  <si>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</si>
  <si>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</si>
  <si>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</si>
  <si>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</si>
  <si>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</si>
  <si>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</si>
  <si>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</si>
  <si>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</si>
  <si>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</si>
  <si>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</si>
  <si>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</si>
  <si>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</si>
  <si>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</si>
  <si>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</si>
  <si>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</si>
  <si>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</si>
  <si>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</si>
  <si>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</si>
  <si>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</si>
  <si>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</si>
  <si>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</si>
  <si>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</si>
  <si>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</si>
  <si>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</si>
  <si>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</si>
  <si>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</si>
  <si>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</si>
  <si>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</si>
  <si>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</si>
  <si>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</si>
  <si>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</si>
  <si>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</si>
  <si>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</si>
  <si>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</si>
  <si>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</si>
  <si>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</si>
  <si>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</si>
  <si>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</si>
  <si>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</si>
  <si>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</si>
  <si>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</si>
  <si>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</si>
  <si>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</si>
  <si>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</si>
  <si>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</si>
  <si>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</si>
  <si>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</si>
  <si>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</si>
  <si>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</si>
  <si>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</si>
  <si>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</si>
  <si>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</si>
  <si>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</si>
  <si>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</si>
  <si>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</si>
  <si>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</si>
  <si>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</si>
  <si>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</si>
  <si>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</si>
  <si>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</si>
  <si>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</si>
  <si>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</si>
  <si>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</si>
  <si>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</si>
  <si>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</si>
  <si>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</si>
  <si>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</si>
  <si>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</si>
  <si>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</si>
  <si>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</si>
  <si>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</si>
  <si>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</si>
  <si>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</si>
  <si>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</si>
  <si>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</si>
  <si>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</si>
  <si>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</si>
  <si>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</si>
  <si>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</si>
  <si>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</si>
  <si>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</si>
  <si>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</si>
  <si>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</si>
  <si>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</si>
  <si>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</si>
  <si>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</si>
  <si>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</si>
  <si>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</si>
  <si>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</si>
  <si>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</si>
  <si>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</si>
  <si>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</si>
  <si>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</si>
  <si>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</si>
  <si>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</si>
  <si>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</si>
  <si>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</si>
  <si>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</si>
  <si>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</si>
  <si>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</si>
  <si>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</si>
  <si>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</si>
  <si>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</si>
  <si>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</si>
  <si>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</si>
  <si>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</si>
  <si>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</si>
  <si>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</si>
  <si>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</si>
  <si>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</si>
  <si>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</si>
  <si>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</si>
  <si>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</si>
  <si>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</si>
  <si>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</si>
  <si>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</si>
  <si>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</si>
  <si>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</si>
  <si>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</si>
  <si>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</si>
  <si>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</si>
  <si>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</si>
  <si>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</si>
  <si>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</si>
  <si>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</si>
  <si>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</si>
  <si>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</si>
  <si>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</si>
  <si>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</si>
  <si>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</si>
  <si>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</si>
  <si>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</si>
  <si>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</si>
  <si>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</si>
  <si>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</si>
  <si>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</si>
  <si>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</si>
  <si>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</si>
  <si>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</si>
  <si>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</si>
  <si>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</si>
  <si>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</si>
  <si>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</si>
  <si>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</si>
  <si>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</si>
  <si>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</si>
  <si>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</si>
  <si>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</si>
  <si>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</si>
  <si>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</si>
  <si>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</si>
  <si>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</si>
  <si>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</si>
  <si>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</si>
  <si>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</si>
  <si>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</si>
  <si>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</si>
  <si>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</si>
  <si>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</si>
  <si>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</si>
  <si>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</si>
  <si>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</si>
  <si>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</si>
  <si>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</si>
  <si>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</si>
  <si>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</si>
  <si>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</si>
  <si>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</si>
  <si>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</si>
  <si>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</si>
  <si>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</si>
  <si>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</si>
  <si>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</si>
  <si>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</si>
  <si>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</si>
  <si>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</si>
  <si>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</si>
  <si>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</si>
  <si>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</si>
  <si>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</si>
  <si>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</si>
  <si>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</si>
  <si>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</si>
  <si>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</si>
  <si>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</si>
  <si>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</si>
  <si>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</si>
  <si>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</si>
  <si>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</si>
  <si>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</si>
  <si>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</si>
  <si>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</si>
  <si>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</si>
  <si>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</si>
  <si>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</si>
  <si>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</si>
  <si>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</si>
  <si>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</si>
  <si>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</si>
  <si>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</si>
  <si>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</si>
  <si>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</si>
  <si>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</si>
  <si>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</si>
  <si>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</si>
  <si>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</si>
  <si>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</si>
  <si>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</si>
  <si>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</si>
  <si>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</si>
  <si>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</si>
  <si>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</si>
  <si>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</si>
  <si>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</si>
  <si>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</si>
  <si>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</si>
  <si>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</si>
  <si>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</si>
  <si>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</si>
  <si>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</si>
  <si>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</si>
  <si>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</si>
  <si>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</si>
  <si>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</si>
  <si>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</si>
  <si>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</si>
  <si>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</si>
  <si>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</si>
  <si>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</si>
  <si>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</si>
  <si>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</si>
  <si>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</si>
  <si>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</si>
  <si>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</si>
  <si>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</si>
  <si>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</si>
  <si>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</si>
  <si>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</si>
  <si>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</si>
  <si>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</si>
  <si>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</si>
  <si>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</si>
  <si>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</si>
  <si>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</si>
  <si>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</si>
  <si>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</si>
  <si>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</si>
  <si>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</si>
  <si>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</si>
  <si>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</si>
  <si>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</si>
  <si>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</si>
  <si>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</si>
  <si>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</si>
  <si>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</si>
  <si>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</si>
  <si>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</si>
  <si>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</si>
  <si>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</si>
  <si>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</si>
  <si>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</si>
  <si>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</si>
  <si>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</si>
  <si>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</si>
  <si>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</si>
  <si>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</si>
  <si>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</si>
  <si>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</si>
  <si>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</si>
  <si>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</si>
  <si>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</si>
  <si>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</si>
  <si>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</si>
  <si>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</si>
  <si>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</si>
  <si>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</si>
  <si>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</si>
  <si>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</si>
  <si>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</si>
  <si>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</si>
  <si>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</si>
  <si>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</si>
  <si>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</si>
  <si>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</si>
  <si>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</si>
  <si>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</si>
  <si>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</si>
  <si>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</si>
  <si>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</si>
  <si>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</si>
  <si>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</si>
  <si>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</si>
  <si>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</si>
  <si>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</si>
  <si>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</si>
  <si>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</si>
  <si>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</si>
  <si>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</si>
  <si>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</si>
  <si>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</si>
  <si>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</si>
  <si>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</si>
  <si>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</si>
  <si>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</si>
  <si>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</si>
  <si>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</si>
  <si>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</si>
  <si>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</si>
  <si>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</si>
  <si>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</si>
  <si>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</si>
  <si>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</si>
  <si>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</si>
  <si>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</si>
  <si>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</si>
  <si>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</si>
  <si>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</si>
  <si>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</si>
  <si>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</si>
  <si>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</si>
  <si>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</si>
  <si>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</si>
  <si>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</si>
  <si>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</si>
  <si>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</si>
  <si>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</si>
  <si>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</si>
  <si>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</si>
  <si>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</si>
  <si>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</si>
  <si>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</si>
  <si>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</si>
  <si>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</si>
  <si>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</si>
  <si>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</si>
  <si>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</si>
  <si>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</si>
  <si>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</si>
  <si>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</si>
  <si>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</si>
  <si>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</si>
  <si>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</si>
  <si>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</si>
  <si>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</si>
  <si>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</si>
  <si>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</si>
  <si>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</si>
  <si>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</si>
  <si>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</si>
  <si>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</si>
  <si>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</si>
  <si>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</si>
  <si>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</si>
  <si>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</si>
  <si>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</si>
  <si>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</si>
  <si>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</si>
  <si>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</si>
  <si>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</si>
  <si>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</si>
  <si>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</si>
  <si>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</si>
  <si>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</si>
  <si>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</si>
  <si>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</si>
  <si>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</si>
  <si>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</si>
  <si>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</si>
  <si>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</si>
  <si>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</si>
  <si>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</si>
  <si>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</si>
  <si>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</si>
  <si>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</si>
  <si>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</si>
  <si>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</si>
  <si>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</si>
  <si>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</si>
  <si>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</si>
  <si>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</si>
  <si>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</si>
  <si>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</si>
  <si>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</si>
  <si>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</si>
  <si>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</si>
  <si>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</si>
  <si>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</si>
  <si>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</si>
  <si>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</si>
  <si>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</si>
  <si>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</si>
  <si>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</si>
  <si>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</si>
  <si>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</si>
  <si>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</si>
  <si>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</si>
  <si>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</si>
  <si>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</si>
  <si>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</si>
  <si>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</si>
  <si>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</si>
  <si>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</si>
  <si>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</si>
  <si>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</si>
  <si>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</si>
  <si>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</si>
  <si>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</si>
  <si>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</si>
  <si>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</si>
  <si>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</si>
  <si>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</si>
  <si>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</si>
  <si>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</si>
  <si>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</si>
  <si>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</si>
  <si>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</si>
  <si>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</si>
  <si>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</si>
  <si>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</si>
  <si>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</si>
  <si>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</si>
  <si>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</si>
  <si>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</si>
  <si>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</si>
  <si>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</si>
  <si>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</si>
  <si>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</si>
  <si>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</si>
  <si>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</si>
  <si>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</si>
  <si>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</si>
  <si>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</si>
  <si>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</si>
  <si>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</si>
  <si>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</si>
  <si>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</si>
  <si>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</si>
  <si>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</si>
  <si>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</si>
  <si>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</si>
  <si>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</si>
  <si>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</si>
  <si>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</si>
  <si>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</si>
  <si>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</si>
  <si>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</si>
  <si>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</si>
  <si>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</si>
  <si>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</si>
  <si>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</si>
  <si>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</si>
  <si>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</si>
  <si>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</si>
  <si>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</si>
  <si>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</si>
  <si>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</si>
  <si>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</si>
  <si>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</si>
  <si>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</si>
  <si>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</si>
  <si>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</si>
  <si>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</si>
  <si>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</si>
  <si>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</si>
  <si>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</si>
  <si>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</si>
  <si>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</si>
  <si>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</si>
  <si>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</si>
  <si>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</si>
  <si>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</si>
  <si>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</si>
  <si>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</si>
  <si>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</si>
  <si>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</si>
  <si>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</si>
  <si>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</si>
  <si>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</si>
  <si>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</si>
  <si>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</si>
  <si>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</si>
  <si>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</si>
  <si>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</si>
  <si>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</si>
  <si>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</si>
  <si>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</si>
  <si>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</si>
  <si>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</si>
  <si>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</si>
  <si>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</si>
  <si>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</si>
  <si>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</si>
  <si>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</si>
  <si>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</si>
  <si>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</si>
  <si>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</si>
  <si>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</si>
  <si>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</si>
  <si>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</si>
  <si>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</si>
  <si>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</si>
  <si>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</si>
  <si>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</si>
  <si>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</si>
  <si>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</si>
  <si>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</si>
  <si>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</si>
  <si>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</si>
  <si>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</si>
  <si>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</si>
  <si>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</si>
  <si>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</si>
  <si>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</si>
  <si>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</si>
  <si>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</si>
  <si>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</si>
  <si>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</si>
  <si>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</si>
  <si>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</si>
  <si>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</si>
  <si>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</si>
  <si>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</si>
  <si>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</si>
  <si>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</si>
  <si>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</si>
  <si>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</si>
  <si>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</si>
  <si>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</si>
  <si>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</si>
  <si>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</si>
  <si>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</si>
  <si>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</si>
  <si>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</si>
  <si>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</si>
  <si>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</si>
  <si>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</si>
  <si>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</si>
  <si>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</si>
  <si>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</si>
  <si>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</si>
  <si>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</si>
  <si>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</si>
  <si>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</si>
  <si>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</si>
  <si>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</si>
  <si>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</si>
  <si>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</si>
  <si>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</si>
  <si>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</si>
  <si>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</si>
  <si>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</si>
  <si>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</si>
  <si>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</si>
  <si>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</si>
  <si>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</si>
  <si>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</si>
  <si>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</si>
  <si>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</si>
  <si>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</si>
  <si>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</si>
  <si>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</si>
  <si>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</si>
  <si>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</si>
  <si>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</si>
  <si>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</si>
  <si>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</si>
  <si>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</si>
  <si>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</si>
  <si>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</si>
  <si>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</si>
  <si>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</si>
  <si>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</si>
  <si>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</si>
  <si>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</si>
  <si>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</si>
  <si>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</si>
  <si>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</si>
  <si>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</si>
  <si>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</si>
  <si>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</si>
  <si>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</si>
  <si>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</si>
  <si>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</si>
  <si>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</si>
  <si>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</si>
  <si>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</si>
  <si>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</si>
  <si>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</si>
  <si>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</si>
  <si>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</si>
  <si>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</si>
  <si>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</si>
  <si>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</si>
  <si>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</si>
  <si>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</si>
  <si>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</si>
  <si>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</si>
  <si>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</si>
  <si>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</si>
  <si>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</si>
  <si>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</si>
  <si>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</si>
  <si>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</si>
  <si>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</si>
  <si>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</si>
  <si>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</si>
  <si>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</si>
  <si>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</si>
  <si>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</si>
  <si>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</si>
  <si>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</si>
  <si>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</si>
  <si>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</si>
  <si>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</si>
  <si>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</si>
  <si>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</si>
  <si>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</si>
  <si>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</si>
  <si>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</si>
  <si>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</si>
  <si>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</si>
  <si>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</si>
  <si>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</si>
  <si>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</si>
  <si>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</si>
  <si>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</si>
  <si>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</si>
  <si>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</si>
  <si>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</si>
  <si>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</si>
  <si>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</si>
  <si>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</si>
  <si>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</si>
  <si>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</si>
  <si>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</si>
  <si>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</si>
  <si>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</si>
  <si>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</si>
  <si>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</si>
  <si>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</si>
  <si>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</si>
  <si>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</si>
  <si>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</si>
  <si>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</si>
  <si>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</si>
  <si>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</si>
  <si>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</si>
  <si>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</si>
  <si>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</si>
  <si>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</si>
  <si>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</si>
  <si>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</si>
  <si>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</si>
  <si>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</si>
  <si>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</si>
  <si>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</si>
  <si>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</si>
  <si>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</si>
  <si>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</si>
  <si>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</si>
  <si>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</si>
  <si>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</si>
  <si>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</si>
  <si>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</si>
  <si>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</si>
  <si>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</si>
  <si>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</si>
  <si>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</si>
  <si>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</si>
  <si>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</si>
  <si>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</si>
  <si>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</si>
  <si>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</si>
  <si>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</si>
  <si>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</si>
  <si>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</si>
  <si>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</si>
  <si>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</si>
  <si>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</si>
  <si>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</si>
  <si>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</si>
  <si>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</si>
  <si>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</si>
  <si>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</si>
  <si>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</si>
  <si>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</si>
  <si>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</si>
  <si>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</si>
  <si>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</si>
  <si>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</si>
  <si>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</si>
  <si>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</si>
  <si>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</si>
  <si>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</si>
  <si>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</si>
  <si>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</si>
  <si>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</si>
  <si>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</si>
  <si>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</si>
  <si>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</si>
  <si>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</si>
  <si>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</si>
  <si>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</si>
  <si>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</si>
  <si>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</si>
  <si>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</si>
  <si>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</si>
  <si>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</si>
  <si>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</si>
  <si>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</si>
  <si>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</si>
  <si>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</si>
  <si>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</si>
  <si>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</si>
  <si>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</si>
  <si>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</si>
  <si>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</si>
  <si>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</si>
  <si>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</si>
  <si>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</si>
  <si>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</si>
  <si>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</si>
  <si>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</si>
  <si>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</si>
  <si>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</si>
  <si>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</si>
  <si>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</si>
  <si>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</si>
  <si>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</si>
  <si>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</si>
  <si>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</si>
  <si>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</si>
  <si>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</si>
  <si>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</si>
  <si>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</si>
  <si>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</si>
  <si>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</si>
  <si>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</si>
  <si>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</si>
  <si>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</si>
  <si>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</si>
  <si>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</si>
  <si>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</si>
  <si>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</si>
  <si>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</si>
  <si>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</si>
  <si>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</si>
  <si>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</si>
  <si>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</si>
  <si>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</si>
  <si>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</si>
  <si>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</si>
  <si>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</si>
  <si>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</si>
  <si>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</si>
  <si>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</si>
  <si>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</si>
  <si>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</si>
  <si>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</si>
  <si>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</si>
  <si>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</si>
  <si>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</si>
  <si>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</si>
  <si>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</si>
  <si>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</si>
  <si>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</si>
  <si>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</si>
  <si>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</si>
  <si>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</si>
  <si>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</si>
  <si>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</si>
  <si>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</si>
  <si>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</si>
  <si>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</si>
  <si>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</si>
  <si>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</si>
  <si>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</si>
  <si>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</si>
  <si>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</si>
  <si>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</si>
  <si>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</si>
  <si>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</si>
  <si>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</si>
  <si>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</si>
  <si>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</si>
  <si>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</si>
  <si>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</si>
  <si>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</si>
  <si>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</si>
  <si>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</si>
  <si>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</si>
  <si>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</si>
  <si>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</si>
  <si>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</si>
  <si>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</si>
  <si>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</si>
  <si>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</si>
  <si>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</si>
  <si>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</si>
  <si>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</si>
  <si>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</si>
  <si>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</si>
  <si>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</si>
  <si>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</si>
  <si>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</si>
  <si>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</si>
  <si>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</si>
  <si>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</si>
  <si>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</si>
  <si>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</si>
  <si>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</si>
  <si>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</si>
  <si>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</si>
  <si>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</si>
  <si>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</si>
  <si>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</si>
  <si>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</si>
  <si>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</si>
  <si>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</si>
  <si>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</si>
  <si>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</si>
  <si>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</si>
  <si>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</si>
  <si>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</si>
  <si>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</si>
  <si>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</si>
  <si>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</si>
  <si>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</si>
  <si>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</si>
  <si>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</si>
  <si>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</si>
  <si>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</si>
  <si>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</si>
  <si>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</si>
  <si>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</si>
  <si>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</si>
  <si>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</si>
  <si>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</si>
  <si>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</si>
  <si>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</si>
  <si>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</si>
  <si>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</si>
  <si>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</si>
  <si>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</si>
  <si>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</si>
  <si>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</si>
  <si>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</si>
  <si>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</si>
  <si>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</si>
  <si>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</si>
  <si>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</si>
  <si>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</si>
  <si>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</si>
  <si>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</si>
  <si>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</si>
  <si>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</si>
  <si>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</si>
  <si>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</si>
  <si>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</si>
  <si>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</si>
  <si>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</si>
  <si>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</si>
  <si>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</si>
  <si>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</si>
  <si>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</si>
  <si>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</si>
  <si>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</si>
  <si>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</si>
  <si>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</si>
  <si>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</si>
  <si>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</si>
  <si>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</si>
  <si>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</si>
  <si>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</si>
  <si>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</si>
  <si>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</si>
  <si>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</si>
  <si>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</si>
  <si>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</si>
  <si>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</si>
  <si>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</si>
  <si>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</si>
  <si>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</si>
  <si>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</si>
  <si>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</si>
  <si>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</si>
  <si>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</si>
  <si>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</si>
  <si>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</si>
  <si>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</si>
  <si>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</si>
  <si>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</si>
  <si>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</si>
  <si>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</si>
  <si>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</si>
  <si>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</si>
  <si>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</si>
  <si>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</si>
  <si>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</si>
  <si>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</si>
  <si>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</si>
  <si>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</si>
  <si>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</si>
  <si>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</si>
  <si>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</si>
  <si>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</si>
  <si>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</si>
  <si>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</si>
  <si>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</si>
  <si>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</si>
  <si>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</si>
  <si>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</si>
  <si>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</si>
  <si>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</si>
  <si>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</si>
  <si>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</si>
  <si>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</si>
  <si>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</si>
  <si>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</si>
  <si>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</si>
  <si>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</si>
  <si>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</si>
  <si>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</si>
  <si>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</si>
  <si>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</si>
  <si>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</si>
  <si>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</si>
  <si>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</si>
  <si>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</si>
  <si>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</si>
  <si>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</si>
  <si>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</si>
  <si>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</si>
  <si>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</si>
  <si>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</si>
  <si>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</si>
  <si>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</si>
  <si>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</si>
  <si>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</si>
  <si>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</si>
  <si>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</si>
  <si>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</si>
  <si>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</si>
  <si>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</si>
  <si>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</si>
  <si>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</si>
  <si>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</si>
  <si>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</si>
  <si>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</si>
  <si>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</si>
  <si>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</si>
  <si>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</si>
  <si>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</si>
  <si>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</si>
  <si>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</si>
  <si>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</si>
  <si>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</si>
  <si>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</si>
  <si>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</si>
  <si>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</si>
  <si>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</si>
  <si>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</si>
  <si>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</si>
  <si>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</si>
  <si>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</si>
  <si>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</si>
  <si>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</si>
  <si>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</si>
  <si>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</si>
  <si>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</si>
  <si>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</si>
  <si>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</si>
  <si>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</si>
  <si>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</si>
  <si>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</si>
  <si>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</si>
  <si>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</si>
  <si>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</si>
  <si>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</si>
  <si>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</si>
  <si>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</si>
  <si>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</si>
  <si>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</si>
  <si>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</si>
  <si>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</si>
  <si>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</si>
  <si>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</si>
  <si>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</si>
  <si>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</si>
  <si>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</si>
  <si>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</si>
  <si>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</si>
  <si>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</si>
  <si>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</si>
  <si>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</si>
  <si>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</si>
  <si>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</si>
  <si>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</si>
  <si>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</si>
  <si>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</si>
  <si>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</si>
  <si>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</si>
  <si>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</si>
  <si>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</si>
  <si>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</si>
  <si>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</si>
  <si>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</si>
  <si>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</si>
  <si>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</si>
  <si>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</si>
  <si>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</si>
  <si>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</si>
  <si>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</si>
  <si>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</si>
  <si>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</si>
  <si>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</si>
  <si>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</si>
  <si>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</si>
  <si>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</si>
  <si>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</si>
  <si>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</si>
  <si>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</si>
  <si>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</si>
  <si>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</si>
  <si>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</si>
  <si>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</si>
  <si>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</si>
  <si>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</si>
  <si>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</si>
  <si>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</si>
  <si>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</si>
  <si>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</si>
  <si>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</si>
  <si>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</si>
  <si>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</si>
  <si>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</si>
  <si>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</si>
  <si>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</si>
  <si>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</si>
  <si>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</si>
  <si>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</si>
  <si>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</si>
  <si>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</si>
  <si>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</si>
  <si>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</si>
  <si>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</si>
  <si>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</si>
  <si>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</si>
  <si>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</si>
  <si>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</si>
  <si>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</si>
  <si>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</si>
  <si>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</si>
  <si>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</si>
  <si>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</si>
  <si>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</si>
  <si>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</si>
  <si>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</si>
  <si>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</si>
  <si>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</si>
  <si>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</si>
  <si>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</si>
  <si>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</si>
  <si>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</si>
  <si>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</si>
  <si>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</si>
  <si>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</si>
  <si>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</si>
  <si>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</si>
  <si>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</si>
  <si>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</si>
  <si>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</si>
  <si>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</si>
  <si>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</si>
  <si>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</si>
  <si>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</si>
  <si>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</si>
  <si>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</si>
  <si>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</si>
  <si>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</si>
  <si>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</si>
  <si>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</si>
  <si>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</si>
  <si>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</si>
  <si>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</si>
  <si>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</si>
  <si>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</si>
  <si>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</si>
  <si>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</si>
  <si>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</si>
  <si>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</si>
  <si>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</si>
  <si>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</si>
  <si>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</si>
  <si>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</si>
  <si>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</si>
  <si>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</si>
  <si>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</si>
  <si>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</si>
  <si>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</si>
  <si>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</si>
  <si>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</si>
  <si>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</si>
  <si>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</si>
  <si>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</si>
  <si>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</si>
  <si>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</si>
  <si>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</si>
  <si>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</si>
  <si>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</si>
  <si>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</si>
  <si>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</si>
  <si>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</si>
  <si>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</si>
  <si>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</si>
  <si>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</si>
  <si>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</si>
  <si>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</si>
  <si>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</si>
  <si>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</si>
  <si>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</si>
  <si>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</si>
  <si>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</si>
  <si>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</si>
  <si>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</si>
  <si>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</si>
  <si>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</si>
  <si>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</si>
  <si>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</si>
  <si>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</si>
  <si>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</si>
  <si>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</si>
  <si>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</si>
  <si>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</si>
  <si>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</si>
  <si>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</si>
  <si>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</si>
  <si>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</si>
  <si>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</si>
  <si>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</si>
  <si>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</si>
  <si>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</si>
  <si>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</si>
  <si>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</si>
  <si>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</si>
  <si>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</si>
  <si>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</si>
  <si>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</si>
  <si>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</si>
  <si>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</si>
  <si>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</si>
  <si>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</si>
  <si>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</si>
  <si>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</si>
  <si>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</si>
  <si>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</si>
  <si>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</si>
  <si>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</si>
  <si>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</si>
  <si>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</si>
  <si>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</si>
  <si>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</si>
  <si>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</si>
  <si>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</si>
  <si>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</si>
  <si>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</si>
  <si>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</si>
  <si>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</si>
  <si>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</si>
  <si>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</si>
  <si>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</si>
  <si>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</si>
  <si>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</si>
  <si>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</si>
  <si>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</si>
  <si>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</si>
  <si>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</si>
  <si>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</si>
  <si>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</si>
  <si>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</si>
  <si>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</si>
  <si>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</si>
  <si>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</si>
  <si>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</si>
  <si>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</si>
  <si>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</si>
  <si>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</si>
  <si>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</si>
  <si>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</si>
  <si>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</si>
  <si>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</si>
  <si>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</si>
  <si>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</si>
  <si>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</si>
  <si>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</si>
  <si>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</si>
  <si>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</si>
  <si>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</si>
  <si>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</si>
  <si>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</si>
  <si>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</si>
  <si>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</si>
  <si>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</si>
  <si>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</si>
  <si>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</si>
  <si>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</si>
  <si>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</si>
  <si>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</si>
  <si>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</si>
  <si>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</si>
  <si>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</si>
  <si>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</si>
  <si>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</si>
  <si>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</si>
  <si>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</si>
  <si>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</si>
  <si>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</si>
  <si>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</si>
  <si>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</si>
  <si>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</si>
  <si>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</si>
  <si>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</si>
  <si>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</si>
  <si>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</si>
  <si>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</si>
  <si>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</si>
  <si>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</si>
  <si>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</si>
  <si>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</si>
  <si>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</si>
  <si>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</si>
  <si>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</si>
  <si>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</si>
  <si>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</si>
  <si>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</si>
  <si>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</si>
  <si>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</si>
  <si>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</si>
  <si>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</si>
  <si>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</si>
  <si>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</si>
  <si>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</si>
  <si>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</si>
  <si>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</si>
  <si>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</si>
  <si>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</si>
  <si>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</si>
  <si>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</si>
  <si>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</si>
  <si>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</si>
  <si>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</si>
  <si>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</si>
  <si>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</si>
  <si>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</si>
  <si>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</si>
  <si>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</si>
  <si>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</si>
  <si>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</si>
  <si>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</si>
  <si>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</si>
  <si>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</si>
  <si>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</si>
  <si>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</si>
  <si>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</si>
  <si>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</si>
  <si>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</si>
  <si>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</si>
  <si>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</si>
  <si>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</si>
  <si>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</si>
  <si>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</si>
  <si>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</si>
  <si>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</si>
  <si>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</si>
  <si>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</si>
  <si>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</si>
  <si>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</si>
  <si>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</si>
  <si>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</si>
  <si>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</si>
  <si>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</si>
  <si>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</si>
  <si>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</si>
  <si>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</si>
  <si>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</si>
  <si>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</si>
  <si>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</si>
  <si>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</si>
  <si>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</si>
  <si>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</si>
  <si>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</si>
  <si>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</si>
  <si>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</si>
  <si>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</si>
  <si>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</si>
  <si>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</si>
  <si>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</si>
  <si>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</si>
  <si>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</si>
  <si>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</si>
  <si>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</si>
  <si>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</si>
  <si>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</si>
  <si>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</si>
  <si>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</si>
  <si>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</si>
  <si>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</si>
  <si>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</si>
  <si>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</si>
  <si>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</si>
  <si>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</si>
  <si>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</si>
  <si>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</si>
  <si>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</si>
  <si>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</si>
  <si>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</si>
  <si>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</si>
  <si>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</si>
  <si>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</si>
  <si>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</si>
  <si>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</si>
  <si>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</si>
  <si>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</si>
  <si>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</si>
  <si>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</si>
  <si>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</si>
  <si>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</si>
  <si>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</si>
  <si>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</si>
  <si>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</si>
  <si>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</si>
  <si>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</si>
  <si>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</si>
  <si>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</si>
  <si>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</si>
  <si>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</si>
  <si>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</si>
  <si>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</si>
  <si>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</si>
  <si>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</si>
  <si>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</si>
  <si>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</si>
  <si>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</si>
  <si>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</si>
  <si>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</si>
  <si>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</si>
  <si>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</si>
  <si>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</si>
  <si>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</si>
  <si>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</si>
  <si>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</si>
  <si>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</si>
  <si>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</si>
  <si>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</si>
  <si>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</si>
  <si>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</si>
  <si>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</si>
  <si>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</si>
  <si>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</si>
  <si>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</si>
  <si>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</si>
  <si>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</si>
  <si>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</si>
  <si>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</si>
  <si>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</si>
  <si>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</si>
  <si>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</si>
  <si>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</si>
  <si>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</si>
  <si>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</si>
  <si>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</si>
  <si>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</si>
  <si>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</si>
  <si>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</si>
  <si>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</si>
  <si>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</si>
  <si>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</si>
  <si>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</si>
  <si>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</si>
  <si>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</si>
  <si>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</si>
  <si>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</si>
  <si>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</si>
  <si>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</si>
  <si>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</si>
  <si>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</si>
  <si>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</si>
  <si>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</si>
  <si>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</si>
  <si>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</si>
  <si>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</si>
  <si>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</si>
  <si>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</si>
  <si>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</si>
  <si>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</si>
  <si>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</si>
  <si>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</si>
  <si>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</si>
  <si>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</si>
  <si>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</si>
  <si>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</si>
  <si>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</si>
  <si>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</si>
  <si>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</si>
  <si>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</si>
  <si>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</si>
  <si>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</si>
  <si>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</si>
  <si>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</si>
  <si>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</si>
  <si>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</si>
  <si>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</si>
  <si>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</si>
  <si>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</si>
  <si>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</si>
  <si>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</si>
  <si>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</si>
  <si>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</si>
  <si>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</si>
  <si>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</si>
  <si>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</si>
  <si>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</si>
  <si>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</si>
  <si>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</si>
  <si>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</si>
  <si>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</si>
  <si>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</si>
  <si>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</si>
  <si>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</si>
  <si>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</si>
  <si>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</si>
  <si>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</si>
  <si>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</si>
  <si>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</si>
  <si>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</si>
  <si>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</si>
  <si>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</si>
  <si>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</si>
  <si>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</si>
  <si>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</si>
  <si>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</si>
  <si>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</si>
  <si>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</si>
  <si>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</si>
  <si>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</si>
  <si>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</si>
  <si>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</si>
  <si>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</si>
  <si>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</si>
  <si>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</si>
  <si>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</si>
  <si>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</si>
  <si>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</si>
  <si>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</si>
  <si>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</si>
  <si>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</si>
  <si>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</si>
  <si>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</si>
  <si>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</si>
  <si>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</si>
  <si>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</si>
  <si>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</si>
  <si>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</si>
  <si>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</si>
  <si>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</si>
  <si>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</si>
  <si>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</si>
  <si>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</si>
  <si>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</si>
  <si>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</si>
  <si>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</si>
  <si>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</si>
  <si>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</si>
  <si>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</si>
  <si>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</si>
  <si>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</si>
  <si>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</si>
  <si>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</si>
  <si>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</si>
  <si>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</si>
  <si>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</si>
  <si>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</si>
  <si>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</si>
  <si>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</si>
  <si>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</si>
  <si>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</si>
  <si>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</si>
  <si>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</si>
  <si>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</si>
  <si>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</si>
  <si>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</si>
  <si>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</si>
  <si>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</si>
  <si>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</si>
  <si>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</si>
  <si>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</si>
  <si>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</si>
  <si>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</si>
  <si>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</si>
  <si>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</si>
  <si>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</si>
  <si>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</si>
  <si>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</si>
  <si>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</si>
  <si>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</si>
  <si>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</si>
  <si>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</si>
  <si>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</si>
  <si>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</si>
  <si>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</si>
  <si>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</si>
  <si>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</si>
  <si>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</si>
  <si>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</si>
  <si>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</si>
  <si>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</si>
  <si>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</si>
  <si>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</si>
  <si>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</si>
  <si>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</si>
  <si>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</si>
  <si>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</si>
  <si>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</si>
  <si>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</si>
  <si>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</si>
  <si>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</si>
  <si>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</si>
  <si>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</si>
  <si>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</si>
  <si>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</si>
  <si>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</si>
  <si>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</si>
  <si>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</si>
  <si>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</si>
  <si>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</si>
  <si>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</si>
  <si>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</si>
  <si>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</si>
  <si>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</si>
  <si>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</si>
  <si>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</si>
  <si>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</si>
  <si>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</si>
  <si>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</si>
  <si>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</si>
  <si>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</si>
  <si>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</si>
  <si>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</si>
  <si>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</si>
  <si>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</si>
  <si>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</si>
  <si>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</si>
  <si>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</si>
  <si>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</si>
  <si>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</si>
  <si>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</si>
  <si>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</si>
  <si>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</si>
  <si>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</si>
  <si>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</si>
  <si>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</si>
  <si>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</si>
  <si>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</si>
  <si>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</si>
  <si>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</si>
  <si>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</si>
  <si>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</si>
  <si>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</si>
  <si>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</si>
  <si>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</si>
  <si>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</si>
  <si>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</si>
  <si>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</si>
  <si>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</si>
  <si>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</si>
  <si>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</si>
  <si>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</si>
  <si>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</si>
  <si>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</si>
  <si>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</si>
  <si>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</si>
  <si>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</si>
  <si>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</si>
  <si>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</si>
  <si>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</si>
  <si>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</si>
  <si>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</si>
  <si>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</si>
  <si>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</si>
  <si>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</si>
  <si>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</si>
  <si>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</si>
  <si>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</si>
  <si>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</si>
  <si>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</si>
  <si>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</si>
  <si>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</si>
  <si>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</si>
  <si>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</si>
  <si>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</si>
  <si>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</si>
  <si>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</si>
  <si>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</si>
  <si>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</si>
  <si>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</si>
  <si>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</si>
  <si>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</si>
  <si>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</si>
  <si>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</si>
  <si>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</si>
  <si>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</si>
  <si>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</si>
  <si>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</si>
  <si>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</si>
  <si>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</si>
  <si>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</si>
  <si>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</si>
  <si>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</si>
  <si>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</si>
  <si>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</si>
  <si>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</si>
  <si>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</si>
  <si>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</si>
  <si>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</si>
  <si>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</si>
  <si>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</si>
  <si>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</si>
  <si>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</si>
  <si>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</si>
  <si>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</si>
  <si>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</si>
  <si>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</si>
  <si>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</si>
  <si>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</si>
  <si>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</si>
  <si>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</si>
  <si>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</si>
  <si>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</si>
  <si>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</si>
  <si>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</si>
  <si>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</si>
  <si>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</si>
  <si>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</si>
  <si>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</si>
  <si>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</si>
  <si>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</si>
  <si>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</si>
  <si>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</si>
  <si>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</si>
  <si>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</si>
  <si>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</si>
  <si>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</si>
  <si>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</si>
  <si>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</si>
  <si>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</si>
  <si>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</si>
  <si>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</si>
  <si>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</si>
  <si>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</si>
  <si>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</si>
  <si>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</si>
  <si>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</si>
  <si>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</si>
  <si>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</si>
  <si>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</si>
  <si>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</si>
  <si>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</si>
  <si>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</si>
  <si>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</si>
  <si>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</si>
  <si>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</si>
  <si>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</si>
  <si>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</si>
  <si>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</si>
  <si>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</si>
  <si>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</si>
  <si>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</si>
  <si>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</si>
  <si>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</si>
  <si>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</si>
  <si>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</si>
  <si>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</si>
  <si>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</si>
  <si>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</si>
  <si>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</si>
  <si>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</si>
  <si>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</si>
  <si>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</si>
  <si>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</si>
  <si>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</si>
  <si>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</si>
  <si>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</si>
  <si>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</si>
  <si>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</si>
  <si>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</si>
  <si>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</si>
  <si>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</si>
  <si>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</si>
  <si>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</si>
  <si>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</si>
  <si>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</si>
  <si>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</si>
  <si>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</si>
  <si>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</si>
  <si>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</si>
  <si>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</si>
  <si>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</si>
  <si>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</si>
  <si>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</si>
  <si>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</si>
  <si>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</si>
  <si>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</si>
  <si>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</si>
  <si>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</si>
  <si>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</si>
  <si>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</si>
  <si>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</si>
  <si>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</si>
  <si>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</si>
  <si>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</si>
  <si>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</si>
  <si>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</si>
  <si>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</si>
  <si>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</si>
  <si>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</si>
  <si>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</si>
  <si>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</si>
  <si>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</si>
  <si>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</si>
  <si>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</si>
  <si>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</si>
  <si>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</si>
  <si>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</si>
  <si>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</si>
  <si>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</si>
  <si>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</si>
  <si>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</si>
  <si>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</si>
  <si>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</si>
  <si>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</si>
  <si>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</si>
  <si>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</si>
  <si>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</si>
  <si>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</si>
  <si>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</si>
  <si>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</si>
  <si>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</si>
  <si>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</si>
  <si>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</si>
  <si>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</si>
  <si>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</si>
  <si>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</si>
  <si>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</si>
  <si>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</si>
  <si>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</si>
  <si>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</si>
  <si>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</si>
  <si>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</si>
  <si>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</si>
  <si>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</si>
  <si>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</si>
  <si>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</si>
  <si>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</si>
  <si>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</si>
  <si>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</si>
  <si>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</si>
  <si>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</si>
  <si>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</si>
  <si>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</si>
  <si>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</si>
  <si>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</si>
  <si>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</si>
  <si>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</si>
  <si>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</si>
  <si>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</si>
  <si>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</si>
  <si>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</si>
  <si>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</si>
  <si>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</si>
  <si>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</si>
  <si>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</si>
  <si>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</si>
  <si>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</si>
  <si>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</si>
  <si>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</si>
  <si>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</si>
  <si>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</si>
  <si>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</si>
  <si>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</si>
  <si>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</si>
  <si>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</si>
  <si>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</si>
  <si>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</si>
  <si>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</si>
  <si>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</si>
  <si>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</si>
  <si>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</si>
  <si>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</si>
  <si>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</si>
  <si>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</si>
  <si>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</si>
  <si>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</si>
  <si>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</si>
  <si>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</si>
  <si>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</si>
  <si>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</si>
  <si>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</si>
  <si>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</si>
  <si>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</si>
  <si>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</si>
  <si>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</si>
  <si>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</si>
  <si>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</si>
  <si>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</si>
  <si>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</si>
  <si>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</si>
  <si>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</si>
  <si>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</si>
  <si>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</si>
  <si>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</si>
  <si>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</si>
  <si>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</si>
  <si>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</si>
  <si>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</si>
  <si>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</si>
  <si>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</si>
  <si>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</si>
  <si>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</si>
  <si>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</si>
  <si>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</si>
  <si>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</si>
  <si>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</si>
  <si>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</si>
  <si>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</si>
  <si>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</si>
  <si>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</si>
  <si>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</si>
  <si>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</si>
  <si>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</si>
  <si>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</si>
  <si>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</si>
  <si>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</si>
  <si>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</si>
  <si>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</si>
  <si>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</si>
  <si>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</si>
  <si>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</si>
  <si>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</si>
  <si>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</si>
  <si>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</si>
  <si>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</si>
  <si>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</si>
  <si>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</si>
  <si>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</si>
  <si>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</si>
  <si>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</si>
  <si>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</si>
  <si>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</si>
  <si>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</si>
  <si>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</si>
  <si>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</si>
  <si>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</si>
  <si>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</si>
  <si>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</si>
  <si>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</si>
  <si>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</si>
  <si>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</si>
  <si>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</si>
  <si>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</si>
  <si>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</si>
  <si>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</si>
  <si>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</si>
  <si>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</si>
  <si>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</si>
  <si>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</si>
  <si>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</si>
  <si>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</si>
  <si>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</si>
  <si>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</si>
  <si>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</si>
  <si>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</si>
  <si>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</si>
  <si>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</si>
  <si>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</si>
  <si>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</si>
  <si>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</si>
  <si>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</si>
  <si>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</si>
  <si>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</si>
  <si>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</si>
  <si>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</si>
  <si>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</si>
  <si>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</si>
  <si>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</si>
  <si>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</si>
  <si>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</si>
  <si>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</si>
  <si>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</si>
  <si>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</si>
  <si>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</si>
  <si>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</si>
  <si>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</si>
  <si>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</si>
  <si>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</si>
  <si>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</si>
  <si>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</si>
  <si>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</si>
  <si>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</si>
  <si>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</si>
  <si>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</si>
  <si>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</si>
  <si>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</si>
  <si>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</si>
  <si>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</si>
  <si>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</si>
  <si>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</si>
  <si>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</si>
  <si>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</si>
  <si>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</si>
  <si>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</si>
  <si>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</si>
  <si>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</si>
  <si>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</si>
  <si>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</si>
  <si>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</si>
  <si>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</si>
  <si>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</si>
  <si>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</si>
  <si>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</si>
  <si>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</si>
  <si>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</si>
  <si>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</si>
  <si>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</si>
  <si>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</si>
  <si>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</si>
  <si>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</si>
  <si>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</si>
  <si>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</si>
  <si>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</si>
  <si>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</si>
  <si>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</si>
  <si>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</si>
  <si>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</si>
  <si>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</si>
  <si>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</si>
  <si>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</si>
  <si>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</si>
  <si>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</si>
  <si>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</si>
  <si>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</si>
  <si>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</si>
  <si>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</si>
  <si>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</si>
  <si>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</si>
  <si>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</si>
  <si>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</si>
  <si>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</si>
  <si>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</si>
  <si>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</si>
  <si>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</si>
  <si>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</si>
  <si>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</si>
  <si>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</si>
  <si>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</si>
  <si>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</si>
  <si>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</si>
  <si>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</si>
  <si>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</si>
  <si>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</si>
  <si>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</si>
  <si>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</si>
  <si>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</si>
  <si>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</si>
  <si>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</si>
  <si>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</si>
  <si>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</si>
  <si>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</si>
  <si>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</si>
  <si>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</si>
  <si>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</si>
  <si>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</si>
  <si>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</si>
  <si>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</si>
  <si>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</si>
  <si>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</si>
  <si>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</si>
  <si>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</si>
  <si>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</si>
  <si>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</si>
  <si>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</si>
  <si>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</si>
  <si>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</si>
  <si>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</si>
  <si>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</si>
  <si>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</si>
  <si>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</si>
  <si>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</si>
  <si>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</si>
  <si>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</si>
  <si>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</si>
  <si>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</si>
  <si>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</si>
  <si>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</si>
  <si>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</si>
  <si>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</si>
  <si>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</si>
  <si>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</si>
  <si>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</si>
  <si>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</si>
  <si>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</si>
  <si>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</si>
  <si>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</si>
  <si>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</si>
  <si>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</si>
  <si>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</si>
  <si>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</si>
  <si>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</si>
  <si>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</si>
  <si>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</si>
  <si>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</si>
  <si>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</si>
  <si>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</si>
  <si>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</si>
  <si>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</si>
  <si>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</si>
  <si>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</si>
  <si>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</si>
  <si>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</si>
  <si>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</si>
  <si>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</si>
  <si>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</si>
  <si>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</si>
  <si>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</si>
  <si>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</si>
  <si>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</si>
  <si>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</si>
  <si>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</si>
  <si>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</si>
  <si>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</si>
  <si>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</si>
  <si>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</si>
  <si>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</si>
  <si>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</si>
  <si>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</si>
  <si>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</si>
  <si>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</si>
  <si>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</si>
  <si>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</si>
  <si>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</si>
  <si>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</si>
  <si>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</si>
  <si>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</si>
  <si>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</si>
  <si>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</si>
  <si>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</si>
  <si>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</si>
  <si>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</si>
  <si>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</si>
  <si>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</si>
  <si>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</si>
  <si>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</si>
  <si>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</si>
  <si>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</si>
  <si>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</si>
  <si>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</si>
  <si>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</si>
  <si>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</si>
  <si>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</si>
  <si>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</si>
  <si>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</si>
  <si>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</si>
  <si>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</si>
  <si>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</si>
  <si>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</si>
  <si>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</si>
  <si>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</si>
  <si>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</si>
  <si>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</si>
  <si>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</si>
  <si>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</si>
  <si>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</si>
  <si>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</si>
  <si>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</si>
  <si>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</si>
  <si>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</si>
  <si>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</si>
  <si>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</si>
  <si>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</si>
  <si>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</si>
  <si>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</si>
  <si>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</si>
  <si>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</si>
  <si>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</si>
  <si>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</si>
  <si>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</si>
  <si>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</si>
  <si>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</si>
  <si>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</si>
  <si>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</si>
  <si>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</si>
  <si>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</si>
  <si>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</si>
  <si>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</si>
  <si>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</si>
  <si>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</si>
  <si>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</si>
  <si>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</si>
  <si>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</si>
  <si>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</si>
  <si>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</si>
  <si>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</si>
  <si>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</si>
  <si>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</si>
  <si>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</si>
  <si>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</si>
  <si>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</si>
  <si>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</si>
  <si>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</si>
  <si>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</si>
  <si>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</si>
  <si>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</si>
  <si>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</si>
  <si>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</si>
  <si>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</si>
  <si>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</si>
  <si>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</si>
  <si>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</si>
  <si>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</si>
  <si>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</si>
  <si>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</si>
  <si>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</si>
  <si>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</si>
  <si>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</si>
  <si>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</si>
  <si>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</si>
  <si>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</si>
  <si>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</si>
  <si>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</si>
  <si>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</si>
  <si>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</si>
  <si>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</si>
  <si>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</si>
  <si>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</si>
  <si>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</si>
  <si>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</si>
  <si>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</si>
  <si>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</si>
  <si>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</si>
  <si>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</si>
  <si>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</si>
  <si>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</si>
  <si>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</si>
  <si>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</si>
  <si>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</si>
  <si>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</si>
  <si>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</si>
  <si>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</si>
  <si>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</si>
  <si>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</si>
  <si>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</si>
  <si>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</si>
  <si>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</si>
  <si>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</si>
  <si>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</si>
  <si>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</si>
  <si>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</si>
  <si>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</si>
  <si>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</si>
  <si>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</si>
  <si>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</si>
  <si>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</si>
  <si>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</si>
  <si>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</si>
  <si>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</si>
  <si>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</si>
  <si>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</si>
  <si>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</si>
  <si>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</si>
  <si>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</si>
  <si>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</si>
  <si>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</si>
  <si>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</si>
  <si>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</si>
  <si>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</si>
  <si>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</si>
  <si>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</si>
  <si>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</si>
  <si>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</si>
  <si>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</si>
  <si>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</si>
  <si>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</si>
  <si>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</si>
  <si>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</si>
  <si>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</si>
  <si>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</si>
  <si>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</si>
  <si>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</si>
  <si>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</si>
  <si>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</si>
  <si>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</si>
  <si>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</si>
  <si>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</si>
  <si>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</si>
  <si>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</si>
  <si>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</si>
  <si>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</si>
  <si>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</si>
  <si>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</si>
  <si>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</si>
  <si>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</si>
  <si>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</si>
  <si>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</si>
  <si>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</si>
  <si>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</si>
  <si>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</si>
  <si>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</si>
  <si>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</si>
  <si>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</si>
  <si>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</si>
  <si>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</si>
  <si>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</si>
  <si>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</si>
  <si>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</si>
  <si>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</si>
  <si>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</si>
  <si>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</si>
  <si>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</si>
  <si>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</si>
  <si>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</si>
  <si>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</si>
  <si>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</si>
  <si>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</si>
  <si>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</si>
  <si>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</si>
  <si>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</si>
  <si>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</si>
  <si>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</si>
  <si>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</si>
  <si>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</si>
  <si>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</si>
  <si>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</si>
  <si>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</si>
  <si>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</si>
  <si>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</si>
  <si>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</si>
  <si>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</si>
  <si>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</si>
  <si>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</si>
  <si>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</si>
  <si>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</si>
  <si>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</si>
  <si>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</si>
  <si>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</si>
  <si>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</si>
  <si>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</si>
  <si>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</si>
  <si>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</si>
  <si>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</si>
  <si>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</si>
  <si>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</si>
  <si>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</si>
  <si>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</si>
  <si>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</si>
  <si>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</si>
  <si>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</si>
  <si>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</si>
  <si>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</si>
  <si>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</si>
  <si>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</si>
  <si>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</si>
  <si>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</si>
  <si>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</si>
  <si>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</si>
  <si>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</si>
  <si>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</si>
  <si>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</si>
  <si>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</si>
  <si>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</si>
  <si>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</si>
  <si>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</si>
  <si>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</si>
  <si>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</si>
  <si>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</si>
  <si>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</si>
  <si>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</si>
  <si>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</si>
  <si>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</si>
  <si>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</si>
  <si>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</si>
  <si>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</si>
  <si>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</si>
  <si>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</si>
  <si>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</si>
  <si>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</si>
  <si>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</si>
  <si>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</si>
  <si>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</si>
  <si>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</si>
  <si>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</si>
  <si>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</si>
  <si>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</si>
  <si>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</si>
  <si>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</si>
  <si>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</si>
  <si>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</si>
  <si>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</si>
  <si>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</si>
  <si>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</si>
  <si>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</si>
  <si>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</si>
  <si>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</si>
  <si>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</si>
  <si>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</si>
  <si>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</si>
  <si>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</si>
  <si>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</si>
  <si>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</si>
  <si>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</si>
  <si>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</si>
  <si>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</si>
  <si>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</si>
  <si>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</si>
  <si>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</si>
  <si>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</si>
  <si>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</si>
  <si>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</si>
  <si>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</si>
  <si>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</si>
  <si>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</si>
  <si>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</si>
  <si>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</si>
  <si>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</si>
  <si>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</si>
  <si>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</si>
  <si>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</si>
  <si>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</si>
  <si>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</si>
  <si>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</si>
  <si>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</si>
  <si>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</si>
  <si>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</si>
  <si>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</si>
  <si>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</si>
  <si>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</si>
  <si>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</si>
  <si>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</si>
  <si>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</si>
  <si>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</si>
  <si>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</si>
  <si>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</si>
  <si>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</si>
  <si>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</si>
  <si>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</si>
  <si>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</si>
  <si>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</si>
  <si>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</si>
  <si>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</si>
  <si>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</si>
  <si>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</si>
  <si>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</si>
  <si>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</si>
  <si>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</si>
  <si>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</si>
  <si>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</si>
  <si>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</si>
  <si>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</si>
  <si>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</si>
  <si>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</si>
  <si>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</si>
  <si>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</si>
  <si>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</si>
  <si>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</si>
  <si>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</si>
  <si>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</si>
  <si>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</si>
  <si>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</si>
  <si>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</si>
  <si>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</si>
  <si>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</si>
  <si>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</si>
  <si>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</si>
  <si>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</si>
  <si>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</si>
  <si>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</si>
  <si>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</si>
  <si>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</si>
  <si>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</si>
  <si>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</si>
  <si>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</si>
  <si>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</si>
  <si>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</si>
  <si>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</si>
  <si>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</si>
  <si>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</si>
  <si>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</si>
  <si>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</si>
  <si>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</si>
  <si>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</si>
  <si>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</si>
  <si>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</si>
  <si>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</si>
  <si>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</si>
  <si>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</si>
  <si>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</si>
  <si>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</si>
  <si>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</si>
  <si>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</si>
  <si>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</si>
  <si>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</si>
  <si>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</si>
  <si>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</si>
  <si>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</si>
  <si>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</si>
  <si>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</si>
  <si>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</si>
  <si>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</si>
  <si>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</si>
  <si>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</si>
  <si>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</si>
  <si>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</si>
  <si>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</si>
  <si>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</si>
  <si>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</si>
  <si>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</si>
  <si>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</si>
  <si>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</si>
  <si>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</si>
  <si>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</si>
  <si>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</si>
  <si>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</si>
  <si>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</si>
  <si>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</si>
  <si>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</si>
  <si>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</si>
  <si>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</si>
  <si>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</si>
  <si>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</si>
  <si>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</si>
  <si>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</si>
  <si>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</si>
  <si>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</si>
  <si>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</si>
  <si>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</si>
  <si>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</si>
  <si>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</si>
  <si>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</si>
  <si>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</si>
  <si>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</si>
  <si>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</si>
  <si>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</si>
  <si>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</si>
  <si>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</si>
  <si>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</si>
  <si>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</si>
  <si>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</si>
  <si>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</si>
  <si>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</si>
  <si>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</si>
  <si>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</si>
  <si>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</si>
  <si>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</si>
  <si>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</si>
  <si>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</si>
  <si>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</si>
  <si>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</si>
  <si>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</si>
  <si>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</si>
  <si>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</si>
  <si>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</si>
  <si>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</si>
  <si>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</si>
  <si>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</si>
  <si>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</si>
  <si>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</si>
  <si>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</si>
  <si>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</si>
  <si>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</si>
  <si>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</si>
  <si>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</si>
  <si>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</si>
  <si>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</si>
  <si>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</si>
  <si>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</si>
  <si>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</si>
  <si>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</si>
  <si>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</si>
  <si>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</si>
  <si>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</si>
  <si>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</si>
  <si>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</si>
  <si>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</si>
  <si>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</si>
  <si>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</si>
  <si>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</si>
  <si>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</si>
  <si>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</si>
  <si>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</si>
  <si>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</si>
  <si>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</si>
  <si>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</si>
  <si>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</si>
  <si>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</si>
  <si>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</si>
  <si>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</si>
  <si>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</si>
  <si>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</si>
  <si>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</si>
  <si>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</si>
  <si>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</si>
  <si>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</si>
  <si>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</si>
  <si>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</si>
  <si>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</si>
  <si>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</si>
  <si>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</si>
  <si>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</si>
  <si>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</si>
  <si>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</si>
  <si>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</si>
  <si>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</si>
  <si>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</si>
  <si>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</si>
  <si>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</si>
  <si>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</si>
  <si>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</si>
  <si>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</si>
  <si>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</si>
  <si>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</si>
  <si>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</si>
  <si>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</si>
  <si>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</si>
  <si>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</si>
  <si>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</si>
  <si>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</si>
  <si>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</si>
  <si>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</si>
  <si>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</si>
  <si>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</si>
  <si>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</si>
  <si>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</si>
  <si>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</si>
  <si>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</si>
  <si>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</si>
  <si>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</si>
  <si>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</si>
  <si>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</si>
  <si>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</si>
  <si>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</si>
  <si>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</si>
  <si>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</si>
  <si>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</si>
  <si>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</si>
  <si>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</si>
  <si>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</si>
  <si>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</si>
  <si>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</si>
  <si>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</si>
  <si>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</si>
  <si>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</si>
  <si>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</si>
  <si>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</si>
  <si>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</si>
  <si>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</si>
  <si>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</si>
  <si>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</si>
  <si>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</si>
  <si>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</si>
  <si>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</si>
  <si>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</si>
  <si>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</si>
  <si>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</si>
  <si>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</si>
  <si>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</si>
  <si>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</si>
  <si>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</si>
  <si>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</si>
  <si>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</si>
  <si>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</si>
  <si>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</si>
  <si>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</si>
  <si>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</si>
  <si>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</si>
  <si>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</si>
  <si>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</si>
  <si>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</si>
  <si>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</si>
  <si>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</si>
  <si>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</si>
  <si>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</si>
  <si>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</si>
  <si>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</si>
  <si>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</si>
  <si>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</si>
  <si>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</si>
  <si>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</si>
  <si>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</si>
  <si>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</si>
  <si>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</si>
  <si>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</si>
  <si>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</si>
  <si>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</si>
  <si>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</si>
  <si>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</si>
  <si>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</si>
  <si>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</si>
  <si>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</si>
  <si>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</si>
  <si>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</si>
  <si>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</si>
  <si>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</si>
  <si>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</si>
  <si>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</si>
  <si>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</si>
  <si>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</si>
  <si>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</si>
  <si>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</si>
  <si>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</si>
  <si>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</si>
  <si>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</si>
  <si>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</si>
  <si>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</si>
  <si>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</si>
  <si>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</si>
  <si>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</si>
  <si>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</si>
  <si>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</si>
  <si>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</si>
  <si>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</si>
  <si>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</si>
  <si>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</si>
  <si>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</si>
  <si>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</si>
  <si>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</si>
  <si>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</si>
  <si>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</si>
  <si>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</si>
  <si>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</si>
  <si>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</si>
  <si>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</si>
  <si>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</si>
  <si>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</si>
  <si>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</si>
  <si>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</si>
  <si>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</si>
  <si>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</si>
  <si>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</si>
  <si>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</si>
  <si>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</si>
  <si>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</si>
  <si>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</si>
  <si>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</si>
  <si>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</si>
  <si>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</si>
  <si>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</si>
  <si>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</si>
  <si>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</si>
  <si>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</si>
  <si>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</si>
  <si>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</si>
  <si>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</si>
  <si>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</si>
  <si>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</si>
  <si>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</si>
  <si>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</si>
  <si>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</si>
  <si>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</si>
  <si>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</si>
  <si>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</si>
  <si>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</si>
  <si>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</si>
  <si>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</si>
  <si>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</si>
  <si>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</si>
  <si>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</si>
  <si>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</si>
  <si>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</si>
  <si>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</si>
  <si>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</si>
  <si>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</si>
  <si>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</si>
  <si>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</si>
  <si>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</si>
  <si>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</si>
  <si>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</si>
  <si>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</si>
  <si>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</si>
  <si>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</si>
  <si>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</si>
  <si>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</si>
  <si>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</si>
  <si>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</si>
  <si>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</si>
  <si>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</si>
  <si>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</si>
  <si>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</si>
  <si>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</si>
  <si>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</si>
  <si>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</si>
  <si>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</si>
  <si>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</si>
  <si>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</si>
  <si>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</si>
  <si>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</si>
  <si>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</si>
  <si>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</si>
  <si>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</si>
  <si>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</si>
  <si>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</si>
  <si>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</si>
  <si>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</si>
  <si>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</si>
  <si>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</si>
  <si>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</si>
  <si>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</si>
  <si>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</si>
  <si>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</si>
  <si>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</si>
  <si>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</si>
  <si>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</si>
  <si>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</si>
  <si>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</si>
  <si>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</si>
  <si>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</si>
  <si>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</si>
  <si>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</si>
  <si>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</si>
  <si>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</si>
  <si>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</si>
  <si>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</si>
  <si>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</si>
  <si>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</si>
  <si>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</si>
  <si>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</si>
  <si>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</si>
  <si>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</si>
  <si>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</si>
  <si>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</si>
  <si>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</si>
  <si>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</si>
  <si>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</si>
  <si>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</si>
  <si>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</si>
  <si>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</si>
  <si>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</si>
  <si>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</si>
  <si>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</si>
  <si>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</si>
  <si>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</si>
  <si>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</si>
  <si>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</si>
  <si>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</si>
  <si>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</si>
  <si>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</si>
  <si>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</si>
  <si>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</si>
  <si>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</si>
  <si>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</si>
  <si>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</si>
  <si>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</si>
  <si>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</si>
  <si>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</si>
  <si>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</si>
  <si>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</si>
  <si>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</si>
  <si>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</si>
  <si>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</si>
  <si>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</si>
  <si>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</si>
  <si>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</si>
  <si>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</si>
  <si>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</si>
  <si>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</si>
  <si>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</si>
  <si>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</si>
  <si>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</si>
  <si>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</si>
  <si>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</si>
  <si>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</si>
  <si>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</si>
  <si>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</si>
  <si>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</si>
  <si>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</si>
  <si>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</si>
  <si>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</si>
  <si>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</si>
  <si>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</si>
  <si>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</si>
  <si>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</si>
  <si>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</si>
  <si>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</si>
  <si>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</si>
  <si>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</si>
  <si>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</si>
  <si>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</si>
  <si>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</si>
  <si>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</si>
  <si>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</si>
  <si>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</si>
  <si>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</si>
  <si>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</si>
  <si>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</si>
  <si>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</si>
  <si>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</si>
  <si>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</si>
  <si>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</si>
  <si>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</si>
  <si>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</si>
  <si>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</si>
  <si>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</si>
  <si>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</si>
  <si>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</si>
  <si>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</si>
  <si>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</si>
  <si>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</si>
  <si>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</si>
  <si>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</si>
  <si>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</si>
  <si>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</si>
  <si>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</si>
  <si>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</si>
  <si>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</si>
  <si>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</si>
  <si>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</si>
  <si>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</si>
  <si>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</si>
  <si>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</si>
  <si>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</si>
  <si>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</si>
  <si>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</si>
  <si>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</si>
  <si>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</si>
  <si>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</si>
  <si>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</si>
  <si>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</si>
  <si>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</si>
  <si>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</si>
  <si>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</si>
  <si>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</si>
  <si>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</si>
  <si>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</si>
  <si>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</si>
  <si>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</si>
  <si>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</si>
  <si>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</si>
  <si>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</si>
  <si>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</si>
  <si>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</si>
  <si>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</si>
  <si>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</si>
  <si>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</si>
  <si>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</si>
  <si>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</si>
  <si>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</si>
  <si>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</si>
  <si>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</si>
  <si>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</si>
  <si>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</si>
  <si>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</si>
  <si>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</si>
  <si>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</si>
  <si>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</si>
  <si>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</si>
  <si>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</si>
  <si>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</si>
  <si>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</si>
  <si>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</si>
  <si>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</si>
  <si>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</si>
  <si>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</si>
  <si>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</si>
  <si>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</si>
  <si>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</si>
  <si>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</si>
  <si>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</si>
  <si>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</si>
  <si>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</si>
  <si>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</si>
  <si>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</si>
  <si>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</si>
  <si>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</si>
  <si>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</si>
  <si>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</si>
  <si>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</si>
  <si>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</si>
  <si>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</si>
  <si>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</si>
  <si>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</si>
  <si>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</si>
  <si>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</si>
  <si>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</si>
  <si>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</si>
  <si>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</si>
  <si>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</si>
  <si>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</si>
  <si>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</si>
  <si>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</si>
  <si>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</si>
  <si>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</si>
  <si>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</si>
  <si>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</si>
  <si>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</si>
  <si>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</si>
  <si>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</si>
  <si>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</si>
  <si>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</si>
  <si>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</si>
  <si>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</si>
  <si>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</si>
  <si>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</si>
  <si>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</si>
  <si>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</si>
  <si>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</si>
  <si>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</si>
  <si>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</si>
  <si>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</si>
  <si>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</si>
  <si>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</si>
  <si>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</si>
  <si>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</si>
  <si>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</si>
  <si>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</si>
  <si>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</si>
  <si>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</si>
  <si>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</si>
  <si>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</si>
  <si>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</si>
  <si>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</si>
  <si>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</si>
  <si>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</si>
  <si>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</si>
  <si>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</si>
  <si>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</si>
  <si>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</si>
  <si>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</si>
  <si>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</si>
  <si>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</si>
  <si>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</si>
  <si>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</si>
  <si>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</si>
  <si>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</si>
  <si>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</si>
  <si>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</si>
  <si>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</si>
  <si>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</si>
  <si>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</si>
  <si>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</si>
  <si>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</si>
  <si>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</si>
  <si>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</si>
  <si>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</si>
  <si>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</si>
  <si>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</si>
  <si>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</si>
  <si>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</si>
  <si>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</si>
  <si>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</si>
  <si>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</si>
  <si>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</si>
  <si>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</si>
  <si>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</si>
  <si>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</si>
  <si>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</si>
  <si>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</si>
  <si>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</si>
  <si>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</si>
  <si>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</si>
  <si>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</si>
  <si>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</si>
  <si>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</si>
  <si>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</si>
  <si>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</si>
  <si>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</si>
  <si>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</si>
  <si>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</si>
  <si>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</si>
  <si>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</si>
  <si>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</si>
  <si>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</si>
  <si>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</si>
  <si>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</si>
  <si>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</si>
  <si>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</si>
  <si>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</si>
  <si>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</si>
  <si>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</si>
  <si>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</si>
  <si>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</si>
  <si>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</si>
  <si>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</si>
  <si>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</si>
  <si>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</si>
  <si>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</si>
  <si>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</si>
  <si>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</si>
  <si>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</si>
  <si>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</si>
  <si>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</si>
  <si>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</si>
  <si>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</si>
  <si>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</si>
  <si>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</si>
  <si>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</si>
  <si>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</si>
  <si>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</si>
  <si>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</si>
  <si>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</si>
  <si>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</si>
  <si>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</si>
  <si>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</si>
  <si>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</si>
  <si>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</si>
  <si>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</si>
  <si>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</si>
  <si>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</si>
  <si>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</si>
  <si>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</si>
  <si>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</si>
  <si>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</si>
  <si>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</si>
  <si>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</si>
  <si>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</si>
  <si>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</si>
  <si>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</si>
  <si>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</si>
  <si>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</si>
  <si>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</si>
  <si>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</si>
  <si>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</si>
  <si>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</si>
  <si>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</si>
  <si>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</si>
  <si>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</si>
  <si>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</si>
  <si>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</si>
  <si>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</si>
  <si>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</si>
  <si>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</si>
  <si>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</si>
  <si>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</si>
  <si>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</si>
  <si>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</si>
  <si>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</si>
  <si>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</si>
  <si>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</si>
  <si>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</si>
  <si>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</si>
  <si>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</si>
  <si>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</si>
  <si>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</si>
  <si>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</si>
  <si>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</si>
  <si>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</si>
  <si>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</si>
  <si>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</si>
  <si>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</si>
  <si>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</si>
  <si>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</si>
  <si>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</si>
  <si>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</si>
  <si>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</si>
  <si>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</si>
  <si>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</si>
  <si>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</si>
  <si>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</si>
  <si>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</si>
  <si>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</si>
  <si>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</si>
  <si>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</si>
  <si>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</si>
  <si>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</si>
  <si>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</si>
  <si>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</si>
  <si>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</si>
  <si>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</si>
  <si>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</si>
  <si>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</si>
  <si>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</si>
  <si>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</si>
  <si>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</si>
  <si>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</si>
  <si>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</si>
  <si>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</si>
  <si>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</si>
  <si>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</si>
  <si>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</si>
  <si>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</si>
  <si>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</si>
  <si>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</si>
  <si>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</si>
  <si>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</si>
  <si>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</si>
  <si>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</si>
  <si>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</si>
  <si>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</si>
  <si>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</si>
  <si>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</si>
  <si>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</si>
  <si>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</si>
  <si>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</si>
  <si>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</si>
  <si>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</si>
  <si>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</si>
  <si>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</si>
  <si>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</si>
  <si>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</si>
  <si>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</si>
  <si>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</si>
  <si>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</si>
  <si>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</si>
  <si>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</si>
  <si>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</si>
  <si>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</si>
  <si>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</si>
  <si>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</si>
  <si>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</si>
  <si>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</si>
  <si>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</si>
  <si>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</si>
  <si>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</si>
  <si>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</si>
  <si>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</si>
  <si>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</si>
  <si>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</si>
  <si>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</si>
  <si>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</si>
  <si>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</si>
  <si>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</si>
  <si>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</si>
  <si>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</si>
  <si>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</si>
  <si>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</si>
  <si>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</si>
  <si>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</si>
  <si>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</si>
  <si>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</si>
  <si>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</si>
  <si>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</si>
  <si>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</si>
  <si>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</si>
  <si>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</si>
  <si>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</si>
  <si>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</si>
  <si>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</si>
  <si>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</si>
  <si>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</si>
  <si>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</si>
  <si>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</si>
  <si>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</si>
  <si>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</si>
  <si>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</si>
  <si>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</si>
  <si>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</si>
  <si>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</si>
  <si>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</si>
  <si>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</si>
  <si>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</si>
  <si>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</si>
  <si>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</si>
  <si>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</si>
  <si>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</si>
  <si>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</si>
  <si>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</si>
  <si>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</si>
  <si>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</si>
  <si>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</si>
  <si>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</si>
  <si>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</si>
  <si>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</si>
  <si>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</si>
  <si>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</si>
  <si>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</si>
  <si>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</si>
  <si>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</si>
  <si>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</si>
  <si>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</si>
  <si>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</si>
  <si>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</si>
  <si>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</si>
  <si>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</si>
  <si>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</si>
  <si>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</si>
  <si>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</si>
  <si>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</si>
  <si>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</si>
  <si>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</si>
  <si>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</si>
  <si>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</si>
  <si>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</si>
  <si>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</si>
  <si>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</si>
  <si>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</si>
  <si>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</si>
  <si>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</si>
  <si>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</si>
  <si>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</si>
  <si>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</si>
  <si>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</si>
  <si>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</si>
  <si>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</si>
  <si>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</si>
  <si>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</si>
  <si>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</si>
  <si>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</si>
  <si>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</si>
  <si>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</si>
  <si>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</si>
  <si>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</si>
  <si>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</si>
  <si>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</si>
  <si>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</si>
  <si>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</si>
  <si>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</si>
  <si>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</si>
  <si>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</si>
  <si>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</si>
  <si>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</si>
  <si>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</si>
  <si>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</si>
  <si>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</si>
  <si>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</si>
  <si>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</si>
  <si>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</si>
  <si>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</si>
  <si>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</si>
  <si>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</si>
  <si>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</si>
  <si>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</si>
  <si>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</si>
  <si>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</si>
  <si>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</si>
  <si>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</si>
  <si>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</si>
  <si>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</si>
  <si>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</si>
  <si>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</si>
  <si>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</si>
  <si>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</si>
  <si>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</si>
  <si>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</si>
  <si>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</si>
  <si>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</si>
  <si>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</si>
  <si>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</si>
  <si>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</si>
  <si>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</si>
  <si>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</si>
  <si>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</si>
  <si>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</si>
  <si>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</si>
  <si>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</si>
  <si>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</si>
  <si>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</si>
  <si>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</si>
  <si>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</si>
  <si>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</si>
  <si>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</si>
  <si>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</si>
  <si>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</si>
  <si>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</si>
  <si>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</si>
  <si>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</si>
  <si>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</si>
  <si>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</si>
  <si>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</si>
  <si>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</si>
  <si>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</si>
  <si>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</si>
  <si>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</si>
  <si>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</si>
  <si>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</si>
  <si>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</si>
  <si>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</si>
  <si>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</si>
  <si>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</si>
  <si>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</si>
  <si>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</si>
  <si>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</si>
  <si>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</si>
  <si>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</si>
  <si>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</si>
  <si>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</si>
  <si>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</si>
  <si>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</si>
  <si>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</si>
  <si>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</si>
  <si>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</si>
  <si>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</si>
  <si>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</si>
  <si>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</si>
  <si>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</si>
  <si>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</si>
  <si>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</si>
  <si>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</si>
  <si>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</si>
  <si>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</si>
  <si>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</si>
  <si>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</si>
  <si>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</si>
  <si>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</si>
  <si>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</si>
  <si>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</si>
  <si>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</si>
  <si>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</si>
  <si>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</si>
  <si>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</si>
  <si>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</si>
  <si>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</si>
  <si>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</si>
  <si>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</si>
  <si>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</si>
  <si>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</si>
  <si>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</si>
  <si>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</si>
  <si>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</si>
  <si>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</si>
  <si>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</si>
  <si>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</si>
  <si>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</si>
  <si>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</si>
  <si>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</si>
  <si>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</si>
  <si>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</si>
  <si>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</si>
  <si>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</si>
  <si>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</si>
  <si>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</si>
  <si>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</si>
  <si>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</si>
  <si>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</si>
  <si>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</si>
  <si>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</si>
  <si>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</si>
  <si>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</si>
  <si>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</si>
  <si>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</si>
  <si>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</si>
  <si>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</si>
  <si>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</si>
  <si>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</si>
  <si>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</si>
  <si>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</si>
  <si>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</si>
  <si>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</si>
  <si>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</si>
  <si>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</si>
  <si>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</si>
  <si>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</si>
  <si>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</si>
  <si>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</si>
  <si>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</si>
  <si>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</si>
  <si>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</si>
  <si>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</si>
  <si>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</si>
  <si>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</si>
  <si>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</si>
  <si>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</si>
  <si>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</si>
  <si>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</si>
  <si>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</si>
  <si>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</si>
  <si>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</si>
  <si>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</si>
  <si>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</si>
  <si>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</si>
  <si>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</si>
  <si>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</si>
  <si>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</si>
  <si>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</si>
  <si>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</si>
  <si>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</si>
  <si>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</si>
  <si>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</si>
  <si>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</si>
  <si>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</si>
  <si>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</si>
  <si>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</si>
  <si>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</si>
  <si>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</si>
  <si>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</si>
  <si>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</si>
  <si>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</si>
  <si>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</si>
  <si>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</si>
  <si>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</si>
  <si>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</si>
  <si>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</si>
  <si>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</si>
  <si>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</si>
  <si>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</si>
  <si>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</si>
  <si>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</si>
  <si>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</si>
  <si>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</si>
  <si>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</si>
  <si>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</si>
  <si>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</si>
  <si>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</si>
  <si>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</si>
  <si>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</si>
  <si>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</si>
  <si>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</si>
  <si>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</si>
  <si>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</si>
  <si>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</si>
  <si>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</si>
  <si>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</si>
  <si>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</si>
  <si>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</si>
  <si>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</si>
  <si>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</si>
  <si>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</si>
  <si>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</si>
  <si>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</si>
  <si>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</si>
  <si>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</si>
  <si>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</si>
  <si>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</si>
  <si>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</si>
  <si>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</si>
  <si>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</si>
  <si>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</si>
  <si>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</si>
  <si>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</si>
  <si>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</si>
  <si>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</si>
  <si>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</si>
  <si>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</si>
  <si>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</si>
  <si>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</si>
  <si>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</si>
  <si>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</si>
  <si>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</si>
  <si>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</si>
  <si>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</si>
  <si>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</si>
  <si>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</si>
  <si>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</si>
  <si>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</si>
  <si>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</si>
  <si>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</si>
  <si>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</si>
  <si>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</si>
  <si>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</si>
  <si>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</si>
  <si>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</si>
  <si>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</si>
  <si>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</si>
  <si>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</si>
  <si>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</si>
  <si>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</si>
  <si>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</si>
  <si>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</si>
  <si>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</si>
  <si>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</si>
  <si>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</si>
  <si>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</si>
  <si>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</si>
  <si>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</si>
  <si>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</si>
  <si>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</si>
  <si>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</si>
  <si>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</si>
  <si>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</si>
  <si>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</si>
  <si>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</si>
  <si>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</si>
  <si>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</si>
  <si>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</si>
  <si>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</si>
  <si>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</si>
  <si>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</si>
  <si>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</si>
  <si>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</si>
  <si>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</si>
  <si>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</si>
  <si>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</si>
  <si>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</si>
  <si>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</si>
  <si>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</si>
  <si>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</si>
  <si>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</si>
  <si>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</si>
  <si>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</si>
  <si>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</si>
  <si>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</si>
  <si>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</si>
  <si>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</si>
  <si>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</si>
  <si>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</si>
  <si>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</si>
  <si>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</si>
  <si>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</si>
  <si>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</si>
  <si>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</si>
  <si>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</si>
  <si>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</si>
  <si>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</si>
  <si>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</si>
  <si>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</si>
  <si>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</si>
  <si>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</si>
  <si>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</si>
  <si>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</si>
  <si>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</si>
  <si>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</si>
  <si>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</si>
  <si>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</si>
  <si>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</si>
  <si>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</si>
  <si>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</si>
  <si>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</si>
  <si>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</si>
  <si>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</si>
  <si>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</si>
  <si>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</si>
  <si>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</si>
  <si>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</si>
  <si>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</si>
  <si>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</si>
  <si>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</si>
  <si>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</si>
  <si>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</si>
  <si>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</si>
  <si>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</si>
  <si>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</si>
  <si>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</si>
  <si>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</si>
  <si>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</si>
  <si>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</si>
  <si>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</si>
  <si>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</si>
  <si>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</si>
  <si>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</si>
  <si>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</si>
  <si>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</si>
  <si>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</si>
  <si>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</si>
  <si>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</si>
  <si>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</si>
  <si>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</si>
  <si>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</si>
  <si>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</si>
  <si>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</si>
  <si>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</si>
  <si>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</si>
  <si>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</si>
  <si>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</si>
  <si>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</si>
  <si>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</si>
  <si>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</si>
  <si>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</si>
  <si>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</si>
  <si>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</si>
  <si>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</si>
  <si>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</si>
  <si>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</si>
  <si>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</si>
  <si>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</si>
  <si>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</si>
  <si>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</si>
  <si>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</si>
  <si>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</si>
  <si>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</si>
  <si>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</si>
  <si>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</si>
  <si>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</si>
  <si>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</si>
  <si>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</si>
  <si>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</si>
  <si>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</si>
  <si>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</si>
  <si>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</si>
  <si>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</si>
  <si>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</si>
  <si>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</si>
  <si>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</si>
  <si>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</si>
  <si>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</si>
  <si>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</si>
  <si>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</si>
  <si>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</si>
  <si>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</si>
  <si>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</si>
  <si>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</si>
  <si>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</si>
  <si>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</si>
  <si>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</si>
  <si>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</si>
  <si>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</si>
  <si>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</si>
  <si>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</si>
  <si>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</si>
  <si>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</si>
  <si>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</si>
  <si>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</si>
  <si>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</si>
  <si>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</si>
  <si>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</si>
  <si>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</si>
  <si>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</si>
  <si>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</si>
  <si>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</si>
  <si>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</si>
  <si>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</si>
  <si>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</si>
  <si>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</si>
  <si>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</si>
  <si>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</si>
  <si>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</si>
  <si>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</si>
  <si>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</si>
  <si>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</si>
  <si>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</si>
  <si>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</si>
  <si>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</si>
  <si>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</si>
  <si>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</si>
  <si>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</si>
  <si>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</si>
  <si>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</si>
  <si>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</si>
  <si>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</si>
  <si>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</si>
  <si>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</si>
  <si>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</si>
  <si>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</si>
  <si>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</si>
  <si>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</si>
  <si>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</si>
  <si>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</si>
  <si>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</si>
  <si>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</si>
  <si>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</si>
  <si>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</si>
  <si>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</si>
  <si>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</si>
  <si>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</si>
  <si>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</si>
  <si>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</si>
  <si>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</si>
  <si>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</si>
  <si>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</si>
  <si>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</si>
  <si>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</si>
  <si>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</si>
  <si>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</si>
  <si>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</si>
  <si>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</si>
  <si>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</si>
  <si>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</si>
  <si>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</si>
  <si>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</si>
  <si>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</si>
  <si>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</si>
  <si>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</si>
  <si>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</si>
  <si>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</si>
  <si>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</si>
  <si>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</si>
  <si>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</si>
  <si>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</si>
  <si>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</si>
  <si>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</si>
  <si>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</si>
  <si>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</si>
  <si>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</si>
  <si>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</si>
  <si>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</si>
  <si>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</si>
  <si>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</si>
  <si>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</si>
  <si>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</si>
  <si>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</si>
  <si>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</si>
  <si>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</si>
  <si>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</si>
  <si>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</si>
  <si>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</si>
  <si>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</si>
  <si>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</si>
  <si>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</si>
  <si>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</si>
  <si>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</si>
  <si>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</si>
  <si>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</si>
  <si>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</si>
  <si>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</si>
  <si>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</si>
  <si>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</si>
  <si>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</si>
  <si>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</si>
  <si>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</si>
  <si>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</si>
  <si>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</si>
  <si>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</si>
  <si>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</si>
  <si>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</si>
  <si>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</si>
  <si>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</si>
  <si>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</si>
  <si>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</si>
  <si>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</si>
  <si>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</si>
  <si>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</si>
  <si>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</si>
  <si>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</si>
  <si>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</si>
  <si>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</si>
  <si>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</si>
  <si>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</si>
  <si>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</si>
  <si>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</si>
  <si>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</si>
  <si>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</si>
  <si>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</si>
  <si>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</si>
  <si>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</si>
  <si>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</si>
  <si>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</si>
  <si>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</si>
  <si>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</si>
  <si>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</si>
  <si>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</si>
  <si>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</si>
  <si>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</si>
  <si>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</si>
  <si>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</si>
  <si>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</si>
  <si>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</si>
  <si>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</si>
  <si>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</si>
  <si>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</si>
  <si>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</si>
  <si>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</si>
  <si>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</si>
  <si>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</si>
  <si>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</si>
  <si>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</si>
  <si>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</si>
  <si>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</si>
  <si>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</si>
  <si>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</si>
  <si>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</si>
  <si>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</si>
  <si>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</si>
  <si>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</si>
  <si>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</si>
  <si>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</si>
  <si>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</si>
  <si>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</si>
  <si>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</si>
  <si>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</si>
  <si>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</si>
  <si>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</si>
  <si>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</si>
  <si>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</si>
  <si>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</si>
  <si>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</si>
  <si>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</si>
  <si>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</si>
  <si>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</si>
  <si>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</si>
  <si>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</si>
  <si>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</si>
  <si>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</si>
  <si>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</si>
  <si>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</si>
  <si>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</si>
  <si>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</si>
  <si>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</si>
  <si>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</si>
  <si>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</si>
  <si>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</si>
  <si>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</si>
  <si>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</si>
  <si>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</si>
  <si>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</si>
  <si>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</si>
  <si>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</si>
  <si>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</si>
  <si>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</si>
  <si>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</si>
  <si>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</si>
  <si>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</si>
  <si>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</si>
  <si>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</si>
  <si>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</si>
  <si>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</si>
  <si>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</si>
  <si>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</si>
  <si>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</si>
  <si>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</si>
  <si>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</si>
  <si>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</si>
  <si>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</si>
  <si>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</si>
  <si>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</si>
  <si>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</si>
  <si>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</si>
  <si>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</si>
  <si>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</si>
  <si>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</si>
  <si>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</si>
  <si>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</si>
  <si>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</si>
  <si>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</si>
  <si>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</si>
  <si>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</si>
  <si>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</si>
  <si>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</si>
  <si>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</si>
  <si>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</si>
  <si>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</si>
  <si>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</si>
  <si>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</si>
  <si>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</si>
  <si>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</si>
  <si>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</si>
  <si>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</si>
  <si>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</si>
  <si>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</si>
  <si>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</si>
  <si>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</si>
  <si>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</si>
  <si>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</si>
  <si>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</si>
  <si>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</si>
  <si>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</si>
  <si>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</si>
  <si>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</si>
  <si>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</si>
  <si>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</si>
  <si>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</si>
  <si>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</si>
  <si>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</si>
  <si>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</si>
  <si>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</si>
  <si>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</si>
  <si>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</si>
  <si>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</si>
  <si>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</si>
  <si>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</si>
  <si>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</si>
  <si>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</si>
  <si>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</si>
  <si>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</si>
  <si>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</si>
  <si>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</si>
  <si>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</si>
  <si>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</si>
  <si>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</si>
  <si>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</si>
  <si>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</si>
  <si>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</si>
  <si>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</si>
  <si>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</si>
  <si>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</si>
  <si>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</si>
  <si>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</si>
  <si>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</si>
  <si>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</si>
  <si>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</si>
  <si>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</si>
  <si>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</si>
  <si>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</si>
  <si>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</si>
  <si>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</si>
  <si>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</si>
  <si>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</si>
  <si>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</si>
  <si>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</si>
  <si>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</si>
  <si>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</si>
  <si>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</si>
  <si>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</si>
  <si>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</si>
  <si>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</si>
  <si>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</si>
  <si>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</si>
  <si>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</si>
  <si>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</si>
  <si>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</si>
  <si>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</si>
  <si>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</si>
  <si>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</si>
  <si>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</si>
  <si>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</si>
  <si>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</si>
  <si>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</si>
  <si>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</si>
  <si>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</si>
  <si>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</si>
  <si>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</si>
  <si>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</si>
  <si>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</si>
  <si>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</si>
  <si>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</si>
  <si>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</si>
  <si>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</si>
  <si>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</si>
  <si>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</si>
  <si>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</si>
  <si>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</si>
  <si>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</si>
  <si>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</si>
  <si>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</si>
  <si>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</si>
  <si>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</si>
  <si>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</si>
  <si>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</si>
  <si>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</si>
  <si>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</si>
  <si>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</si>
  <si>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</si>
  <si>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</si>
  <si>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</si>
  <si>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</si>
  <si>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</si>
  <si>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</si>
  <si>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</si>
  <si>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</si>
  <si>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</si>
  <si>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</si>
  <si>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</si>
  <si>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</si>
  <si>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</si>
  <si>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</si>
  <si>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</si>
  <si>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</si>
  <si>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</si>
  <si>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</si>
  <si>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</si>
  <si>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</si>
  <si>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</si>
  <si>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</si>
  <si>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</si>
  <si>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</si>
  <si>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</si>
  <si>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</si>
  <si>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</si>
  <si>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</si>
  <si>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</si>
  <si>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</si>
  <si>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</si>
  <si>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</si>
  <si>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</si>
  <si>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</si>
  <si>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</si>
  <si>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</si>
  <si>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</si>
  <si>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</si>
  <si>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</si>
  <si>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</si>
  <si>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</si>
  <si>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</si>
  <si>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</si>
  <si>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</si>
  <si>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</si>
  <si>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</si>
  <si>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</si>
  <si>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</si>
  <si>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</si>
  <si>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</si>
  <si>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</si>
  <si>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</si>
  <si>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</si>
  <si>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</si>
  <si>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</si>
  <si>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</si>
  <si>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</si>
  <si>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</si>
  <si>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</si>
  <si>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</si>
  <si>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</si>
  <si>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</si>
  <si>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</si>
  <si>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</si>
  <si>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</si>
  <si>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</si>
  <si>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</si>
  <si>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</si>
  <si>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</si>
  <si>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</si>
  <si>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</si>
  <si>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</si>
  <si>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</si>
  <si>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</si>
  <si>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</si>
  <si>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</si>
  <si>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</si>
  <si>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</si>
  <si>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</si>
  <si>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</si>
  <si>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</si>
  <si>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</si>
  <si>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</si>
  <si>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</si>
  <si>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</si>
  <si>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</si>
  <si>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</si>
  <si>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</si>
  <si>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</si>
  <si>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</si>
  <si>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</si>
  <si>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</si>
  <si>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</si>
  <si>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</si>
  <si>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</si>
  <si>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</si>
  <si>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</si>
  <si>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</si>
  <si>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</si>
  <si>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</si>
  <si>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</si>
  <si>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</si>
  <si>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</si>
  <si>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</si>
  <si>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</si>
  <si>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</si>
  <si>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</si>
  <si>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</si>
  <si>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</si>
  <si>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</si>
  <si>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</si>
  <si>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</si>
  <si>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</si>
  <si>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</si>
  <si>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</si>
  <si>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</si>
  <si>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</si>
  <si>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</si>
  <si>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</si>
  <si>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</si>
  <si>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</si>
  <si>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</si>
  <si>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</si>
  <si>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</si>
  <si>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</si>
  <si>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</si>
  <si>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</si>
  <si>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</si>
  <si>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</si>
  <si>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</si>
  <si>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</si>
  <si>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</si>
  <si>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</si>
  <si>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</si>
  <si>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</si>
  <si>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</si>
  <si>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</si>
  <si>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</si>
  <si>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</si>
  <si>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</si>
  <si>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</si>
  <si>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</si>
  <si>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</si>
  <si>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</si>
  <si>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</si>
  <si>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</si>
  <si>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</si>
  <si>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</si>
  <si>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</si>
  <si>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</si>
  <si>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</si>
  <si>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</si>
  <si>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</si>
  <si>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</si>
  <si>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</si>
  <si>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</si>
  <si>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</si>
  <si>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</si>
  <si>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</si>
  <si>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</si>
  <si>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</si>
  <si>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</si>
  <si>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</si>
  <si>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</si>
  <si>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</si>
  <si>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</si>
  <si>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</si>
  <si>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</si>
  <si>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</si>
  <si>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</si>
  <si>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</si>
  <si>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</si>
  <si>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</si>
  <si>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</si>
  <si>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</si>
  <si>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</si>
  <si>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</si>
  <si>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</si>
  <si>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</si>
  <si>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</si>
  <si>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</si>
  <si>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</si>
  <si>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</si>
  <si>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</si>
  <si>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</si>
  <si>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</si>
  <si>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</si>
  <si>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</si>
  <si>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</si>
  <si>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</si>
  <si>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</si>
  <si>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</si>
  <si>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</si>
  <si>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</si>
  <si>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</si>
  <si>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</si>
  <si>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</si>
  <si>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</si>
  <si>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</si>
  <si>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</si>
  <si>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</si>
  <si>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</si>
  <si>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</si>
  <si>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</si>
  <si>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</si>
  <si>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</si>
  <si>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</si>
  <si>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</si>
  <si>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</si>
  <si>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</si>
  <si>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</si>
  <si>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</si>
  <si>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</si>
  <si>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</si>
  <si>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</si>
  <si>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</si>
  <si>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</si>
  <si>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</si>
  <si>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</si>
  <si>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</si>
  <si>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</si>
  <si>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</si>
  <si>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</si>
  <si>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</si>
  <si>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</si>
  <si>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</si>
  <si>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</si>
  <si>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</si>
  <si>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</si>
  <si>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</si>
  <si>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</si>
  <si>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</si>
  <si>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</si>
  <si>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</si>
  <si>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</si>
  <si>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</si>
  <si>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</si>
  <si>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</si>
  <si>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</si>
  <si>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</si>
  <si>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</si>
  <si>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</si>
  <si>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</si>
  <si>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</si>
  <si>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</si>
  <si>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</si>
  <si>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</si>
  <si>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</si>
  <si>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</si>
  <si>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</si>
  <si>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</si>
  <si>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</si>
  <si>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</si>
  <si>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</si>
  <si>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</si>
  <si>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</si>
  <si>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</si>
  <si>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</si>
  <si>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</si>
  <si>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</si>
  <si>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</si>
  <si>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</si>
  <si>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</si>
  <si>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</si>
  <si>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</si>
  <si>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</si>
  <si>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</si>
  <si>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</si>
  <si>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</si>
  <si>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</si>
  <si>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</si>
  <si>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</si>
  <si>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</si>
  <si>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</si>
  <si>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</si>
  <si>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</si>
  <si>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</si>
  <si>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</si>
  <si>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</si>
  <si>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</si>
  <si>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</si>
  <si>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</si>
  <si>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</si>
  <si>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</si>
  <si>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</si>
  <si>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</si>
  <si>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</si>
  <si>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</si>
  <si>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</si>
  <si>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</si>
  <si>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</si>
  <si>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</si>
  <si>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</si>
  <si>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</si>
  <si>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</si>
  <si>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</si>
  <si>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</si>
  <si>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</si>
  <si>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</si>
  <si>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</si>
  <si>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</si>
  <si>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</si>
  <si>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</si>
  <si>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</si>
  <si>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</si>
  <si>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</si>
  <si>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</si>
  <si>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</si>
  <si>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</si>
  <si>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</si>
  <si>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</si>
  <si>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</si>
  <si>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</si>
  <si>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</si>
  <si>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</si>
  <si>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</si>
  <si>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</si>
  <si>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</si>
  <si>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</si>
  <si>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</si>
  <si>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</si>
  <si>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</si>
  <si>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</si>
  <si>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</si>
  <si>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</si>
  <si>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</si>
  <si>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</si>
  <si>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</si>
  <si>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</si>
  <si>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</si>
  <si>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</si>
  <si>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</si>
  <si>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</si>
  <si>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</si>
  <si>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</si>
  <si>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</si>
  <si>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</si>
  <si>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</si>
  <si>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</si>
  <si>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</si>
  <si>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</si>
  <si>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</si>
  <si>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</si>
  <si>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</si>
  <si>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</si>
  <si>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</si>
  <si>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</si>
  <si>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</si>
  <si>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</si>
  <si>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</si>
  <si>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</si>
  <si>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</si>
  <si>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</si>
  <si>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</si>
  <si>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</si>
  <si>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</si>
  <si>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</si>
  <si>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</si>
  <si>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</si>
  <si>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</si>
  <si>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</si>
  <si>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</si>
  <si>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</si>
  <si>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</si>
  <si>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</si>
  <si>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</si>
  <si>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</si>
  <si>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</si>
  <si>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</si>
  <si>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</si>
  <si>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</si>
  <si>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</si>
  <si>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</si>
  <si>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</si>
  <si>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</si>
  <si>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</si>
  <si>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</si>
  <si>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</si>
  <si>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</si>
  <si>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</si>
  <si>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</si>
  <si>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</si>
  <si>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</si>
  <si>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</si>
  <si>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</si>
  <si>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</si>
  <si>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</si>
  <si>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</si>
  <si>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</si>
  <si>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</si>
  <si>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</si>
  <si>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</si>
  <si>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</si>
  <si>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</si>
  <si>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</si>
  <si>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</si>
  <si>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</si>
  <si>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</si>
  <si>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</si>
  <si>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</si>
  <si>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</si>
  <si>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</si>
  <si>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</si>
  <si>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</si>
  <si>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</si>
  <si>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</si>
  <si>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</si>
  <si>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</si>
  <si>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</si>
  <si>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</si>
  <si>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</si>
  <si>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</si>
  <si>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</si>
  <si>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</si>
  <si>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</si>
  <si>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</si>
  <si>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</si>
  <si>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</si>
  <si>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</si>
  <si>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</si>
  <si>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</si>
  <si>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</si>
  <si>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</si>
  <si>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</si>
  <si>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</si>
  <si>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</si>
  <si>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</si>
  <si>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</si>
  <si>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</si>
  <si>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</si>
  <si>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</si>
  <si>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</si>
  <si>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</si>
  <si>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</si>
  <si>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</si>
  <si>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</si>
  <si>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</si>
  <si>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</si>
  <si>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</si>
  <si>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</si>
  <si>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</si>
  <si>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</si>
  <si>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</si>
  <si>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</si>
  <si>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</si>
  <si>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</si>
  <si>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</si>
  <si>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</si>
  <si>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</si>
  <si>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</si>
  <si>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</si>
  <si>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</si>
  <si>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</si>
  <si>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</si>
  <si>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</si>
  <si>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</si>
  <si>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</si>
  <si>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</si>
  <si>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</si>
  <si>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</si>
  <si>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</si>
  <si>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</si>
  <si>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</si>
  <si>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</si>
  <si>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</si>
  <si>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</si>
  <si>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</si>
  <si>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</si>
  <si>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</si>
  <si>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</si>
  <si>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</si>
  <si>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</si>
  <si>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</si>
  <si>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</si>
  <si>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</si>
  <si>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</si>
  <si>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</si>
  <si>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</si>
  <si>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</si>
  <si>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</si>
  <si>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</si>
  <si>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</si>
  <si>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</si>
  <si>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</si>
  <si>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</si>
  <si>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</si>
  <si>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</si>
  <si>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</si>
  <si>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</si>
  <si>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</si>
  <si>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</si>
  <si>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</si>
  <si>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</si>
  <si>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</si>
  <si>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</si>
  <si>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</si>
  <si>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</si>
  <si>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</si>
  <si>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</si>
  <si>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</si>
  <si>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</si>
  <si>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</si>
  <si>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</si>
  <si>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</si>
  <si>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</si>
  <si>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</si>
  <si>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</si>
  <si>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</si>
  <si>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</si>
  <si>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</si>
  <si>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</si>
  <si>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</si>
  <si>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</si>
  <si>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</si>
  <si>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</si>
  <si>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</si>
  <si>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</si>
  <si>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</si>
  <si>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</si>
  <si>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</si>
  <si>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</si>
  <si>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</si>
  <si>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</si>
  <si>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</si>
  <si>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</si>
  <si>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</si>
  <si>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</si>
  <si>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</si>
  <si>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</si>
  <si>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</si>
  <si>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</si>
  <si>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</si>
  <si>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</si>
  <si>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</si>
  <si>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</si>
  <si>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</si>
  <si>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</si>
  <si>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</si>
  <si>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</si>
  <si>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</si>
  <si>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</si>
  <si>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</si>
  <si>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</si>
  <si>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</si>
  <si>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</si>
  <si>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</si>
  <si>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</si>
  <si>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</si>
  <si>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</si>
  <si>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</si>
  <si>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</si>
  <si>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</si>
  <si>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</si>
  <si>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</si>
  <si>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</si>
  <si>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</si>
  <si>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</si>
  <si>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</si>
  <si>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</si>
  <si>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</si>
  <si>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</si>
  <si>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</si>
  <si>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</si>
  <si>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</si>
  <si>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</si>
  <si>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</si>
  <si>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</si>
  <si>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</si>
  <si>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</si>
  <si>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</si>
  <si>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</si>
  <si>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</si>
  <si>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</si>
  <si>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</si>
  <si>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</si>
  <si>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</si>
  <si>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</si>
  <si>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</si>
  <si>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</si>
  <si>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</si>
  <si>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</si>
  <si>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</si>
  <si>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</si>
  <si>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</si>
  <si>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</si>
  <si>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</si>
  <si>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</si>
  <si>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</si>
  <si>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</si>
  <si>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</si>
  <si>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</si>
  <si>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</si>
  <si>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</si>
  <si>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</si>
  <si>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</si>
  <si>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</si>
  <si>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</si>
  <si>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</si>
  <si>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</si>
  <si>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</si>
  <si>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</si>
  <si>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</si>
  <si>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</si>
  <si>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</si>
  <si>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</si>
  <si>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</si>
  <si>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</si>
  <si>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</si>
  <si>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</si>
  <si>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</si>
  <si>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</si>
  <si>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</si>
  <si>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</si>
  <si>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</si>
  <si>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</si>
  <si>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</si>
  <si>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</si>
  <si>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</si>
  <si>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</si>
  <si>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</si>
  <si>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</si>
  <si>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</si>
  <si>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</si>
  <si>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</si>
  <si>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</si>
  <si>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</si>
  <si>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</si>
  <si>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</si>
  <si>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</si>
  <si>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</si>
  <si>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</si>
  <si>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</si>
  <si>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</si>
  <si>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</si>
  <si>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</si>
  <si>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</si>
  <si>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</si>
  <si>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</si>
  <si>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</si>
  <si>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</si>
  <si>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</si>
  <si>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</si>
  <si>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</si>
  <si>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</si>
  <si>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</si>
  <si>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</si>
  <si>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</si>
  <si>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</si>
  <si>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</si>
  <si>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</si>
  <si>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</si>
  <si>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</si>
  <si>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</si>
  <si>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</si>
  <si>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</si>
  <si>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</si>
  <si>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</si>
  <si>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</si>
  <si>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</si>
  <si>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</si>
  <si>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</si>
  <si>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</si>
  <si>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</si>
  <si>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</si>
  <si>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</si>
  <si>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</si>
  <si>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</si>
  <si>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</si>
  <si>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</si>
  <si>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</si>
  <si>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</si>
  <si>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</si>
  <si>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</si>
  <si>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</si>
  <si>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</si>
  <si>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</si>
  <si>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</si>
  <si>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</si>
  <si>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</si>
  <si>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</si>
  <si>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</si>
  <si>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</si>
  <si>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</si>
  <si>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</si>
  <si>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</si>
  <si>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</si>
  <si>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</si>
  <si>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</si>
  <si>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</si>
  <si>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</si>
  <si>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</si>
  <si>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</si>
  <si>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</si>
  <si>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</si>
  <si>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</si>
  <si>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</si>
  <si>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</si>
  <si>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</si>
  <si>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</si>
  <si>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</si>
  <si>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</si>
  <si>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</si>
  <si>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</si>
  <si>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</si>
  <si>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</si>
  <si>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</si>
  <si>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</si>
  <si>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</si>
  <si>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</si>
  <si>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</si>
  <si>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</si>
  <si>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</si>
  <si>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</si>
  <si>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</si>
  <si>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</si>
  <si>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</si>
  <si>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</si>
  <si>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</si>
  <si>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</si>
  <si>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</si>
  <si>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</si>
  <si>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</si>
  <si>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</si>
  <si>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</si>
  <si>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</si>
  <si>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</si>
  <si>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</si>
  <si>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</si>
  <si>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</si>
  <si>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</si>
  <si>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</si>
  <si>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</si>
  <si>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</si>
  <si>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</si>
  <si>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</si>
  <si>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</si>
  <si>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</si>
  <si>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</si>
  <si>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</si>
  <si>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</si>
  <si>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</si>
  <si>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</si>
  <si>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</si>
  <si>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</si>
  <si>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</si>
  <si>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</si>
  <si>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</si>
  <si>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</si>
  <si>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</si>
  <si>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</si>
  <si>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</si>
  <si>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</si>
  <si>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</si>
  <si>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</si>
  <si>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</si>
  <si>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</si>
  <si>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</si>
  <si>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</si>
  <si>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</si>
  <si>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</si>
  <si>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</si>
  <si>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</si>
  <si>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</si>
  <si>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</si>
  <si>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</si>
  <si>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</si>
  <si>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</si>
  <si>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</si>
  <si>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</si>
  <si>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</si>
  <si>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</si>
  <si>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</si>
  <si>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</si>
  <si>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</si>
  <si>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</si>
  <si>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</si>
  <si>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</si>
  <si>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</si>
  <si>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</si>
  <si>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</si>
  <si>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</si>
  <si>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</si>
  <si>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</si>
  <si>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</si>
  <si>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</si>
  <si>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</si>
  <si>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</si>
  <si>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</si>
  <si>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</si>
  <si>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</si>
  <si>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</si>
  <si>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</si>
  <si>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</si>
  <si>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</si>
  <si>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</si>
  <si>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</si>
  <si>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</si>
  <si>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</si>
  <si>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</si>
  <si>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</si>
  <si>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</si>
  <si>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</si>
  <si>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</si>
  <si>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</si>
  <si>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</si>
  <si>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</si>
  <si>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</si>
  <si>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</si>
  <si>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</si>
  <si>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</si>
  <si>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</si>
  <si>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</si>
  <si>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</si>
  <si>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</si>
  <si>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</si>
  <si>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</si>
  <si>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</si>
  <si>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</si>
  <si>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</si>
  <si>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</si>
  <si>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</si>
  <si>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</si>
  <si>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</si>
  <si>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</si>
  <si>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</si>
  <si>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</si>
  <si>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</si>
  <si>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</si>
  <si>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</si>
  <si>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</si>
  <si>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</si>
  <si>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</si>
  <si>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</si>
  <si>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</si>
  <si>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</si>
  <si>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</si>
  <si>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</si>
  <si>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</si>
  <si>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</si>
  <si>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</si>
  <si>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</si>
  <si>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</si>
  <si>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</si>
  <si>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</si>
  <si>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</si>
  <si>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</si>
  <si>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</si>
  <si>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</si>
  <si>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</si>
  <si>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</si>
  <si>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</si>
  <si>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</si>
  <si>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</si>
  <si>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</si>
  <si>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</si>
  <si>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</si>
  <si>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</si>
  <si>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</si>
  <si>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</si>
  <si>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</si>
  <si>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</si>
  <si>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</si>
  <si>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</si>
  <si>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</si>
  <si>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</si>
  <si>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</si>
  <si>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</si>
  <si>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</si>
  <si>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</si>
  <si>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</si>
  <si>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</si>
  <si>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</si>
  <si>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</si>
  <si>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</si>
  <si>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</si>
  <si>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</si>
  <si>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</si>
  <si>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</si>
  <si>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</si>
  <si>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</si>
  <si>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</si>
  <si>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</si>
  <si>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</si>
  <si>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</si>
  <si>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</si>
  <si>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</si>
  <si>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</si>
  <si>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</si>
  <si>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</si>
  <si>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</si>
  <si>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</si>
  <si>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</si>
  <si>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</si>
  <si>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</si>
  <si>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</si>
  <si>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</si>
  <si>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</si>
  <si>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</si>
  <si>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</si>
  <si>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</si>
  <si>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</si>
  <si>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</si>
  <si>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</si>
  <si>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</si>
  <si>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</si>
  <si>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</si>
  <si>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</si>
  <si>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</si>
  <si>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</si>
  <si>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</si>
  <si>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</si>
  <si>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</si>
  <si>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</si>
  <si>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</si>
  <si>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</si>
  <si>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</si>
  <si>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</si>
  <si>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</si>
  <si>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</si>
  <si>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</si>
  <si>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</si>
  <si>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</si>
  <si>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</si>
  <si>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</si>
  <si>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</si>
  <si>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</si>
  <si>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</si>
  <si>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</si>
  <si>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</si>
  <si>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</si>
  <si>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</si>
  <si>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</si>
  <si>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</si>
  <si>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</si>
  <si>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</si>
  <si>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</si>
  <si>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</si>
  <si>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</si>
  <si>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</si>
  <si>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</si>
  <si>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</si>
  <si>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</si>
  <si>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</si>
  <si>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</si>
  <si>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</si>
  <si>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</si>
  <si>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</si>
  <si>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</si>
  <si>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</si>
  <si>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</si>
  <si>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</si>
  <si>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</si>
  <si>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</si>
  <si>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</si>
  <si>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</si>
  <si>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</si>
  <si>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</si>
  <si>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</si>
  <si>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</si>
  <si>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</si>
  <si>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</si>
  <si>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</si>
  <si>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</si>
  <si>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</si>
  <si>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</si>
  <si>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</si>
  <si>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</si>
  <si>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</si>
  <si>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</si>
  <si>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</si>
  <si>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</si>
  <si>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</si>
  <si>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</si>
  <si>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</si>
  <si>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</si>
  <si>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</si>
  <si>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</si>
  <si>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</si>
  <si>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</si>
  <si>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</si>
  <si>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</si>
  <si>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</si>
  <si>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</si>
  <si>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</si>
  <si>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</si>
  <si>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</si>
  <si>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</si>
  <si>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</si>
  <si>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</si>
  <si>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</si>
  <si>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</si>
  <si>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</si>
  <si>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</si>
  <si>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</si>
  <si>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issued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</si>
  <si>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</si>
  <si>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</si>
  <si>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</si>
  <si>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</si>
  <si>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</si>
  <si>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</si>
  <si>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</si>
  <si>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</si>
  <si>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</si>
  <si>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</si>
  <si>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</si>
  <si>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</si>
  <si>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</si>
  <si>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</si>
  <si>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</si>
  <si>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</si>
  <si>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</si>
  <si>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</si>
  <si>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</si>
  <si>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</si>
  <si>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</si>
  <si>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</si>
  <si>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</si>
  <si>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</si>
  <si>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</si>
  <si>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</si>
  <si>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</si>
  <si>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</si>
  <si>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</si>
  <si>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</si>
  <si>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</si>
  <si>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</si>
  <si>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</si>
  <si>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</si>
  <si>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</si>
  <si>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</si>
  <si>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</si>
  <si>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</si>
  <si>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</si>
  <si>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</si>
  <si>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</si>
  <si>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</si>
  <si>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</si>
  <si>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</si>
  <si>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</si>
  <si>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</si>
  <si>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</si>
  <si>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</si>
  <si>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</si>
  <si>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</si>
  <si>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</si>
  <si>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</si>
  <si>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</si>
  <si>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</si>
  <si>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</si>
  <si>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</si>
  <si>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</si>
  <si>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</si>
  <si>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</si>
  <si>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</si>
  <si>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27-01-2026`</t>
  </si>
  <si>
    <t>activated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</si>
</sst>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96" totalsRowShown="0" headerRowDxfId="86" dataDxfId="85">
  <autoFilter ref="A1:R396" xr:uid="{97E63F84-BDFB-4C38-B1FD-28318E0D1D3F}"/>
  <tableColumns count="18">
    <tableColumn id="1" xr3:uid="{DEBB3640-E433-4779-93BC-95B8FB492623}" name="S.NO" dataDxfId="84">
      <calculatedColumnFormula>ROW()-1</calculatedColumnFormula>
    </tableColumn>
    <tableColumn id="13" xr3:uid="{86C56767-9BFE-4154-9FC1-CEA7C183815E}" name="APPLICATION NO." dataDxfId="83"/>
    <tableColumn id="2" xr3:uid="{6ABB4EDF-0F58-40D7-979C-D37D8D91A6BC}" name="CHASSIS" dataDxfId="82"/>
    <tableColumn id="17" xr3:uid="{0BBF5E4D-B8B0-4055-8D5F-3A6BB4D4A4DA}" name="ENGINE NO." dataDxfId="81"/>
    <tableColumn id="3" xr3:uid="{285CC4F4-4CD1-4FFC-A101-ED051DA40438}" name="NAME" dataDxfId="80"/>
    <tableColumn id="4" xr3:uid="{28DC8B59-EFA0-4502-86B0-033B0B60D615}" name="MODEL" dataDxfId="79"/>
    <tableColumn id="14" xr3:uid="{B25F5A6A-3B72-4772-B75C-D86670F35131}" name="COLOR" dataDxfId="78"/>
    <tableColumn id="15" xr3:uid="{22F5E9AE-FC4E-4EBD-ADBF-5C93F85B331F}" name="RTO" dataDxfId="77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6"/>
    <tableColumn id="6" xr3:uid="{9942893D-0703-456F-8072-CD136C7B4052}" name="DATE OF REG" dataDxfId="75"/>
    <tableColumn id="12" xr3:uid="{CC83ADC7-1924-4CE0-83FB-B2DFBEF7A193}" name="CONTACT" dataDxfId="74"/>
    <tableColumn id="7" xr3:uid="{3AD2B0D9-D7A5-46E0-B596-F6B7F1CDDEA6}" name="DSE" dataDxfId="73"/>
    <tableColumn id="8" xr3:uid="{475221AE-3FDC-4CED-B76C-4DA1DD4F8AD9}" name="RC RECEIVED BY" dataDxfId="72"/>
    <tableColumn id="9" xr3:uid="{F594ED7D-6966-47AC-A5C3-25754B73A3CC}" name="DATE" dataDxfId="71"/>
    <tableColumn id="10" xr3:uid="{452E3ECD-E927-4EC7-A8A2-4A866233750E}" name="FASTTAG" dataDxfId="70"/>
    <tableColumn id="11" xr3:uid="{CFEE5573-D700-4B26-B382-BCA8210C54C2}" name="DATED" dataDxfId="69"/>
    <tableColumn id="16" xr3:uid="{07363D0C-2FBE-403B-A617-BDB5768FAC43}" name="FT STATUS" dataDxfId="68"/>
    <tableColumn id="19" xr3:uid="{9456CF5E-F4D1-41FB-BAEA-332735A8583D}" name="REMARKS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6" dataDxfId="64" headerRowBorderDxfId="65" tableBorderDxfId="63">
  <autoFilter ref="A1:U1475" xr:uid="{D370B51C-D08F-47BE-AAB1-EC19B1CB5D0A}"/>
  <tableColumns count="21">
    <tableColumn id="1" xr3:uid="{F2AB5776-2910-4922-8F7A-A29B241AFBFB}" name="S.NO" dataDxfId="62"/>
    <tableColumn id="2" xr3:uid="{BD6FD91D-E737-4D6A-B00A-D80EC1A61CA8}" name="DATE" dataDxfId="61"/>
    <tableColumn id="3" xr3:uid="{523BFE7D-9361-4DD0-92B3-69A6F8F0C3E9}" name="CUSTOMER NAME" dataDxfId="60"/>
    <tableColumn id="4" xr3:uid="{D470DE80-5E84-419F-ABF9-6269311CD45E}" name="MARUTI" dataDxfId="59"/>
    <tableColumn id="5" xr3:uid="{89C10B6F-C9EE-4AD2-A610-262BFCF29B4E}" name="MODEL OR VARIANT" dataDxfId="58"/>
    <tableColumn id="6" xr3:uid="{9CB69D3E-706F-4EED-A315-D5399BE00D5C}" name="RTO" dataDxfId="57"/>
    <tableColumn id="7" xr3:uid="{2FB81954-C8D6-43B3-92E2-574B07BBFCCB}" name="VEHICLE CLASS" dataDxfId="56"/>
    <tableColumn id="8" xr3:uid="{1892A735-1187-4E6C-8786-9B173567AAD2}" name="REG. NO" dataDxfId="55"/>
    <tableColumn id="9" xr3:uid="{AFB37B1C-50E7-42BE-BC49-27B4D7E4E829}" name="VIN" dataDxfId="54"/>
    <tableColumn id="10" xr3:uid="{A3569458-1056-4E90-B079-94E3430A5743}" name="APPLICATION NO." dataDxfId="53"/>
    <tableColumn id="11" xr3:uid="{E25E7D92-4EC4-485D-93B8-A15B0538604A}" name="RTO AMMOUNT " dataDxfId="52"/>
    <tableColumn id="12" xr3:uid="{DB89535A-8F36-4EF8-B62C-86ABB378F51F}" name="HSRP" dataDxfId="51"/>
    <tableColumn id="13" xr3:uid="{6BD25826-954F-49C4-BE9E-24422B1B85BE}" name="ACCOUNT" dataDxfId="50"/>
    <tableColumn id="14" xr3:uid="{974951AE-D99C-487A-9DB5-065DA8DD25D4}" name="RM NAME" dataDxfId="49"/>
    <tableColumn id="15" xr3:uid="{FA4014CD-BE60-4554-9D6D-C0CC54B2CA05}" name="PAYMENT MODE" dataDxfId="48"/>
    <tableColumn id="16" xr3:uid="{84C48B22-72C9-4BD7-86AD-D8ECD87C3A64}" name="FILE PUNCHED BY" dataDxfId="47"/>
    <tableColumn id="17" xr3:uid="{87E46E14-6F6C-41D4-BBF8-CEAFAFE4CA8F}" name="PAYMENT ID" dataDxfId="46"/>
    <tableColumn id="18" xr3:uid="{0F2CD467-C868-4769-B436-AE2A25413B52}" name="RC STATUS" dataDxfId="45"/>
    <tableColumn id="19" xr3:uid="{0A9FDBF9-6418-4F2B-8B46-BE05C8150A04}" name="RC GIVEN DATE" dataDxfId="44"/>
    <tableColumn id="20" xr3:uid="{3A50F2B6-47D6-4A09-AA43-188FC568EA57}" name="FASTTAG ISSUE" dataDxfId="43"/>
    <tableColumn id="21" xr3:uid="{E4802D5D-D65F-42D3-B57E-E27729185964}" name="FASTTAG ISSUE DATE 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06" totalsRowShown="0" headerRowDxfId="41" dataDxfId="40">
  <autoFilter ref="A2:H206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39"/>
    <tableColumn id="11" xr3:uid="{7AA66E15-5D81-45A6-A480-BC2F7EFDEB4C}" name="Name" dataDxfId="38"/>
    <tableColumn id="10" xr3:uid="{DA1D923C-25B3-4F76-823C-435E6464FF55}" name="Contact" dataDxfId="37"/>
    <tableColumn id="2" xr3:uid="{5FEBD558-5EB7-4421-BA25-DCAC1134B168}" name="Barcode No." dataDxfId="36"/>
    <tableColumn id="12" xr3:uid="{77758C8B-F2C8-47C0-B104-570729F9693B}" name="Reg Num" dataDxfId="35"/>
    <tableColumn id="5" xr3:uid="{9AC97A3F-3009-4A59-ACCF-A178780E6F61}" name="Date" dataDxfId="34"/>
    <tableColumn id="7" xr3:uid="{82C8F4C5-8489-4228-83CC-0B9666328CDD}" name="CHANNEL" dataDxfId="33"/>
    <tableColumn id="8" xr3:uid="{DDF1FC61-A0D6-46E9-9515-6DDC5AB1E932}" name="Status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1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0"/>
    <tableColumn id="2" xr3:uid="{1E57C5CE-907A-4DF0-BCA2-BBCD2651216C}" name="APPLICATION NO." dataDxfId="29"/>
    <tableColumn id="3" xr3:uid="{F626713A-3C61-423D-BD37-451203C3E29C}" name="CHASSIS" dataDxfId="28"/>
    <tableColumn id="4" xr3:uid="{32C5A048-ADD8-4648-8106-9F20D6757D66}" name="NAME" dataDxfId="27"/>
    <tableColumn id="5" xr3:uid="{BA1FDE8E-99ED-4918-A545-B2E041B306D6}" name="MODEL" dataDxfId="26"/>
    <tableColumn id="6" xr3:uid="{872ECA2D-515D-4EDE-B60A-82A8BDEFEDCC}" name="COLOR" dataDxfId="25"/>
    <tableColumn id="7" xr3:uid="{C729A2AA-8F61-4959-9BE7-9F1BD3A49990}" name="RTO" dataDxfId="24"/>
    <tableColumn id="8" xr3:uid="{49CDED17-8118-4E4F-BBF5-6407D0788647}" name="REG NUM" dataDxfId="23"/>
    <tableColumn id="9" xr3:uid="{6E044422-F791-464A-944A-0668F0C8112F}" name="DATE OF REG" dataDxfId="22"/>
    <tableColumn id="11" xr3:uid="{942D52E6-8B19-4B1A-ADDF-6D959D8E7BE1}" name="DSE" dataDxfId="21"/>
    <tableColumn id="12" xr3:uid="{04B58679-3282-4D6D-BF3E-2233E3C4DC81}" name="RC RECEIVED BY" dataDxfId="2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9" tableBorderDxfId="18" totalsRowBorderDxfId="17">
  <autoFilter ref="B27:E32" xr:uid="{859DCBAE-920B-4469-9E0B-BF5ADC0248E9}"/>
  <tableColumns count="4">
    <tableColumn id="1" xr3:uid="{898528DA-B3AC-435C-B00C-9234887E5F11}" name="REG NUM" dataDxfId="16"/>
    <tableColumn id="2" xr3:uid="{89440296-A536-440E-A74B-186B5A98AE6C}" name="DATE OF REG" dataDxfId="15"/>
    <tableColumn id="3" xr3:uid="{7A04E3EB-93DA-4428-AB0C-3D251E144655}" name="RC RECEIVED BY" dataDxfId="14"/>
    <tableColumn id="4" xr3:uid="{0D350352-EB5F-413B-8CE6-3B46D80C3172}" name="DATE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74"/>
  <sheetViews>
    <sheetView tabSelected="1" topLeftCell="G378" zoomScaleNormal="100" workbookViewId="0">
      <selection activeCell="N394" sqref="N39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8243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8239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8248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8239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8250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8251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8280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8252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8249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8227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8253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8239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8252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8254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8239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8239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8255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8256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8257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8252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8258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8259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8260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8252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8261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8262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8244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7715</v>
      </c>
      <c r="N301" s="48">
        <v>46042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 t="s">
        <v>7715</v>
      </c>
      <c r="N304" s="48">
        <v>46046</v>
      </c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8391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 t="s">
        <v>8017</v>
      </c>
      <c r="N315" s="48">
        <v>46044</v>
      </c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 t="s">
        <v>8017</v>
      </c>
      <c r="N316" s="48">
        <v>46044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8241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 t="s">
        <v>8342</v>
      </c>
      <c r="N328" s="48">
        <v>46042</v>
      </c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 t="s">
        <v>7715</v>
      </c>
      <c r="N329" s="48">
        <v>46041</v>
      </c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8236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 t="s">
        <v>7715</v>
      </c>
      <c r="N354" s="48">
        <v>46043</v>
      </c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8263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8260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 t="s">
        <v>7453</v>
      </c>
      <c r="N371" s="48">
        <v>46044</v>
      </c>
      <c r="O371" s="47"/>
      <c r="P371" s="50"/>
      <c r="Q371" s="47"/>
      <c r="R371" s="47"/>
    </row>
    <row r="372" spans="1:18" x14ac:dyDescent="0.25">
      <c r="A372" s="47">
        <f t="shared" ref="A372:A396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8346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5"/>
        <v>375</v>
      </c>
      <c r="B376" s="47" t="s">
        <v>8286</v>
      </c>
      <c r="C376" s="47" t="s">
        <v>8283</v>
      </c>
      <c r="D376" s="47" t="s">
        <v>8284</v>
      </c>
      <c r="E376" s="47" t="s">
        <v>6338</v>
      </c>
      <c r="F376" s="47" t="s">
        <v>8285</v>
      </c>
      <c r="G376" s="47" t="s">
        <v>174</v>
      </c>
      <c r="H376" s="47" t="str">
        <f t="shared" si="12"/>
        <v>SRINAGAR</v>
      </c>
      <c r="I376" s="47" t="s">
        <v>8390</v>
      </c>
      <c r="J376" s="48">
        <v>46043</v>
      </c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8287</v>
      </c>
      <c r="C377" s="47" t="s">
        <v>8288</v>
      </c>
      <c r="D377" s="47" t="s">
        <v>8290</v>
      </c>
      <c r="E377" s="47" t="s">
        <v>8289</v>
      </c>
      <c r="F377" s="47" t="s">
        <v>8291</v>
      </c>
      <c r="G377" s="47" t="s">
        <v>200</v>
      </c>
      <c r="H377" s="47" t="str">
        <f t="shared" si="12"/>
        <v>SHOPIAN</v>
      </c>
      <c r="I377" s="47" t="s">
        <v>8292</v>
      </c>
      <c r="J377" s="48">
        <v>46038</v>
      </c>
      <c r="K377" s="47">
        <v>7006595403</v>
      </c>
      <c r="L377" s="47" t="s">
        <v>6570</v>
      </c>
      <c r="M377" s="49" t="s">
        <v>8334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8293</v>
      </c>
      <c r="C378" s="47" t="s">
        <v>8295</v>
      </c>
      <c r="D378" s="47" t="s">
        <v>8296</v>
      </c>
      <c r="E378" s="47" t="s">
        <v>8294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8297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8300</v>
      </c>
      <c r="C379" s="47" t="s">
        <v>8298</v>
      </c>
      <c r="D379" s="47" t="s">
        <v>8307</v>
      </c>
      <c r="E379" s="47" t="s">
        <v>8299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8326</v>
      </c>
      <c r="J379" s="48">
        <v>46042</v>
      </c>
      <c r="K379" s="47">
        <v>7022282286</v>
      </c>
      <c r="L379" s="47" t="s">
        <v>2172</v>
      </c>
      <c r="M379" s="49" t="s">
        <v>7714</v>
      </c>
      <c r="N379" s="48">
        <v>46044</v>
      </c>
      <c r="O379" s="47" t="s">
        <v>23</v>
      </c>
      <c r="P379" s="50">
        <v>46042</v>
      </c>
      <c r="Q379" s="47" t="s">
        <v>8343</v>
      </c>
      <c r="R379" s="47"/>
    </row>
    <row r="380" spans="1:18" x14ac:dyDescent="0.25">
      <c r="A380" s="47">
        <f t="shared" si="15"/>
        <v>379</v>
      </c>
      <c r="B380" s="47" t="s">
        <v>8306</v>
      </c>
      <c r="C380" s="47" t="s">
        <v>8303</v>
      </c>
      <c r="D380" s="47" t="s">
        <v>8304</v>
      </c>
      <c r="E380" s="47" t="s">
        <v>8305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8313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8310</v>
      </c>
      <c r="C381" s="47" t="s">
        <v>8308</v>
      </c>
      <c r="D381" s="47" t="s">
        <v>8309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8311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8314</v>
      </c>
      <c r="C382" s="47" t="s">
        <v>8315</v>
      </c>
      <c r="D382" s="47" t="s">
        <v>8316</v>
      </c>
      <c r="E382" s="47" t="s">
        <v>8317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8322</v>
      </c>
      <c r="J382" s="48">
        <v>46041</v>
      </c>
      <c r="K382" s="47">
        <v>9906774785</v>
      </c>
      <c r="L382" s="47" t="s">
        <v>484</v>
      </c>
      <c r="M382" s="49"/>
      <c r="N382" s="48"/>
      <c r="O382" s="47" t="s">
        <v>23</v>
      </c>
      <c r="P382" s="50">
        <v>46043</v>
      </c>
      <c r="Q382" s="47" t="s">
        <v>6460</v>
      </c>
      <c r="R382" s="47" t="s">
        <v>8374</v>
      </c>
    </row>
    <row r="383" spans="1:18" x14ac:dyDescent="0.25">
      <c r="A383" s="47">
        <f t="shared" si="15"/>
        <v>382</v>
      </c>
      <c r="B383" s="47" t="s">
        <v>8318</v>
      </c>
      <c r="C383" s="47" t="s">
        <v>8319</v>
      </c>
      <c r="D383" s="47" t="s">
        <v>8320</v>
      </c>
      <c r="E383" s="47" t="s">
        <v>8321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8323</v>
      </c>
      <c r="J383" s="48">
        <v>46041</v>
      </c>
      <c r="K383" s="47">
        <v>9797865646</v>
      </c>
      <c r="L383" s="47" t="s">
        <v>26</v>
      </c>
      <c r="M383" s="49" t="s">
        <v>8094</v>
      </c>
      <c r="N383" s="48">
        <v>46043</v>
      </c>
      <c r="O383" s="47" t="s">
        <v>23</v>
      </c>
      <c r="P383" s="50">
        <v>46042</v>
      </c>
      <c r="Q383" s="47" t="s">
        <v>6460</v>
      </c>
      <c r="R383" s="47"/>
    </row>
    <row r="384" spans="1:18" x14ac:dyDescent="0.25">
      <c r="A384" s="47">
        <f t="shared" si="15"/>
        <v>383</v>
      </c>
      <c r="B384" s="47" t="s">
        <v>8329</v>
      </c>
      <c r="C384" s="47" t="s">
        <v>8327</v>
      </c>
      <c r="D384" s="47" t="s">
        <v>8328</v>
      </c>
      <c r="E384" s="47" t="s">
        <v>3155</v>
      </c>
      <c r="F384" s="47" t="s">
        <v>12</v>
      </c>
      <c r="G384" s="47" t="s">
        <v>181</v>
      </c>
      <c r="H384" s="47" t="str">
        <f t="shared" si="12"/>
        <v>BUDGAM</v>
      </c>
      <c r="I384" s="47" t="s">
        <v>8339</v>
      </c>
      <c r="J384" s="48">
        <v>46042</v>
      </c>
      <c r="K384" s="47">
        <v>9906655656</v>
      </c>
      <c r="L384" s="47" t="s">
        <v>484</v>
      </c>
      <c r="M384" s="49" t="s">
        <v>7455</v>
      </c>
      <c r="N384" s="48">
        <v>46046</v>
      </c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 t="s">
        <v>8333</v>
      </c>
      <c r="C385" s="47" t="s">
        <v>8330</v>
      </c>
      <c r="D385" s="47" t="s">
        <v>8331</v>
      </c>
      <c r="E385" s="47" t="s">
        <v>8332</v>
      </c>
      <c r="F385" s="47" t="s">
        <v>67</v>
      </c>
      <c r="G385" s="47" t="s">
        <v>199</v>
      </c>
      <c r="H385" s="47" t="str">
        <f t="shared" si="12"/>
        <v>ANANTNAG</v>
      </c>
      <c r="I385" s="47" t="s">
        <v>8340</v>
      </c>
      <c r="J385" s="48">
        <v>46042</v>
      </c>
      <c r="K385" s="47">
        <v>8899068335</v>
      </c>
      <c r="L385" s="47" t="s">
        <v>6521</v>
      </c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 t="s">
        <v>8338</v>
      </c>
      <c r="C386" s="47" t="s">
        <v>8335</v>
      </c>
      <c r="D386" s="47" t="s">
        <v>8336</v>
      </c>
      <c r="E386" s="47" t="s">
        <v>8337</v>
      </c>
      <c r="F386" s="47" t="s">
        <v>119</v>
      </c>
      <c r="G386" s="47" t="s">
        <v>175</v>
      </c>
      <c r="H386" s="47" t="str">
        <f t="shared" si="12"/>
        <v>SHOPIAN</v>
      </c>
      <c r="I386" s="47" t="s">
        <v>8341</v>
      </c>
      <c r="J386" s="48">
        <v>46042</v>
      </c>
      <c r="K386" s="47">
        <v>7006739253</v>
      </c>
      <c r="L386" s="47" t="s">
        <v>6570</v>
      </c>
      <c r="M386" s="49"/>
      <c r="N386" s="48"/>
      <c r="O386" s="47" t="s">
        <v>23</v>
      </c>
      <c r="P386" s="50">
        <v>46043</v>
      </c>
      <c r="Q386" s="47" t="s">
        <v>8167</v>
      </c>
      <c r="R386" s="47" t="s">
        <v>8373</v>
      </c>
    </row>
    <row r="387" spans="1:18" x14ac:dyDescent="0.25">
      <c r="A387" s="47">
        <f t="shared" si="15"/>
        <v>386</v>
      </c>
      <c r="B387" s="47" t="s">
        <v>8350</v>
      </c>
      <c r="C387" s="47" t="s">
        <v>8347</v>
      </c>
      <c r="D387" s="47" t="s">
        <v>8348</v>
      </c>
      <c r="E387" s="47" t="s">
        <v>8349</v>
      </c>
      <c r="F387" s="47" t="s">
        <v>12</v>
      </c>
      <c r="G387" s="47" t="s">
        <v>181</v>
      </c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8369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 t="s">
        <v>8354</v>
      </c>
      <c r="C388" s="47" t="s">
        <v>8351</v>
      </c>
      <c r="D388" s="47" t="s">
        <v>8352</v>
      </c>
      <c r="E388" s="47" t="s">
        <v>8353</v>
      </c>
      <c r="F388" s="47" t="s">
        <v>31</v>
      </c>
      <c r="G388" s="47" t="s">
        <v>200</v>
      </c>
      <c r="H388" s="47" t="str">
        <f t="shared" si="16"/>
        <v>POONCH</v>
      </c>
      <c r="I388" s="47" t="s">
        <v>8371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 t="shared" si="15"/>
        <v>388</v>
      </c>
      <c r="B389" s="47" t="s">
        <v>8358</v>
      </c>
      <c r="C389" s="47" t="s">
        <v>8356</v>
      </c>
      <c r="D389" s="47" t="s">
        <v>8357</v>
      </c>
      <c r="E389" s="47" t="s">
        <v>8355</v>
      </c>
      <c r="F389" s="47" t="s">
        <v>31</v>
      </c>
      <c r="G389" s="47" t="s">
        <v>200</v>
      </c>
      <c r="H389" s="47" t="str">
        <f t="shared" ref="H389:H396" si="17"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POONCH</v>
      </c>
      <c r="I389" s="47" t="s">
        <v>8372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 t="shared" si="15"/>
        <v>389</v>
      </c>
      <c r="B390" s="47" t="s">
        <v>8359</v>
      </c>
      <c r="C390" s="47" t="s">
        <v>8360</v>
      </c>
      <c r="D390" s="47" t="s">
        <v>8361</v>
      </c>
      <c r="E390" s="47" t="s">
        <v>8362</v>
      </c>
      <c r="F390" s="47" t="s">
        <v>8363</v>
      </c>
      <c r="G390" s="47" t="s">
        <v>200</v>
      </c>
      <c r="H390" s="47" t="str">
        <f t="shared" si="17"/>
        <v>SHOPIAN</v>
      </c>
      <c r="I390" s="47" t="s">
        <v>8370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8373</v>
      </c>
    </row>
    <row r="391" spans="1:18" x14ac:dyDescent="0.25">
      <c r="A391" s="47">
        <f t="shared" si="15"/>
        <v>390</v>
      </c>
      <c r="B391" s="47" t="s">
        <v>8367</v>
      </c>
      <c r="C391" s="47" t="s">
        <v>8364</v>
      </c>
      <c r="D391" s="47" t="s">
        <v>8365</v>
      </c>
      <c r="E391" s="47" t="s">
        <v>8366</v>
      </c>
      <c r="F391" s="47" t="s">
        <v>8363</v>
      </c>
      <c r="G391" s="47" t="s">
        <v>200</v>
      </c>
      <c r="H391" s="47" t="str">
        <f t="shared" si="17"/>
        <v>SRINAGAR</v>
      </c>
      <c r="I391" s="47" t="s">
        <v>8368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 t="shared" si="15"/>
        <v>391</v>
      </c>
      <c r="B392" s="47" t="s">
        <v>8385</v>
      </c>
      <c r="C392" s="47" t="s">
        <v>8386</v>
      </c>
      <c r="D392" s="47" t="s">
        <v>8387</v>
      </c>
      <c r="E392" s="47" t="s">
        <v>8388</v>
      </c>
      <c r="F392" s="47" t="s">
        <v>12</v>
      </c>
      <c r="G392" s="47" t="s">
        <v>181</v>
      </c>
      <c r="H392" s="47" t="str">
        <f t="shared" si="17"/>
        <v>SRINAGAR</v>
      </c>
      <c r="I392" s="47" t="s">
        <v>8389</v>
      </c>
      <c r="J392" s="48">
        <v>46043</v>
      </c>
      <c r="K392" s="47">
        <v>7889670084</v>
      </c>
      <c r="L392" s="47" t="s">
        <v>307</v>
      </c>
      <c r="M392" s="49" t="s">
        <v>8093</v>
      </c>
      <c r="N392" s="48">
        <v>46046</v>
      </c>
      <c r="O392" s="47" t="s">
        <v>23</v>
      </c>
      <c r="P392" s="50">
        <v>46044</v>
      </c>
      <c r="Q392" s="47" t="s">
        <v>6460</v>
      </c>
      <c r="R392" s="47"/>
    </row>
    <row r="393" spans="1:18" x14ac:dyDescent="0.25">
      <c r="A393" s="47">
        <f t="shared" si="15"/>
        <v>392</v>
      </c>
      <c r="B393" s="47" t="s">
        <v>8395</v>
      </c>
      <c r="C393" s="47" t="s">
        <v>8392</v>
      </c>
      <c r="D393" s="47" t="s">
        <v>8393</v>
      </c>
      <c r="E393" s="47" t="s">
        <v>8394</v>
      </c>
      <c r="F393" s="47" t="s">
        <v>125</v>
      </c>
      <c r="G393" s="47" t="s">
        <v>174</v>
      </c>
      <c r="H393" s="47" t="str">
        <f t="shared" si="17"/>
        <v>PULWAMA</v>
      </c>
      <c r="I393" s="47" t="s">
        <v>8396</v>
      </c>
      <c r="J393" s="48">
        <v>46044</v>
      </c>
      <c r="K393" s="47">
        <v>9622626268</v>
      </c>
      <c r="L393" s="47" t="s">
        <v>6521</v>
      </c>
      <c r="M393" s="49"/>
      <c r="N393" s="48"/>
      <c r="O393" s="47"/>
      <c r="P393" s="50"/>
      <c r="Q393" s="47"/>
      <c r="R393" s="47" t="s">
        <v>8373</v>
      </c>
    </row>
    <row r="394" spans="1:18" x14ac:dyDescent="0.25">
      <c r="A394" s="47">
        <f t="shared" si="15"/>
        <v>393</v>
      </c>
      <c r="B394" s="47" t="s">
        <v>8402</v>
      </c>
      <c r="C394" s="47" t="s">
        <v>8398</v>
      </c>
      <c r="D394" s="47" t="s">
        <v>8399</v>
      </c>
      <c r="E394" s="47" t="s">
        <v>8400</v>
      </c>
      <c r="F394" s="47" t="s">
        <v>849</v>
      </c>
      <c r="G394" s="47" t="s">
        <v>200</v>
      </c>
      <c r="H394" s="47" t="str">
        <f t="shared" si="17"/>
        <v>SRINAGAR</v>
      </c>
      <c r="I394" s="47" t="s">
        <v>8401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 t="shared" si="15"/>
        <v>394</v>
      </c>
      <c r="B395" s="47"/>
      <c r="C395" s="47"/>
      <c r="D395" s="47"/>
      <c r="E395" s="47"/>
      <c r="F395" s="47"/>
      <c r="G395" s="47"/>
      <c r="H395" s="47" t="str">
        <f t="shared" si="17"/>
        <v>NEW</v>
      </c>
      <c r="I395" s="47"/>
      <c r="J395" s="48"/>
      <c r="K395" s="47"/>
      <c r="L395" s="47"/>
      <c r="M395" s="49"/>
      <c r="N395" s="48"/>
      <c r="O395" s="47"/>
      <c r="P395" s="50"/>
      <c r="Q395" s="47"/>
      <c r="R395" s="47"/>
    </row>
    <row r="396" spans="1:18" x14ac:dyDescent="0.25">
      <c r="A396" s="47">
        <f t="shared" si="15"/>
        <v>395</v>
      </c>
      <c r="B396" s="47"/>
      <c r="C396" s="47"/>
      <c r="D396" s="47"/>
      <c r="E396" s="47"/>
      <c r="F396" s="47"/>
      <c r="G396" s="47"/>
      <c r="H396" s="47" t="str">
        <f t="shared" si="17"/>
        <v>NEW</v>
      </c>
      <c r="I396" s="47"/>
      <c r="J396" s="48"/>
      <c r="K396" s="47"/>
      <c r="L396" s="47"/>
      <c r="M396" s="49"/>
      <c r="N396" s="48"/>
      <c r="O396" s="47"/>
      <c r="P396" s="50"/>
      <c r="Q396" s="47"/>
      <c r="R396" s="47"/>
    </row>
    <row r="397" spans="1:18" ht="15.75" x14ac:dyDescent="0.25">
      <c r="B397" s="47"/>
      <c r="C397" s="47"/>
      <c r="D397" s="47"/>
      <c r="E397" s="47"/>
      <c r="F397" s="47"/>
      <c r="G397" s="47"/>
      <c r="H397" s="1"/>
      <c r="I397" s="55"/>
      <c r="J397" s="19"/>
      <c r="K397" s="47"/>
      <c r="M397" t="s">
        <v>44</v>
      </c>
    </row>
    <row r="398" spans="1:18" ht="15.75" x14ac:dyDescent="0.25">
      <c r="F398" s="1"/>
      <c r="G398" s="1"/>
      <c r="H398" s="1"/>
      <c r="I398" s="20"/>
      <c r="K398" s="47"/>
    </row>
    <row r="399" spans="1:18" ht="15.75" x14ac:dyDescent="0.25">
      <c r="F399" s="1"/>
      <c r="G399" s="1"/>
      <c r="H399" s="1"/>
      <c r="I399" s="20"/>
      <c r="K399" s="47"/>
    </row>
    <row r="400" spans="1:18" ht="15.75" x14ac:dyDescent="0.25">
      <c r="F400" s="1"/>
      <c r="G400" s="1"/>
      <c r="H400" s="1"/>
      <c r="I400" s="20"/>
      <c r="K400" s="47"/>
    </row>
    <row r="401" spans="1:17" ht="15.75" x14ac:dyDescent="0.25">
      <c r="C401" s="1"/>
      <c r="D401" s="1"/>
      <c r="E401" s="1"/>
      <c r="F401" s="1"/>
      <c r="G401" s="1"/>
      <c r="H401" s="1"/>
      <c r="I401" s="20"/>
      <c r="K401" s="47"/>
    </row>
    <row r="402" spans="1:17" x14ac:dyDescent="0.25">
      <c r="A402" s="5"/>
      <c r="B402" s="6"/>
      <c r="C402" s="7"/>
      <c r="D402" s="7"/>
      <c r="E402" s="7"/>
      <c r="F402" s="7"/>
      <c r="G402" s="7"/>
      <c r="H402" s="7"/>
      <c r="I402" s="7"/>
      <c r="J402" s="7"/>
      <c r="K402" s="47"/>
      <c r="L402" s="7"/>
      <c r="M402" s="7"/>
      <c r="N402" s="7"/>
      <c r="O402" s="7"/>
      <c r="P402" s="7"/>
      <c r="Q402" s="7"/>
    </row>
    <row r="403" spans="1:17" x14ac:dyDescent="0.25">
      <c r="A403" s="5"/>
      <c r="B403" s="6"/>
      <c r="C403" s="7"/>
      <c r="D403" s="7"/>
      <c r="E403" s="7"/>
      <c r="F403" s="7"/>
      <c r="G403" s="7"/>
      <c r="H403" s="7"/>
      <c r="I403" s="7"/>
      <c r="J403" s="7"/>
      <c r="K403" s="47"/>
      <c r="L403" s="7"/>
      <c r="M403" s="7"/>
      <c r="N403" s="7"/>
      <c r="O403" s="7"/>
      <c r="P403" s="7"/>
      <c r="Q403" s="7"/>
    </row>
    <row r="404" spans="1:17" x14ac:dyDescent="0.25">
      <c r="K404" s="47"/>
    </row>
    <row r="405" spans="1:17" x14ac:dyDescent="0.25">
      <c r="K405" s="47"/>
    </row>
    <row r="406" spans="1:17" x14ac:dyDescent="0.25">
      <c r="K406" s="47"/>
    </row>
    <row r="407" spans="1:17" x14ac:dyDescent="0.25">
      <c r="K407" s="47"/>
    </row>
    <row r="408" spans="1:17" x14ac:dyDescent="0.25">
      <c r="K408" s="47"/>
    </row>
    <row r="409" spans="1:17" x14ac:dyDescent="0.25">
      <c r="K409" s="47"/>
    </row>
    <row r="410" spans="1:17" x14ac:dyDescent="0.25">
      <c r="K410" s="47"/>
    </row>
    <row r="411" spans="1:17" x14ac:dyDescent="0.25">
      <c r="K411" s="47"/>
    </row>
    <row r="412" spans="1:17" x14ac:dyDescent="0.25">
      <c r="K412" s="47"/>
    </row>
    <row r="413" spans="1:17" x14ac:dyDescent="0.25">
      <c r="K413" s="47"/>
    </row>
    <row r="414" spans="1:17" x14ac:dyDescent="0.25">
      <c r="K414" s="47"/>
    </row>
    <row r="415" spans="1:17" x14ac:dyDescent="0.25">
      <c r="K415" s="47"/>
    </row>
    <row r="416" spans="1:17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x14ac:dyDescent="0.25">
      <c r="K536" s="44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93 A298:A300 K298:R300 K299:K325 A301:B301 L301:R325 I308:I317 J313:J314 I315:J328 I325:I332 K326:R375 J329:J333 I331:J332 I334:J360 I357:I368 J361:J368 I369:J375 K373:K378 I376:R376 I377:J377 L377:R377 I378:R385 J386:R386 I386:I392 J387:K391 L387:R396 D389:H389 B390:I393 J392 H393:J393 A395:J396 B397:G397 I397 K397:K486 A302:A394 G394:J394 K389:K395 B384:F394">
    <cfRule type="expression" dxfId="12" priority="7">
      <formula>CELL("row")=ROW()</formula>
    </cfRule>
  </conditionalFormatting>
  <conditionalFormatting sqref="B257:G290 B291:B300 C291:G301">
    <cfRule type="expression" dxfId="11" priority="5">
      <formula>CELL("row")=ROW()</formula>
    </cfRule>
  </conditionalFormatting>
  <conditionalFormatting sqref="F326:G326">
    <cfRule type="expression" dxfId="10" priority="2">
      <formula>CELL("row")=ROW()</formula>
    </cfRule>
  </conditionalFormatting>
  <conditionalFormatting sqref="G266">
    <cfRule type="expression" dxfId="9" priority="4">
      <formula>CELL("row")=ROW()</formula>
    </cfRule>
  </conditionalFormatting>
  <conditionalFormatting sqref="K398:O408 L397:O397">
    <cfRule type="expression" dxfId="8" priority="16">
      <formula>ROW(M93)=HighlightRow</formula>
    </cfRule>
  </conditionalFormatting>
  <conditionalFormatting sqref="P397:Q408">
    <cfRule type="expression" dxfId="7" priority="20">
      <formula>ROW(S93)=HighlightRow</formula>
    </cfRule>
  </conditionalFormatting>
  <conditionalFormatting sqref="S105:XFD105">
    <cfRule type="expression" dxfId="6" priority="21">
      <formula>ROW(T94)=HighlightRow</formula>
    </cfRule>
  </conditionalFormatting>
  <conditionalFormatting sqref="S106:XFD114">
    <cfRule type="expression" dxfId="5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227" zoomScaleNormal="100" workbookViewId="0">
      <selection activeCell="H1239" sqref="H123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8282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11"/>
  <sheetViews>
    <sheetView topLeftCell="A182" zoomScale="85" zoomScaleNormal="85" workbookViewId="0">
      <selection activeCell="E203" sqref="E20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8268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06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8264</v>
      </c>
      <c r="C174" s="19">
        <v>9797723564</v>
      </c>
      <c r="D174" s="19" t="s">
        <v>8265</v>
      </c>
      <c r="E174" s="19" t="s">
        <v>8266</v>
      </c>
      <c r="F174" s="21">
        <v>46034</v>
      </c>
      <c r="G174" s="21" t="s">
        <v>8267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8273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8274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8275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/>
      <c r="C178" s="19"/>
      <c r="D178" s="19" t="s">
        <v>8276</v>
      </c>
      <c r="E178" s="19"/>
      <c r="F178" s="21"/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8381</v>
      </c>
      <c r="C179" s="19">
        <v>9797013003</v>
      </c>
      <c r="D179" s="19" t="s">
        <v>8277</v>
      </c>
      <c r="E179" s="19" t="s">
        <v>8382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8383</v>
      </c>
      <c r="C180" s="19">
        <v>7006747731</v>
      </c>
      <c r="D180" s="19" t="s">
        <v>8278</v>
      </c>
      <c r="E180" s="19" t="s">
        <v>8384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8279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8269</v>
      </c>
      <c r="C182" s="19">
        <v>9596935377</v>
      </c>
      <c r="D182" s="19" t="s">
        <v>8270</v>
      </c>
      <c r="E182" s="19" t="s">
        <v>8271</v>
      </c>
      <c r="F182" s="21">
        <v>46035</v>
      </c>
      <c r="G182" s="21" t="s">
        <v>8272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8281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8301</v>
      </c>
      <c r="C191" s="19">
        <v>9622544857</v>
      </c>
      <c r="D191" s="19" t="s">
        <v>8302</v>
      </c>
      <c r="E191" s="19" t="s">
        <v>8297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8312</v>
      </c>
      <c r="E192" s="19" t="s">
        <v>8311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8325</v>
      </c>
      <c r="C193" s="19">
        <v>9797811436</v>
      </c>
      <c r="D193" s="19" t="s">
        <v>8324</v>
      </c>
      <c r="E193" s="19" t="s">
        <v>8313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8321</v>
      </c>
      <c r="C194" s="19">
        <v>9797865646</v>
      </c>
      <c r="D194" s="19" t="s">
        <v>8344</v>
      </c>
      <c r="E194" s="19" t="s">
        <v>8323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8299</v>
      </c>
      <c r="C195" s="19">
        <v>7022282286</v>
      </c>
      <c r="D195" s="19" t="s">
        <v>8345</v>
      </c>
      <c r="E195" s="19" t="s">
        <v>8326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8349</v>
      </c>
      <c r="C196" s="19">
        <v>7006287562</v>
      </c>
      <c r="D196" s="19" t="s">
        <v>8375</v>
      </c>
      <c r="E196" s="19" t="s">
        <v>8369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8376</v>
      </c>
      <c r="E197" s="19" t="s">
        <v>8322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8366</v>
      </c>
      <c r="C198" s="19">
        <v>8899953394</v>
      </c>
      <c r="D198" s="19" t="s">
        <v>8377</v>
      </c>
      <c r="E198" s="19" t="s">
        <v>8368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8378</v>
      </c>
      <c r="E199" s="19" t="s">
        <v>8339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8379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8380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19" t="s">
        <v>8388</v>
      </c>
      <c r="C202" s="19">
        <v>7889670084</v>
      </c>
      <c r="D202" s="19" t="s">
        <v>8397</v>
      </c>
      <c r="E202" s="19" t="s">
        <v>8389</v>
      </c>
      <c r="F202" s="21">
        <v>46044</v>
      </c>
      <c r="G202" s="21" t="s">
        <v>341</v>
      </c>
      <c r="H202" s="19" t="s">
        <v>6665</v>
      </c>
    </row>
    <row r="203" spans="1:8" ht="15.75" x14ac:dyDescent="0.25">
      <c r="A203" s="19">
        <f t="shared" si="5"/>
        <v>201</v>
      </c>
      <c r="B203" s="19" t="s">
        <v>8400</v>
      </c>
      <c r="C203" s="19">
        <v>7889538703</v>
      </c>
      <c r="D203" s="19" t="s">
        <v>8403</v>
      </c>
      <c r="E203" s="19" t="s">
        <v>8401</v>
      </c>
      <c r="F203" s="21" t="s">
        <v>8404</v>
      </c>
      <c r="G203" s="21" t="s">
        <v>341</v>
      </c>
      <c r="H203" s="19" t="s">
        <v>8405</v>
      </c>
    </row>
    <row r="204" spans="1:8" ht="15.75" x14ac:dyDescent="0.25">
      <c r="A204" s="19">
        <f t="shared" si="5"/>
        <v>202</v>
      </c>
      <c r="B204" s="19"/>
      <c r="C204" s="19"/>
      <c r="D204" s="19"/>
      <c r="E204" s="19"/>
      <c r="F204" s="21"/>
      <c r="G204" s="21"/>
      <c r="H204" s="19"/>
    </row>
    <row r="205" spans="1:8" ht="15.75" x14ac:dyDescent="0.25">
      <c r="A205" s="19">
        <f t="shared" si="5"/>
        <v>203</v>
      </c>
      <c r="B205" s="19"/>
      <c r="C205" s="19"/>
      <c r="D205" s="19"/>
      <c r="E205" s="19"/>
      <c r="F205" s="21"/>
      <c r="G205" s="21"/>
      <c r="H205" s="19"/>
    </row>
    <row r="206" spans="1:8" ht="15.75" x14ac:dyDescent="0.25">
      <c r="A206" s="19">
        <f t="shared" si="5"/>
        <v>204</v>
      </c>
      <c r="B206" s="19"/>
      <c r="C206" s="19"/>
      <c r="D206" s="19"/>
      <c r="E206" s="19"/>
      <c r="F206" s="21"/>
      <c r="G206" s="21"/>
      <c r="H206" s="19"/>
    </row>
    <row r="207" spans="1:8" ht="15.75" x14ac:dyDescent="0.25">
      <c r="B207" s="19"/>
      <c r="C207" s="19"/>
      <c r="D207" s="19"/>
      <c r="E207" s="19"/>
    </row>
    <row r="208" spans="1:8" ht="15.75" x14ac:dyDescent="0.25">
      <c r="B208" s="19"/>
      <c r="C208" s="19"/>
      <c r="D208" s="19"/>
      <c r="E208" s="19"/>
    </row>
    <row r="209" spans="2:5" ht="15.75" x14ac:dyDescent="0.25">
      <c r="B209" s="19"/>
      <c r="C209" s="19"/>
      <c r="D209" s="19"/>
      <c r="E209" s="19"/>
    </row>
    <row r="210" spans="2:5" ht="15.75" x14ac:dyDescent="0.25">
      <c r="B210" s="19"/>
      <c r="C210" s="19"/>
      <c r="D210" s="19"/>
    </row>
    <row r="211" spans="2:5" ht="15.75" x14ac:dyDescent="0.25">
      <c r="B211" s="19"/>
      <c r="C211" s="19"/>
      <c r="D211" s="19"/>
    </row>
  </sheetData>
  <mergeCells count="1">
    <mergeCell ref="A1:H1"/>
  </mergeCells>
  <phoneticPr fontId="31" type="noConversion"/>
  <conditionalFormatting sqref="B103 E103 B121:E154 B210:D211 B169:E209">
    <cfRule type="expression" dxfId="4" priority="16">
      <formula>CELL("row")=ROW()</formula>
    </cfRule>
  </conditionalFormatting>
  <conditionalFormatting sqref="C103">
    <cfRule type="expression" dxfId="3" priority="15">
      <formula>CELL("row")=ROW()</formula>
    </cfRule>
  </conditionalFormatting>
  <conditionalFormatting sqref="C122">
    <cfRule type="expression" dxfId="2" priority="12">
      <formula>CELL("row")=ROW()</formula>
    </cfRule>
  </conditionalFormatting>
  <conditionalFormatting sqref="C175">
    <cfRule type="expression" dxfId="1" priority="5">
      <formula>CELL("row")=ROW()</formula>
    </cfRule>
  </conditionalFormatting>
  <conditionalFormatting sqref="E122">
    <cfRule type="expression" dxfId="0" priority="1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2026-01-27T10:57:54Z</dcterms:modified>
</cp:coreProperties>
</file>