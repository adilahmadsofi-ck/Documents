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36B07DA-9AE6-4623-AB27-8FF90D0639E7}" xr6:coauthVersionLast="47" xr6:coauthVersionMax="47" xr10:uidLastSave="{00000000-0000-0000-0000-000000000000}"/>
  <bookViews>
    <workbookView xWindow="3315" yWindow="1065" windowWidth="20040" windowHeight="11715" tabRatio="487" activeTab="2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4" i="7" l="1"/>
  <c r="A55" i="7"/>
  <c r="A56" i="7"/>
  <c r="A57" i="7"/>
  <c r="A58" i="7"/>
  <c r="A53" i="7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190" i="4"/>
  <c r="A46" i="7"/>
  <c r="A47" i="7"/>
  <c r="A48" i="7"/>
  <c r="A49" i="7"/>
  <c r="A50" i="7"/>
  <c r="A51" i="7"/>
  <c r="A52" i="7"/>
  <c r="A45" i="7"/>
  <c r="A44" i="7"/>
  <c r="A43" i="7"/>
  <c r="A42" i="7"/>
  <c r="A37" i="7"/>
  <c r="A40" i="7"/>
  <c r="A39" i="7"/>
  <c r="A38" i="7"/>
  <c r="A41" i="7"/>
  <c r="A34" i="7"/>
  <c r="A30" i="7"/>
  <c r="A29" i="7"/>
  <c r="A28" i="7"/>
  <c r="A31" i="7"/>
  <c r="A32" i="7"/>
  <c r="A33" i="7"/>
  <c r="A35" i="7"/>
  <c r="A36" i="7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A24" i="7"/>
  <c r="A25" i="7"/>
  <c r="A26" i="7"/>
  <c r="A27" i="7"/>
  <c r="A21" i="7"/>
  <c r="A23" i="7"/>
  <c r="H130" i="4"/>
  <c r="H132" i="4"/>
  <c r="A16" i="7"/>
  <c r="A19" i="7"/>
  <c r="A18" i="7"/>
  <c r="A20" i="7"/>
  <c r="A17" i="7"/>
  <c r="A22" i="7"/>
  <c r="A9" i="7"/>
  <c r="A10" i="7"/>
  <c r="A11" i="7"/>
  <c r="A13" i="7"/>
  <c r="A12" i="7"/>
  <c r="A15" i="7"/>
  <c r="A14" i="7"/>
  <c r="A8" i="7"/>
  <c r="A7" i="7"/>
  <c r="A6" i="7"/>
  <c r="A5" i="7"/>
  <c r="A4" i="7"/>
  <c r="A3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" i="4"/>
</calcChain>
</file>

<file path=xl/sharedStrings.xml><?xml version="1.0" encoding="utf-8"?>
<sst xmlns="http://schemas.openxmlformats.org/spreadsheetml/2006/main" count="18680" uniqueCount="7118">
  <si>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</si>
  <si>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</si>
  <si>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</si>
  <si>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</si>
  <si>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</si>
  <si>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</si>
  <si>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</si>
  <si>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</si>
  <si>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</si>
  <si>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</si>
  <si>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</si>
  <si>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</si>
  <si>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</si>
  <si>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</si>
  <si>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</si>
  <si>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</si>
  <si>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</si>
  <si>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</si>
  <si>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</si>
  <si>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</si>
  <si>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</si>
  <si>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</si>
  <si>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</si>
  <si>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</si>
  <si>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</si>
  <si>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</si>
  <si>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</si>
  <si>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</si>
  <si>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</si>
  <si>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</si>
  <si>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</si>
  <si>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</si>
  <si>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</si>
  <si>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</si>
  <si>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</si>
  <si>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</si>
  <si>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</si>
  <si>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</si>
  <si>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</si>
  <si>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</si>
  <si>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</si>
  <si>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</si>
  <si>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</si>
  <si>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</si>
  <si>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</si>
  <si>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</si>
  <si>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</si>
  <si>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</si>
  <si>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</si>
  <si>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</si>
  <si>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</si>
  <si>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</si>
  <si>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</si>
  <si>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</si>
  <si>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</si>
  <si>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</si>
  <si>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</si>
  <si>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</si>
  <si>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</si>
  <si>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</si>
  <si>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</si>
  <si>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</si>
  <si>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</si>
  <si>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</si>
  <si>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</si>
  <si>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</si>
  <si>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</si>
  <si>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</si>
  <si>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</si>
  <si>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</si>
  <si>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</si>
  <si>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</si>
  <si>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</si>
  <si>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</si>
  <si>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</si>
  <si>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</si>
  <si>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</si>
  <si>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</si>
  <si>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</si>
  <si>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</si>
  <si>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</si>
  <si>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</si>
  <si>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</si>
  <si>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</si>
  <si>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</si>
  <si>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</si>
  <si>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</si>
  <si>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</si>
  <si>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</si>
  <si>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</si>
  <si>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</si>
  <si>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</si>
  <si>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</si>
  <si>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</si>
  <si>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</si>
  <si>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</si>
  <si>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</si>
  <si>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</si>
  <si>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</si>
  <si>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</si>
  <si>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</si>
  <si>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</si>
  <si>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</si>
  <si>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</si>
  <si>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</si>
  <si>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</si>
  <si>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</si>
  <si>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</si>
  <si>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</si>
  <si>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</si>
  <si>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</si>
  <si>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</si>
  <si>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</si>
  <si>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</si>
  <si>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</si>
  <si>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</si>
  <si>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</si>
  <si>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</si>
  <si>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</si>
  <si>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</si>
  <si>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</si>
  <si>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</si>
  <si>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</si>
  <si>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</si>
  <si>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</si>
  <si>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</si>
  <si>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</si>
  <si>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</si>
  <si>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</si>
  <si>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</si>
  <si>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</si>
  <si>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</si>
  <si>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</si>
  <si>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</si>
  <si>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</si>
  <si>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</si>
  <si>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</si>
  <si>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</si>
  <si>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</si>
  <si>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</si>
  <si>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</si>
  <si>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</si>
  <si>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</si>
  <si>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</si>
  <si>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</si>
  <si>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</si>
  <si>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</si>
  <si>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</si>
  <si>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</si>
  <si>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</si>
  <si>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</si>
  <si>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</si>
  <si>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</si>
  <si>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</si>
  <si>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</si>
  <si>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</si>
  <si>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</si>
  <si>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</si>
  <si>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</si>
  <si>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</si>
  <si>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</si>
  <si>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</si>
  <si>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</si>
  <si>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</si>
  <si>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</si>
  <si>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</si>
  <si>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</si>
  <si>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</si>
  <si>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</si>
  <si>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</si>
  <si>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</si>
  <si>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</si>
  <si>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</si>
  <si>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</si>
  <si>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</si>
  <si>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</si>
  <si>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</si>
  <si>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</si>
  <si>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</si>
  <si>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</si>
  <si>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</si>
  <si>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</si>
  <si>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</si>
  <si>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</si>
  <si>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</si>
  <si>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</si>
  <si>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</si>
  <si>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</si>
  <si>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</si>
  <si>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</si>
  <si>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</si>
  <si>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</si>
  <si>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</si>
  <si>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</si>
  <si>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</si>
  <si>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</si>
  <si>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</si>
  <si>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</si>
  <si>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</si>
  <si>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</si>
  <si>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</si>
  <si>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</si>
  <si>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</si>
  <si>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</si>
  <si>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</si>
  <si>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</si>
  <si>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</si>
  <si>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</si>
  <si>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</si>
  <si>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</si>
  <si>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</si>
  <si>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</si>
  <si>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</si>
  <si>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</si>
  <si>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</si>
  <si>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</si>
  <si>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</si>
  <si>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</si>
  <si>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</si>
  <si>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</si>
  <si>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</si>
  <si>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</si>
  <si>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</si>
  <si>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</si>
  <si>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</si>
  <si>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</si>
  <si>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</si>
  <si>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</si>
  <si>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</si>
  <si>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</si>
  <si>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</si>
  <si>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</si>
  <si>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</si>
  <si>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</si>
  <si>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</si>
  <si>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</si>
  <si>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</si>
  <si>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</si>
  <si>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</si>
  <si>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</si>
  <si>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</si>
  <si>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</si>
  <si>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</si>
  <si>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</si>
  <si>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</si>
  <si>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</si>
  <si>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</si>
  <si>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</si>
  <si>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</si>
  <si>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</si>
  <si>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</si>
  <si>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</si>
  <si>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</si>
  <si>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</si>
  <si>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</si>
  <si>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</si>
  <si>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</si>
  <si>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</si>
  <si>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</si>
  <si>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</si>
  <si>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</si>
  <si>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</si>
  <si>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</si>
  <si>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</si>
  <si>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</si>
  <si>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</si>
  <si>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</si>
  <si>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</si>
  <si>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</si>
  <si>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</si>
  <si>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</si>
  <si>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</si>
  <si>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</si>
  <si>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</si>
  <si>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</si>
  <si>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</si>
  <si>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</si>
  <si>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</si>
  <si>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</si>
  <si>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</si>
  <si>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</si>
  <si>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</si>
  <si>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</si>
  <si>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</si>
  <si>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</si>
  <si>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</si>
  <si>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</si>
  <si>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</si>
  <si>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</si>
  <si>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</si>
  <si>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</si>
  <si>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</si>
  <si>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</si>
  <si>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</si>
  <si>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</si>
  <si>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</si>
  <si>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</si>
  <si>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</si>
  <si>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</si>
  <si>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</si>
  <si>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</si>
  <si>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</si>
  <si>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</si>
  <si>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</si>
  <si>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</si>
  <si>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</si>
  <si>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</si>
  <si>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</si>
  <si>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</si>
  <si>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</si>
  <si>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</si>
  <si>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</si>
  <si>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</si>
  <si>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</si>
  <si>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</si>
  <si>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</si>
  <si>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</si>
  <si>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</si>
  <si>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</si>
  <si>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</si>
  <si>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</si>
  <si>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</si>
  <si>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</si>
  <si>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</si>
  <si>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</si>
  <si>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</si>
  <si>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</si>
  <si>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</si>
  <si>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</si>
  <si>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</si>
  <si>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</si>
  <si>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</si>
  <si>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</si>
  <si>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</si>
  <si>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</si>
  <si>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</si>
  <si>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</si>
  <si>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</si>
  <si>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</si>
  <si>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</si>
  <si>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</si>
  <si>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</si>
  <si>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</si>
  <si>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</si>
  <si>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</si>
  <si>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</si>
  <si>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</si>
  <si>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</si>
  <si>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</si>
  <si>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</si>
  <si>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</si>
  <si>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</si>
  <si>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</si>
  <si>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</si>
  <si>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</si>
  <si>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</si>
  <si>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</si>
  <si>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</si>
  <si>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</si>
  <si>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</si>
  <si>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</si>
  <si>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</si>
  <si>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</si>
  <si>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</si>
  <si>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</si>
  <si>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</si>
  <si>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</si>
  <si>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</si>
  <si>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</si>
  <si>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</si>
  <si>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</si>
  <si>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</si>
  <si>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</si>
  <si>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</si>
  <si>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</si>
  <si>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</si>
  <si>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</si>
  <si>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</si>
  <si>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</si>
  <si>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</si>
  <si>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</si>
  <si>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</si>
  <si>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</si>
  <si>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</si>
  <si>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</si>
  <si>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</si>
  <si>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</si>
  <si>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</si>
  <si>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</si>
  <si>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</si>
  <si>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</si>
  <si>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</si>
  <si>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</si>
  <si>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</si>
  <si>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</si>
  <si>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</si>
  <si>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</si>
  <si>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</si>
  <si>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</si>
  <si>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</si>
  <si>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</si>
  <si>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</si>
  <si>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</si>
  <si>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</si>
  <si>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</si>
  <si>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</si>
  <si>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</si>
  <si>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</si>
  <si>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</si>
  <si>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</si>
  <si>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</si>
  <si>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</si>
  <si>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</si>
  <si>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</si>
  <si>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</si>
  <si>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</si>
  <si>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</si>
  <si>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</si>
  <si>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</si>
  <si>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</si>
  <si>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</si>
  <si>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</si>
  <si>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</si>
  <si>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</si>
  <si>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</si>
  <si>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</si>
  <si>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</si>
  <si>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</si>
  <si>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</si>
  <si>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</si>
  <si>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</si>
  <si>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</si>
  <si>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</si>
  <si>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</si>
  <si>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</si>
  <si>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</si>
  <si>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</si>
  <si>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</si>
  <si>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</si>
  <si>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</si>
  <si>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</si>
  <si>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</si>
  <si>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</si>
  <si>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</si>
  <si>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</si>
  <si>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</si>
  <si>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</si>
  <si>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</si>
  <si>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</si>
  <si>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</si>
  <si>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</si>
  <si>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</si>
  <si>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</si>
  <si>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</si>
  <si>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</si>
  <si>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</si>
  <si>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</si>
  <si>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</si>
  <si>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</si>
  <si>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</si>
  <si>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</si>
  <si>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</si>
  <si>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</si>
  <si>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</si>
  <si>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</si>
  <si>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</si>
  <si>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</si>
  <si>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</si>
  <si>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</si>
  <si>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</si>
  <si>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</si>
  <si>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</si>
  <si>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</si>
  <si>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</si>
  <si>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</si>
  <si>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</si>
  <si>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</si>
  <si>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</si>
  <si>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</si>
  <si>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</si>
  <si>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</si>
  <si>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</si>
  <si>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</si>
  <si>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</si>
  <si>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</si>
  <si>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</si>
  <si>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</si>
  <si>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</si>
  <si>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</si>
  <si>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</si>
  <si>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</si>
  <si>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</si>
  <si>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</si>
  <si>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</si>
  <si>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</si>
  <si>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</si>
  <si>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</si>
  <si>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</si>
  <si>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</si>
  <si>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</si>
  <si>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</si>
  <si>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</si>
  <si>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</si>
  <si>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</si>
  <si>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</si>
  <si>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</si>
  <si>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</si>
  <si>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</si>
  <si>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</si>
  <si>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</si>
  <si>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</si>
  <si>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</si>
  <si>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</si>
  <si>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</si>
  <si>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</si>
  <si>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</si>
  <si>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</si>
  <si>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</si>
  <si>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</si>
  <si>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</si>
  <si>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</si>
  <si>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</si>
  <si>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</si>
  <si>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</si>
  <si>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</si>
  <si>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</si>
  <si>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</si>
  <si>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</si>
  <si>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</si>
  <si>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</si>
  <si>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</si>
  <si>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</si>
  <si>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</si>
  <si>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</si>
  <si>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</si>
  <si>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</si>
  <si>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</si>
  <si>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</si>
  <si>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</si>
  <si>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</si>
  <si>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</si>
  <si>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</si>
  <si>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</si>
  <si>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</si>
  <si>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</si>
  <si>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</si>
  <si>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</si>
  <si>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</si>
  <si>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</si>
  <si>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</si>
  <si>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</si>
  <si>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</si>
  <si>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</si>
  <si>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</si>
  <si>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</si>
  <si>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</si>
  <si>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</si>
  <si>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</si>
  <si>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</si>
  <si>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</si>
  <si>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</si>
  <si>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</si>
  <si>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</si>
  <si>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</si>
  <si>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</si>
  <si>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</si>
  <si>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</si>
  <si>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</si>
  <si>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</si>
  <si>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</si>
  <si>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</si>
  <si>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</si>
  <si>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</si>
  <si>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</si>
  <si>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</si>
  <si>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</si>
  <si>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</si>
  <si>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</si>
  <si>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</si>
  <si>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</si>
  <si>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</si>
  <si>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</si>
  <si>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</si>
  <si>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</si>
  <si>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</si>
  <si>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</si>
  <si>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</si>
  <si>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</si>
  <si>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</si>
  <si>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</si>
  <si>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</si>
  <si>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</si>
  <si>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</si>
  <si>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</si>
  <si>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</si>
  <si>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</si>
  <si>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</si>
  <si>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</si>
  <si>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</si>
  <si>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</si>
  <si>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</si>
  <si>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</si>
  <si>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</si>
  <si>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</si>
  <si>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</si>
  <si>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</si>
  <si>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</si>
  <si>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</si>
  <si>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</si>
  <si>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</si>
  <si>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</si>
  <si>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</si>
  <si>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</si>
  <si>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</si>
  <si>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</si>
  <si>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</si>
  <si>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</si>
  <si>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</si>
  <si>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</si>
  <si>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</si>
  <si>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</si>
  <si>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</si>
  <si>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</si>
  <si>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</si>
  <si>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</si>
  <si>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</si>
  <si>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</si>
  <si>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</si>
  <si>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</si>
  <si>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</si>
  <si>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</si>
  <si>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</si>
  <si>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</si>
  <si>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</si>
  <si>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</si>
  <si>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</si>
  <si>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</si>
  <si>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</si>
  <si>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</si>
  <si>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</si>
  <si>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</si>
  <si>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</si>
  <si>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</si>
  <si>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</si>
  <si>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</si>
  <si>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</si>
  <si>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</si>
  <si>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</si>
  <si>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</si>
  <si>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</si>
  <si>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</si>
  <si>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</si>
  <si>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</si>
  <si>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</si>
  <si>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</si>
  <si>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</si>
  <si>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</si>
  <si>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</si>
  <si>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</si>
  <si>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</si>
  <si>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</si>
  <si>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</si>
  <si>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</si>
  <si>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</si>
  <si>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</si>
  <si>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</si>
  <si>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</si>
  <si>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</si>
  <si>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</si>
  <si>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</si>
  <si>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</si>
  <si>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</si>
  <si>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</si>
  <si>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</si>
  <si>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</si>
  <si>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</si>
  <si>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</si>
  <si>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</si>
  <si>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</si>
  <si>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</si>
  <si>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</si>
  <si>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</si>
  <si>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</si>
  <si>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</si>
  <si>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</si>
  <si>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</si>
  <si>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</si>
  <si>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</si>
  <si>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</si>
  <si>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</si>
  <si>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</si>
  <si>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</si>
  <si>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</si>
  <si>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</si>
  <si>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</si>
  <si>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</si>
  <si>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</si>
  <si>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</si>
  <si>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</si>
  <si>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</si>
  <si>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</si>
  <si>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</si>
  <si>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</si>
  <si>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</si>
  <si>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</si>
  <si>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</si>
  <si>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</si>
  <si>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</si>
  <si>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</si>
  <si>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</si>
  <si>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</si>
  <si>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</si>
  <si>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</si>
  <si>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</si>
  <si>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</si>
  <si>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</si>
  <si>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</si>
  <si>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</si>
  <si>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</si>
  <si>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</si>
  <si>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</si>
  <si>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</si>
  <si>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</si>
  <si>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</si>
  <si>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</si>
  <si>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</si>
  <si>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</si>
  <si>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</si>
  <si>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</si>
  <si>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</si>
  <si>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</si>
  <si>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</si>
  <si>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</si>
  <si>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</si>
  <si>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</si>
  <si>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</si>
  <si>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</si>
  <si>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</si>
  <si>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</si>
  <si>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</si>
  <si>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</si>
  <si>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</si>
  <si>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</si>
  <si>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</si>
  <si>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</si>
  <si>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</si>
  <si>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</si>
  <si>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</si>
  <si>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</si>
  <si>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</si>
  <si>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</si>
  <si>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</si>
  <si>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</si>
  <si>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</si>
  <si>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</si>
  <si>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</si>
  <si>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</si>
  <si>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</si>
  <si>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</si>
  <si>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</si>
  <si>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</si>
  <si>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</si>
  <si>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</si>
  <si>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</si>
  <si>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</si>
  <si>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</si>
  <si>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</si>
  <si>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</si>
  <si>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</si>
  <si>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</si>
  <si>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</si>
  <si>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</si>
  <si>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</si>
  <si>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</si>
  <si>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</si>
  <si>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</si>
  <si>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</si>
  <si>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</si>
  <si>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</si>
  <si>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</si>
  <si>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</si>
  <si>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</si>
  <si>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</si>
  <si>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</si>
  <si>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</si>
  <si>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</si>
  <si>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</si>
  <si>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</si>
  <si>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</si>
  <si>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</si>
  <si>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</si>
  <si>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</si>
  <si>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</si>
  <si>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</si>
  <si>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</si>
  <si>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</si>
  <si>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</si>
  <si>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</si>
  <si>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</si>
  <si>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</si>
  <si>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</si>
  <si>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</si>
  <si>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</si>
  <si>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</si>
  <si>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</si>
  <si>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</si>
  <si>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</si>
  <si>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</si>
  <si>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</si>
  <si>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</si>
  <si>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</si>
  <si>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</si>
  <si>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</si>
  <si>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</si>
  <si>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</si>
  <si>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</si>
  <si>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</si>
  <si>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</si>
  <si>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</si>
  <si>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</si>
  <si>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</si>
  <si>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</si>
  <si>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</si>
  <si>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</si>
  <si>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</si>
  <si>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</si>
  <si>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</si>
  <si>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</si>
  <si>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</si>
  <si>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</si>
  <si>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</si>
  <si>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</si>
  <si>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</si>
  <si>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</si>
  <si>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</si>
  <si>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</si>
  <si>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</si>
  <si>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</si>
  <si>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</si>
  <si>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</si>
  <si>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</si>
  <si>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</si>
  <si>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</si>
  <si>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</si>
  <si>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</si>
  <si>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</si>
  <si>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</si>
  <si>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</si>
  <si>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</si>
  <si>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</si>
  <si>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</si>
  <si>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</si>
  <si>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</si>
  <si>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</si>
  <si>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</si>
  <si>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</si>
  <si>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</si>
  <si>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</si>
  <si>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</si>
  <si>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</si>
  <si>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</si>
  <si>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</si>
  <si>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</si>
  <si>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</si>
  <si>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</si>
  <si>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</si>
  <si>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</si>
  <si>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</si>
  <si>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</si>
  <si>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</si>
  <si>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</si>
  <si>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</si>
  <si>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</si>
  <si>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</si>
  <si>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</si>
  <si>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</si>
  <si>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</si>
  <si>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</si>
  <si>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</si>
  <si>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</si>
  <si>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</si>
  <si>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</si>
  <si>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</si>
  <si>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</si>
  <si>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</si>
  <si>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</si>
  <si>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</si>
  <si>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</si>
  <si>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</si>
  <si>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</si>
  <si>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</si>
  <si>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</si>
  <si>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</si>
  <si>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</si>
  <si>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</si>
  <si>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</si>
  <si>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</si>
  <si>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</si>
  <si>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</si>
  <si>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</si>
  <si>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</si>
  <si>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</si>
  <si>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</si>
  <si>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</si>
  <si>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</si>
  <si>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</si>
  <si>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</si>
  <si>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</si>
  <si>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</si>
  <si>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</si>
  <si>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</si>
  <si>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</si>
  <si>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</si>
  <si>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</si>
  <si>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</si>
  <si>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</si>
  <si>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</si>
  <si>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</si>
  <si>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</si>
  <si>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</si>
  <si>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</si>
  <si>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</si>
  <si>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</si>
  <si>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</si>
  <si>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</si>
  <si>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</si>
  <si>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</si>
  <si>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</si>
  <si>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</si>
  <si>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</si>
  <si>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</si>
  <si>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</si>
  <si>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</si>
  <si>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</si>
  <si>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</si>
  <si>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</si>
  <si>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</si>
  <si>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</si>
  <si>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</si>
  <si>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</si>
  <si>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</si>
  <si>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</si>
  <si>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</si>
  <si>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</si>
  <si>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</si>
  <si>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</si>
  <si>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</si>
  <si>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</si>
  <si>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</si>
  <si>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</si>
  <si>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</si>
  <si>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</si>
  <si>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</si>
  <si>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</si>
  <si>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</si>
  <si>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</si>
  <si>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</si>
  <si>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</si>
  <si>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</si>
  <si>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</si>
  <si>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</si>
  <si>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</si>
  <si>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</si>
  <si>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</si>
  <si>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</si>
  <si>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</si>
  <si>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</si>
  <si>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</si>
  <si>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</si>
  <si>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</si>
  <si>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</si>
  <si>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</si>
  <si>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</si>
  <si>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</si>
  <si>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</si>
  <si>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</si>
  <si>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</si>
  <si>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</si>
  <si>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</si>
  <si>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</si>
  <si>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</si>
  <si>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</si>
  <si>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</si>
  <si>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</si>
  <si>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</si>
  <si>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</si>
  <si>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</si>
  <si>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</si>
  <si>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</si>
  <si>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</si>
  <si>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</si>
  <si>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</si>
  <si>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</si>
  <si>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</si>
  <si>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</si>
  <si>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</si>
  <si>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</si>
  <si>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</si>
  <si>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</si>
  <si>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</si>
  <si>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</si>
  <si>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</si>
  <si>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</si>
  <si>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</si>
  <si>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</si>
  <si>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</si>
  <si>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</si>
  <si>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</si>
  <si>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</si>
  <si>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</si>
  <si>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</si>
  <si>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</si>
  <si>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</si>
  <si>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</si>
  <si>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</si>
  <si>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</si>
  <si>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</si>
  <si>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</si>
  <si>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</si>
  <si>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</si>
  <si>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</si>
  <si>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</si>
  <si>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</si>
  <si>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</si>
  <si>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</si>
  <si>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</si>
  <si>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</si>
  <si>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</si>
  <si>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</si>
  <si>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</si>
  <si>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</si>
  <si>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</si>
  <si>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</si>
  <si>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</si>
  <si>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</si>
  <si>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</si>
  <si>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</si>
  <si>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</si>
  <si>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</si>
  <si>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</si>
  <si>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</si>
  <si>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</si>
  <si>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</si>
  <si>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</si>
  <si>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</si>
  <si>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</si>
  <si>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</si>
  <si>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</si>
  <si>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</si>
  <si>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</si>
  <si>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</si>
  <si>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</si>
  <si>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</si>
  <si>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</si>
  <si>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</si>
  <si>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</si>
  <si>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</si>
  <si>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</si>
  <si>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</si>
  <si>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</si>
  <si>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</si>
  <si>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</si>
  <si>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</si>
  <si>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</si>
  <si>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</si>
  <si>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</si>
  <si>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</si>
  <si>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</si>
  <si>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</si>
  <si>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</si>
  <si>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</si>
  <si>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</si>
  <si>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</si>
  <si>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</si>
  <si>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</si>
  <si>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</si>
  <si>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</si>
  <si>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</si>
  <si>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</si>
  <si>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</si>
  <si>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</si>
  <si>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</si>
  <si>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</si>
  <si>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</si>
  <si>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</si>
  <si>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</si>
  <si>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</si>
  <si>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</si>
  <si>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</si>
  <si>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</si>
  <si>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</si>
  <si>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</si>
  <si>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</si>
  <si>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</si>
  <si>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</si>
  <si>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</si>
  <si>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</si>
  <si>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</si>
  <si>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</si>
  <si>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</si>
  <si>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</si>
  <si>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</si>
  <si>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</si>
  <si>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</si>
  <si>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</si>
  <si>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</si>
  <si>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</si>
  <si>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</si>
  <si>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</si>
  <si>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</si>
  <si>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</si>
  <si>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</si>
  <si>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</si>
  <si>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</si>
  <si>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</si>
  <si>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</si>
  <si>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</si>
  <si>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</si>
  <si>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</si>
  <si>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</si>
  <si>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</si>
  <si>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</si>
  <si>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</si>
  <si>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</si>
  <si>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</si>
  <si>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</si>
  <si>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</si>
  <si>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</si>
  <si>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</si>
  <si>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</si>
  <si>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</si>
  <si>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</si>
  <si>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</si>
  <si>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</si>
  <si>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</si>
  <si>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</si>
  <si>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</si>
  <si>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</si>
  <si>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</si>
  <si>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</si>
  <si>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</si>
  <si>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</si>
  <si>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</si>
  <si>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</si>
  <si>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</si>
  <si>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</si>
  <si>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</si>
  <si>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</si>
  <si>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</si>
  <si>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</si>
  <si>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</si>
  <si>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</si>
  <si>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</si>
  <si>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</si>
  <si>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</si>
  <si>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</si>
  <si>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</si>
  <si>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</si>
  <si>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</si>
  <si>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</si>
  <si>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</si>
  <si>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</si>
  <si>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</si>
  <si>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</si>
  <si>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</si>
  <si>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</si>
  <si>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</si>
  <si>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</si>
  <si>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</si>
  <si>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</si>
  <si>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</si>
  <si>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</si>
  <si>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</si>
  <si>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</si>
  <si>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</si>
  <si>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</si>
  <si>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</si>
  <si>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</si>
  <si>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</si>
  <si>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</si>
  <si>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</si>
  <si>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</si>
  <si>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</si>
  <si>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</si>
  <si>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</si>
  <si>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</si>
  <si>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</si>
  <si>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</si>
  <si>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</si>
  <si>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</si>
  <si>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</si>
  <si>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</si>
  <si>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</si>
  <si>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</si>
  <si>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</si>
  <si>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</si>
  <si>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</si>
  <si>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</si>
  <si>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</si>
  <si>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</si>
  <si>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</si>
  <si>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</si>
  <si>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</si>
  <si>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</si>
  <si>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</si>
  <si>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</si>
  <si>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</si>
  <si>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</si>
  <si>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</si>
  <si>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</si>
  <si>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</si>
  <si>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</si>
  <si>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</si>
  <si>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</si>
  <si>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</si>
  <si>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</si>
  <si>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</si>
  <si>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</si>
  <si>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</si>
  <si>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</si>
  <si>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</si>
  <si>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</si>
  <si>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</si>
  <si>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</si>
  <si>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</si>
  <si>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</si>
  <si>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</si>
  <si>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</si>
  <si>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</si>
  <si>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</si>
  <si>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</si>
  <si>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</si>
  <si>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</si>
  <si>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</si>
  <si>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</si>
  <si>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</si>
  <si>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</si>
  <si>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</si>
  <si>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</si>
  <si>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</si>
  <si>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</si>
  <si>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</si>
  <si>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</si>
  <si>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</si>
  <si>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</si>
  <si>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</si>
  <si>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</si>
  <si>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</si>
  <si>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</si>
  <si>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</si>
  <si>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</si>
  <si>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</si>
  <si>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</si>
  <si>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</si>
  <si>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</si>
  <si>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</si>
  <si>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</si>
  <si>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</si>
  <si>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</si>
  <si>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</si>
  <si>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</si>
  <si>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</si>
  <si>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</si>
  <si>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</si>
  <si>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</si>
  <si>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</si>
  <si>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</si>
  <si>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</si>
  <si>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</si>
  <si>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</si>
  <si>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</si>
  <si>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</si>
  <si>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</si>
  <si>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</si>
  <si>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</si>
  <si>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</si>
  <si>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</si>
  <si>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</si>
  <si>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</si>
  <si>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</si>
  <si>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</si>
  <si>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</si>
  <si>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</si>
  <si>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</si>
  <si>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</si>
  <si>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</si>
  <si>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</si>
  <si>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</si>
  <si>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</si>
  <si>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</si>
  <si>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</si>
  <si>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</si>
  <si>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</si>
  <si>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</si>
  <si>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</si>
  <si>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</si>
  <si>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</si>
  <si>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</si>
  <si>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</si>
  <si>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</si>
  <si>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</si>
  <si>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</si>
  <si>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</si>
  <si>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</si>
  <si>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</si>
  <si>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</si>
  <si>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</si>
  <si>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</si>
  <si>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</si>
  <si>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</si>
  <si>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</si>
  <si>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</si>
  <si>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</si>
  <si>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</si>
  <si>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</si>
  <si>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</si>
  <si>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</si>
  <si>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</si>
  <si>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</si>
  <si>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</si>
  <si>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</si>
  <si>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</si>
  <si>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</si>
  <si>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</si>
  <si>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</si>
  <si>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</si>
  <si>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</si>
  <si>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</si>
  <si>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</si>
  <si>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</si>
  <si>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</si>
  <si>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</si>
  <si>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</si>
  <si>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</si>
  <si>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</si>
  <si>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</si>
  <si>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</si>
  <si>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</si>
  <si>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</si>
  <si>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</si>
  <si>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</si>
  <si>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</si>
  <si>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</si>
  <si>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</si>
  <si>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</si>
  <si>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</si>
  <si>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</si>
  <si>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</si>
  <si>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</si>
  <si>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</si>
  <si>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</si>
  <si>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</si>
  <si>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</si>
  <si>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</si>
  <si>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</si>
  <si>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</si>
  <si>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</si>
  <si>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</si>
  <si>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</si>
  <si>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</si>
  <si>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</si>
  <si>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</si>
  <si>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</si>
  <si>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</si>
  <si>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</si>
  <si>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</si>
  <si>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</si>
  <si>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</si>
  <si>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</si>
  <si>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</si>
  <si>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</si>
  <si>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</si>
  <si>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</si>
  <si>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</si>
  <si>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</si>
  <si>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</si>
  <si>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</si>
  <si>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</si>
  <si>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</si>
  <si>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</si>
  <si>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</si>
  <si>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</si>
  <si>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</si>
  <si>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</si>
  <si>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</si>
  <si>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</si>
  <si>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</si>
  <si>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</si>
  <si>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</si>
  <si>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</si>
  <si>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</si>
  <si>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</si>
  <si>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</si>
  <si>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</si>
  <si>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</si>
  <si>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</si>
  <si>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</si>
  <si>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</si>
  <si>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</si>
  <si>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</si>
  <si>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</si>
  <si>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</si>
  <si>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</si>
  <si>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</si>
  <si>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</si>
  <si>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</si>
  <si>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</si>
  <si>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</si>
  <si>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</si>
  <si>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</si>
  <si>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</si>
  <si>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</si>
  <si>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</si>
  <si>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</si>
  <si>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</si>
  <si>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</si>
  <si>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</si>
  <si>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</si>
  <si>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</si>
  <si>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</si>
  <si>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</si>
  <si>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</si>
  <si>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</si>
  <si>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</si>
  <si>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</si>
  <si>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</si>
  <si>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</si>
  <si>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</si>
  <si>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</si>
  <si>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</si>
  <si>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</si>
  <si>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</si>
  <si>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</si>
  <si>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</si>
  <si>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</si>
  <si>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</si>
  <si>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</si>
  <si>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</si>
  <si>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</si>
  <si>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</si>
  <si>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</si>
  <si>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</si>
  <si>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</si>
  <si>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</si>
  <si>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</si>
  <si>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</si>
  <si>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</si>
  <si>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</si>
  <si>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</si>
  <si>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</si>
  <si>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</si>
  <si>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</si>
  <si>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</si>
  <si>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</si>
  <si>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</si>
  <si>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</si>
  <si>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</si>
  <si>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</si>
  <si>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</si>
  <si>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</si>
  <si>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</si>
  <si>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</si>
  <si>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</si>
  <si>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</si>
  <si>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</si>
  <si>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</si>
  <si>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</si>
  <si>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</si>
  <si>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</si>
  <si>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</si>
  <si>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</si>
  <si>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</si>
  <si>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</si>
  <si>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</si>
  <si>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</si>
  <si>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</si>
  <si>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</si>
  <si>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</si>
  <si>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</si>
  <si>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</si>
  <si>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</si>
  <si>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</si>
  <si>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</si>
  <si>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</si>
  <si>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</si>
  <si>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</si>
  <si>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</si>
  <si>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</si>
  <si>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</si>
  <si>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</si>
  <si>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</si>
  <si>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</si>
  <si>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</si>
  <si>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</si>
  <si>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</si>
  <si>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</si>
  <si>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</si>
  <si>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</si>
  <si>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</si>
  <si>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</si>
  <si>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</si>
  <si>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</si>
  <si>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</si>
  <si>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</si>
  <si>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</si>
  <si>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</si>
  <si>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</si>
  <si>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</si>
  <si>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</si>
  <si>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</si>
  <si>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</si>
  <si>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</si>
  <si>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</si>
  <si>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</si>
  <si>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</si>
  <si>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</si>
  <si>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</si>
  <si>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</si>
  <si>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</si>
  <si>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</si>
  <si>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</si>
  <si>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</si>
  <si>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</si>
  <si>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</si>
  <si>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</si>
  <si>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</si>
  <si>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</si>
  <si>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</si>
  <si>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</si>
  <si>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</si>
  <si>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</si>
  <si>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</si>
  <si>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</si>
  <si>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</si>
  <si>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</si>
  <si>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</si>
  <si>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</si>
  <si>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</si>
  <si>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</si>
  <si>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</si>
  <si>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</si>
  <si>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</si>
  <si>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</si>
  <si>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</si>
  <si>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</si>
  <si>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</si>
  <si>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</si>
  <si>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</si>
  <si>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</si>
  <si>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</si>
  <si>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</si>
  <si>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</si>
  <si>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</si>
  <si>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</si>
  <si>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</si>
  <si>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</si>
  <si>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</si>
  <si>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</si>
  <si>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</si>
  <si>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</si>
  <si>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</si>
  <si>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</si>
  <si>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</si>
  <si>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</si>
  <si>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</si>
  <si>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</si>
  <si>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</si>
  <si>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</si>
  <si>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</si>
  <si>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</si>
  <si>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</si>
  <si>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</si>
  <si>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</si>
  <si>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</si>
  <si>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</si>
  <si>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</si>
  <si>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</si>
  <si>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</si>
  <si>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</si>
  <si>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</si>
  <si>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</si>
  <si>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</si>
  <si>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</si>
  <si>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</si>
  <si>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</si>
  <si>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</si>
  <si>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</si>
  <si>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</si>
  <si>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</si>
  <si>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</si>
  <si>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</si>
  <si>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</si>
  <si>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</si>
  <si>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</si>
  <si>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</si>
  <si>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</si>
  <si>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</si>
  <si>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</si>
  <si>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</si>
  <si>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</si>
  <si>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</si>
  <si>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</si>
  <si>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</si>
  <si>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</si>
  <si>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</si>
  <si>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</si>
  <si>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</si>
  <si>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</si>
  <si>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</si>
  <si>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</si>
  <si>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</si>
  <si>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</si>
  <si>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</si>
  <si>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</si>
  <si>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</si>
  <si>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</si>
  <si>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</si>
  <si>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</si>
  <si>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</si>
  <si>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</si>
  <si>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</si>
  <si>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</si>
  <si>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</si>
  <si>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</si>
  <si>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</si>
  <si>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</si>
  <si>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</si>
  <si>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</si>
  <si>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</si>
  <si>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</si>
  <si>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</si>
  <si>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</si>
  <si>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</si>
  <si>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</si>
  <si>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</si>
  <si>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</si>
  <si>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</si>
  <si>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</si>
  <si>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</si>
  <si>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</si>
  <si>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</si>
  <si>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</si>
  <si>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</si>
  <si>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</si>
  <si>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</si>
  <si>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</si>
  <si>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</si>
  <si>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</si>
  <si>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</si>
  <si>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</si>
  <si>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</si>
  <si>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</si>
  <si>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</si>
  <si>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</si>
  <si>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</si>
  <si>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</si>
  <si>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</si>
  <si>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</si>
  <si>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</si>
  <si>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</si>
  <si>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</si>
  <si>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</si>
  <si>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</si>
  <si>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</si>
  <si>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</si>
  <si>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</si>
  <si>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</si>
  <si>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</si>
  <si>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</si>
  <si>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</si>
  <si>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</si>
  <si>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</si>
  <si>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</si>
  <si>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</si>
  <si>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</si>
  <si>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</si>
  <si>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</si>
  <si>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</si>
  <si>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</si>
  <si>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</si>
  <si>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</si>
  <si>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</si>
  <si>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</si>
  <si>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</si>
  <si>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</si>
  <si>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</si>
  <si>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</si>
  <si>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</si>
  <si>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</si>
  <si>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</si>
  <si>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</si>
  <si>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</si>
  <si>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</si>
  <si>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</si>
  <si>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</si>
  <si>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</si>
  <si>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</si>
  <si>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</si>
  <si>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</si>
  <si>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</si>
  <si>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</si>
  <si>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</si>
  <si>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</si>
  <si>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</si>
  <si>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</si>
  <si>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</si>
  <si>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</si>
  <si>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</si>
  <si>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</si>
  <si>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</si>
  <si>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</si>
  <si>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</si>
  <si>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</si>
  <si>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</si>
  <si>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</si>
  <si>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</si>
  <si>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</si>
  <si>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</si>
  <si>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</si>
  <si>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</si>
  <si>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</si>
  <si>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</si>
  <si>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</si>
  <si>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</si>
  <si>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</si>
  <si>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</si>
  <si>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</si>
  <si>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</si>
  <si>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</si>
  <si>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</si>
  <si>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</si>
  <si>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</si>
  <si>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</si>
  <si>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</si>
  <si>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</si>
  <si>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</si>
  <si>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</si>
  <si>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</si>
  <si>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</si>
  <si>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</si>
  <si>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</si>
  <si>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</si>
  <si>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</si>
  <si>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</si>
  <si>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</si>
  <si>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</si>
  <si>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</si>
  <si>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</si>
  <si>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</si>
  <si>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</si>
  <si>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</si>
  <si>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</si>
  <si>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</si>
  <si>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</si>
  <si>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</si>
  <si>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</si>
  <si>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</si>
  <si>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</si>
  <si>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</si>
  <si>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</si>
  <si>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</si>
  <si>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</si>
  <si>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</si>
  <si>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</si>
  <si>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</si>
  <si>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</si>
  <si>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</si>
  <si>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</si>
  <si>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</si>
  <si>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</si>
  <si>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</si>
  <si>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</si>
  <si>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</si>
  <si>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</si>
  <si>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</si>
  <si>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</si>
  <si>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</si>
  <si>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</si>
  <si>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</si>
  <si>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</si>
  <si>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</si>
  <si>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</si>
  <si>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</si>
  <si>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</si>
  <si>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</si>
  <si>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</si>
  <si>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</si>
  <si>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</si>
  <si>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</si>
  <si>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</si>
  <si>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</si>
  <si>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</si>
  <si>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</si>
  <si>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</si>
  <si>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</si>
  <si>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</si>
  <si>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</si>
  <si>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</si>
  <si>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</si>
  <si>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</si>
  <si>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</si>
  <si>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</si>
  <si>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</si>
  <si>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</si>
  <si>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</si>
  <si>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</si>
  <si>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</si>
  <si>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</si>
  <si>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</si>
  <si>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</si>
  <si>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</si>
  <si>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</si>
  <si>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</si>
  <si>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</si>
  <si>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</si>
  <si>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</si>
  <si>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</si>
  <si>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</si>
  <si>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</si>
  <si>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</si>
  <si>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</si>
  <si>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</si>
  <si>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</si>
  <si>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</si>
  <si>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</si>
  <si>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</si>
  <si>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</si>
  <si>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</si>
  <si>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</si>
  <si>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</si>
  <si>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</si>
  <si>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</si>
  <si>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</si>
  <si>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</si>
  <si>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</si>
  <si>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</si>
  <si>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</si>
  <si>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</si>
  <si>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</si>
  <si>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</si>
  <si>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</si>
  <si>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</si>
  <si>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</si>
  <si>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</si>
  <si>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</si>
  <si>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</si>
  <si>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</si>
  <si>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</si>
  <si>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</si>
  <si>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</si>
  <si>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</si>
  <si>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</si>
  <si>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</si>
  <si>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</si>
  <si>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</si>
  <si>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</si>
  <si>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</si>
  <si>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</si>
  <si>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</si>
  <si>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</si>
  <si>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</si>
  <si>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</si>
  <si>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</si>
  <si>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</si>
  <si>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</si>
  <si>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</si>
  <si>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</si>
  <si>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</si>
  <si>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</si>
  <si>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</si>
  <si>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</si>
  <si>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</si>
  <si>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</si>
  <si>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</si>
  <si>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</si>
  <si>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</si>
  <si>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</si>
  <si>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</si>
  <si>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</si>
  <si>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</si>
  <si>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</si>
  <si>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</si>
  <si>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</si>
  <si>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</si>
  <si>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</si>
  <si>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</si>
  <si>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</si>
  <si>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</si>
  <si>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</si>
  <si>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</si>
  <si>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</si>
  <si>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</si>
  <si>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</si>
  <si>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</si>
  <si>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</si>
  <si>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</si>
  <si>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</si>
  <si>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</si>
  <si>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</si>
  <si>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</si>
  <si>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</si>
  <si>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</si>
  <si>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</si>
  <si>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</si>
  <si>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</si>
  <si>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</si>
  <si>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</si>
  <si>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</si>
  <si>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</si>
  <si>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</si>
  <si>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</si>
  <si>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</si>
  <si>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</si>
  <si>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</si>
  <si>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</si>
  <si>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</si>
  <si>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</si>
  <si>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</si>
  <si>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</si>
  <si>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</si>
  <si>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</si>
  <si>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</si>
  <si>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</si>
  <si>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</si>
  <si>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</si>
  <si>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</si>
  <si>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</si>
  <si>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</si>
  <si>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</si>
  <si>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</si>
  <si>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</si>
  <si>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</si>
  <si>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</si>
  <si>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</si>
  <si>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</si>
  <si>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</si>
  <si>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</si>
  <si>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</si>
  <si>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</si>
  <si>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</si>
  <si>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</si>
  <si>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</si>
  <si>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</si>
  <si>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</si>
  <si>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</si>
  <si>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</si>
  <si>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</si>
  <si>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</si>
  <si>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</si>
  <si>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</si>
  <si>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</si>
  <si>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</si>
  <si>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</si>
  <si>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</si>
  <si>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</si>
  <si>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</si>
  <si>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</si>
  <si>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</si>
  <si>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</si>
  <si>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</si>
  <si>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</si>
  <si>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</si>
  <si>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</si>
  <si>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</si>
  <si>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</si>
  <si>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</si>
  <si>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</si>
  <si>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</si>
  <si>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</si>
  <si>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</si>
  <si>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</si>
  <si>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</si>
  <si>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</si>
  <si>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</si>
  <si>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</si>
  <si>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</si>
  <si>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</si>
  <si>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</si>
  <si>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</si>
  <si>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</si>
  <si>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</si>
  <si>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</si>
  <si>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</si>
  <si>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</si>
  <si>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</si>
  <si>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</si>
  <si>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</si>
  <si>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</si>
  <si>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</si>
  <si>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</si>
  <si>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</si>
  <si>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</si>
  <si>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</si>
  <si>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</si>
  <si>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</si>
  <si>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</si>
  <si>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</si>
  <si>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</si>
  <si>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</si>
  <si>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</si>
  <si>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</si>
  <si>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</si>
  <si>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</si>
  <si>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</si>
  <si>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</si>
  <si>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</si>
  <si>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</si>
  <si>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</si>
  <si>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</si>
  <si>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</si>
  <si>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</si>
  <si>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</si>
  <si>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</si>
  <si>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</si>
  <si>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</si>
  <si>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</si>
  <si>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</si>
  <si>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</si>
  <si>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</si>
  <si>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</si>
  <si>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</si>
  <si>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</si>
  <si>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</si>
  <si>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</si>
  <si>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</si>
  <si>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</si>
  <si>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</si>
  <si>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</si>
  <si>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</si>
  <si>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</si>
  <si>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</si>
  <si>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</si>
  <si>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</si>
  <si>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</si>
  <si>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</si>
  <si>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</si>
  <si>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</si>
  <si>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</si>
  <si>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</si>
  <si>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</si>
  <si>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</si>
  <si>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</si>
  <si>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</si>
  <si>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</si>
  <si>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</si>
  <si>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</si>
  <si>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</si>
  <si>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</si>
  <si>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</si>
  <si>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</si>
  <si>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</si>
  <si>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</si>
  <si>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</si>
  <si>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</si>
  <si>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</si>
  <si>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</si>
  <si>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</si>
  <si>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</si>
  <si>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</si>
  <si>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</si>
  <si>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</si>
  <si>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</si>
  <si>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</si>
  <si>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</si>
  <si>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</si>
  <si>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</si>
  <si>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</si>
  <si>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</si>
  <si>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</si>
  <si>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</si>
  <si>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</si>
  <si>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</si>
  <si>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</si>
  <si>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</si>
  <si>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</si>
  <si>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</si>
  <si>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</si>
  <si>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</si>
  <si>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</si>
  <si>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</si>
  <si>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</si>
  <si>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</si>
  <si>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</si>
  <si>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</si>
  <si>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</si>
  <si>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</si>
  <si>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</si>
  <si>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</si>
  <si>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</si>
  <si>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</si>
  <si>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</si>
  <si>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</si>
  <si>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</si>
  <si>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</si>
  <si>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</si>
  <si>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</si>
  <si>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</si>
  <si>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</si>
  <si>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</si>
  <si>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</si>
  <si>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</si>
  <si>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</si>
  <si>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</si>
  <si>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</si>
  <si>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</si>
  <si>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</si>
  <si>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</si>
  <si>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</si>
  <si>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</si>
  <si>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</si>
  <si>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</si>
  <si>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</si>
  <si>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</si>
  <si>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</si>
  <si>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</si>
  <si>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</si>
  <si>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</si>
  <si>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</si>
  <si>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</si>
  <si>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</si>
  <si>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</si>
  <si>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</si>
  <si>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</si>
  <si>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</si>
  <si>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</si>
  <si>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</si>
  <si>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</si>
  <si>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</si>
  <si>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</si>
  <si>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</si>
  <si>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</si>
  <si>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</si>
  <si>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</si>
  <si>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</si>
  <si>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</si>
  <si>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</si>
  <si>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</si>
  <si>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</si>
  <si>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</si>
  <si>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</si>
  <si>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</si>
  <si>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</si>
  <si>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</si>
  <si>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</si>
  <si>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</si>
  <si>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</si>
  <si>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</si>
  <si>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</si>
  <si>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</si>
  <si>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</si>
  <si>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</si>
  <si>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</si>
  <si>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</si>
  <si>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</si>
  <si>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</si>
  <si>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</si>
  <si>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</si>
  <si>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</si>
  <si>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</si>
  <si>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</si>
  <si>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</si>
  <si>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</si>
  <si>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</si>
  <si>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</si>
  <si>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</si>
  <si>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</si>
  <si>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</si>
  <si>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</si>
  <si>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</si>
  <si>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</si>
  <si>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</si>
  <si>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</si>
  <si>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</si>
  <si>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</si>
  <si>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</si>
  <si>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</si>
  <si>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</si>
  <si>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</si>
  <si>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</si>
  <si>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</si>
  <si>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</si>
  <si>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</si>
  <si>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</si>
  <si>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</si>
  <si>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</si>
  <si>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</si>
  <si>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</si>
  <si>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</si>
  <si>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</si>
  <si>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</si>
  <si>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</si>
  <si>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</si>
  <si>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</si>
  <si>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</si>
  <si>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</si>
  <si>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</si>
  <si>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</si>
  <si>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</si>
  <si>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</si>
  <si>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</si>
  <si>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</si>
  <si>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</si>
  <si>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</si>
  <si>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</si>
  <si>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</si>
  <si>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</si>
  <si>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</si>
  <si>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</si>
  <si>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</si>
  <si>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</si>
  <si>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</si>
  <si>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</si>
  <si>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</si>
  <si>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</si>
  <si>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</si>
  <si>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</si>
  <si>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</si>
  <si>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</si>
  <si>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</si>
  <si>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</si>
  <si>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</si>
  <si>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</si>
  <si>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</si>
  <si>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</si>
  <si>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</si>
  <si>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</si>
  <si>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</si>
  <si>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</si>
  <si>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</si>
  <si>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</si>
  <si>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</si>
  <si>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</si>
  <si>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</si>
  <si>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</si>
  <si>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</si>
  <si>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</si>
  <si>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</si>
  <si>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</si>
  <si>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</si>
  <si>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</si>
  <si>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</si>
  <si>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</si>
  <si>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</si>
  <si>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</si>
  <si>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</si>
  <si>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</si>
  <si>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</si>
  <si>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</si>
  <si>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</si>
  <si>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</si>
  <si>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</si>
  <si>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</si>
  <si>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</si>
  <si>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</si>
  <si>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</si>
  <si>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</si>
  <si>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</si>
  <si>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</si>
  <si>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</si>
  <si>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</si>
  <si>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</si>
  <si>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</si>
  <si>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</si>
  <si>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</si>
  <si>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</si>
  <si>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</si>
  <si>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</si>
  <si>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</si>
  <si>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</si>
  <si>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</si>
  <si>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</si>
  <si>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</si>
  <si>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</si>
  <si>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</si>
  <si>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</si>
  <si>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</si>
  <si>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</si>
  <si>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</si>
  <si>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</si>
  <si>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</si>
  <si>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</si>
  <si>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</si>
  <si>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</si>
  <si>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</si>
  <si>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</si>
  <si>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</si>
  <si>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</si>
  <si>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</si>
  <si>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</si>
  <si>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</si>
  <si>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</si>
  <si>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</si>
  <si>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</si>
  <si>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</si>
  <si>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</si>
  <si>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</si>
  <si>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</si>
  <si>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</si>
  <si>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</si>
  <si>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</si>
  <si>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</si>
  <si>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</si>
  <si>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</si>
  <si>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</si>
  <si>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</si>
  <si>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</si>
  <si>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</si>
  <si>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</si>
  <si>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</si>
  <si>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</si>
  <si>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</si>
  <si>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</si>
  <si>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</si>
  <si>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</si>
  <si>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</si>
  <si>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</si>
  <si>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</si>
  <si>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</si>
  <si>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</si>
  <si>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</si>
  <si>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</si>
  <si>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</si>
  <si>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</si>
  <si>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</si>
  <si>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</si>
  <si>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</si>
  <si>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</si>
  <si>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</si>
  <si>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</si>
  <si>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</si>
  <si>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</si>
  <si>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</si>
  <si>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</si>
  <si>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</si>
  <si>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</si>
  <si>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</si>
  <si>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</si>
  <si>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</si>
  <si>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</si>
  <si>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</si>
  <si>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</si>
  <si>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</si>
  <si>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</si>
  <si>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</si>
  <si>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</si>
  <si>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</si>
  <si>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</si>
  <si>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</si>
  <si>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</si>
  <si>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</si>
  <si>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</si>
  <si>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</si>
  <si>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</si>
  <si>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</si>
  <si>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</si>
  <si>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</si>
  <si>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</si>
  <si>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</si>
  <si>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</si>
  <si>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</si>
  <si>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</si>
  <si>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</si>
  <si>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</si>
  <si>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</si>
  <si>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</si>
  <si>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</si>
  <si>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</si>
  <si>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</si>
  <si>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</si>
  <si>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</si>
  <si>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</si>
  <si>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</si>
  <si>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</si>
  <si>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</si>
  <si>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</si>
  <si>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</si>
  <si>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</si>
  <si>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</si>
  <si>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</si>
  <si>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</si>
  <si>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</si>
  <si>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</si>
  <si>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</si>
  <si>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</si>
  <si>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</si>
  <si>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</si>
  <si>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</si>
  <si>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</si>
  <si>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</si>
  <si>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</si>
  <si>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</si>
  <si>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</si>
  <si>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</si>
  <si>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</si>
  <si>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</si>
  <si>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</si>
  <si>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</si>
  <si>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</si>
  <si>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</si>
  <si>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</si>
  <si>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</si>
  <si>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</si>
  <si>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</si>
  <si>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</si>
  <si>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</si>
  <si>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</si>
  <si>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</si>
  <si>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</si>
  <si>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</si>
  <si>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</si>
  <si>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</si>
  <si>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</si>
  <si>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</si>
  <si>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</si>
  <si>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</si>
  <si>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</si>
  <si>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</si>
  <si>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</si>
  <si>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</si>
  <si>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</si>
  <si>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</si>
  <si>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</si>
  <si>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</si>
  <si>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</si>
  <si>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</si>
  <si>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</si>
  <si>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</si>
  <si>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</si>
  <si>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</si>
  <si>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</si>
  <si>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</si>
  <si>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</si>
  <si>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</si>
  <si>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</si>
  <si>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</si>
  <si>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</si>
  <si>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</si>
  <si>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</si>
  <si>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</si>
  <si>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</si>
  <si>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</si>
  <si>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</si>
  <si>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</si>
  <si>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</si>
  <si>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</si>
  <si>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</si>
  <si>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</si>
  <si>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</si>
  <si>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</si>
  <si>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</si>
  <si>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</si>
  <si>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</si>
  <si>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</si>
  <si>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</si>
  <si>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</si>
  <si>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</si>
  <si>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</si>
  <si>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</si>
  <si>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</si>
  <si>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</si>
  <si>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</si>
  <si>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</si>
  <si>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</si>
  <si>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</si>
  <si>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</si>
  <si>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</si>
  <si>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</si>
  <si>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</si>
  <si>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</si>
  <si>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</si>
  <si>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</si>
  <si>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</si>
  <si>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</si>
  <si>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</si>
  <si>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</si>
  <si>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</si>
  <si>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</si>
  <si>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</si>
  <si>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</si>
  <si>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</si>
  <si>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</si>
  <si>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</si>
  <si>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</si>
  <si>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</si>
  <si>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</si>
  <si>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</si>
  <si>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</si>
  <si>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</si>
  <si>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</si>
  <si>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</si>
  <si>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</si>
  <si>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</si>
  <si>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</si>
  <si>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</si>
  <si>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</si>
  <si>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</si>
  <si>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</si>
  <si>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</si>
  <si>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</si>
  <si>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</si>
  <si>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</si>
  <si>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</si>
  <si>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</si>
  <si>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</si>
  <si>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</si>
  <si>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</si>
  <si>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</si>
  <si>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</si>
  <si>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</si>
  <si>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</si>
  <si>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</si>
  <si>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</si>
  <si>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</si>
  <si>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</si>
  <si>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</si>
  <si>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</si>
  <si>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</si>
  <si>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</si>
  <si>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</si>
  <si>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</si>
  <si>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</si>
  <si>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</si>
  <si>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</si>
  <si>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</si>
  <si>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</si>
  <si>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</si>
  <si>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</si>
  <si>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</si>
  <si>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</si>
  <si>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</si>
  <si>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</si>
  <si>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</si>
  <si>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</si>
  <si>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</si>
  <si>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</si>
  <si>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</si>
  <si>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</si>
  <si>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</si>
  <si>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</si>
  <si>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</si>
  <si>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</si>
  <si>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</si>
  <si>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</si>
  <si>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</si>
  <si>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</si>
  <si>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</si>
  <si>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</si>
  <si>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</si>
  <si>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</si>
  <si>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</si>
  <si>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</si>
  <si>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</si>
  <si>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</si>
  <si>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</si>
  <si>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</si>
  <si>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</si>
  <si>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</si>
  <si>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</si>
  <si>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</si>
  <si>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</si>
  <si>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</si>
  <si>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</si>
  <si>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</si>
  <si>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</si>
  <si>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</si>
  <si>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</si>
  <si>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</si>
  <si>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</si>
  <si>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</si>
  <si>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</si>
  <si>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</si>
  <si>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</si>
  <si>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</si>
  <si>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</si>
  <si>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</si>
  <si>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</si>
  <si>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</si>
  <si>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</si>
  <si>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</si>
  <si>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</si>
  <si>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</si>
  <si>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</si>
  <si>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</si>
  <si>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</si>
  <si>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</si>
  <si>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</si>
  <si>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</si>
  <si>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</si>
  <si>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</si>
  <si>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</si>
  <si>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</si>
  <si>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</si>
  <si>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</si>
  <si>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</si>
  <si>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</si>
  <si>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</si>
  <si>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</si>
  <si>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</si>
  <si>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</si>
  <si>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</si>
  <si>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</si>
  <si>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</si>
  <si>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</si>
  <si>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</si>
  <si>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</si>
  <si>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</si>
  <si>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</si>
  <si>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</si>
  <si>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</si>
  <si>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</si>
  <si>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</si>
  <si>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</si>
  <si>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</si>
  <si>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</si>
  <si>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</si>
  <si>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</si>
  <si>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</si>
  <si>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</si>
  <si>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</si>
  <si>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</si>
  <si>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</si>
  <si>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</si>
  <si>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</si>
  <si>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</si>
  <si>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</si>
  <si>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</si>
  <si>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</si>
  <si>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</si>
  <si>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</si>
  <si>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</si>
  <si>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</si>
  <si>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</si>
  <si>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</si>
  <si>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</si>
  <si>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</si>
  <si>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</si>
  <si>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</si>
  <si>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</si>
  <si>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</si>
  <si>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</si>
  <si>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</si>
  <si>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</si>
  <si>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</si>
  <si>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</si>
  <si>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</si>
  <si>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</si>
  <si>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</si>
  <si>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</si>
  <si>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</si>
  <si>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</si>
  <si>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</si>
  <si>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</si>
  <si>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</si>
  <si>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</si>
  <si>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</si>
  <si>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</si>
  <si>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</si>
  <si>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</si>
  <si>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</si>
  <si>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</si>
  <si>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</si>
  <si>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</si>
  <si>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</si>
  <si>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</si>
  <si>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</si>
  <si>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</si>
  <si>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</si>
  <si>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</si>
  <si>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</si>
  <si>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</si>
  <si>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</si>
  <si>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</si>
  <si>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</si>
  <si>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</si>
  <si>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</si>
  <si>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</si>
  <si>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</si>
  <si>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</si>
  <si>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</si>
  <si>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</si>
  <si>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</si>
  <si>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</si>
  <si>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</si>
  <si>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</si>
  <si>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</si>
  <si>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</si>
  <si>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</si>
  <si>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</si>
  <si>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</si>
  <si>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</si>
  <si>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</si>
  <si>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</si>
  <si>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</si>
  <si>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</si>
  <si>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</si>
  <si>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</si>
  <si>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</si>
  <si>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</si>
  <si>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</si>
  <si>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</si>
  <si>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</si>
  <si>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</si>
  <si>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</si>
  <si>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</si>
  <si>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</si>
  <si>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</si>
  <si>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</si>
  <si>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</si>
  <si>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</si>
  <si>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</si>
  <si>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</si>
  <si>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</si>
  <si>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</si>
  <si>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</si>
  <si>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</si>
  <si>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</si>
  <si>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</si>
  <si>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</si>
  <si>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</si>
  <si>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</si>
  <si>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</si>
  <si>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</si>
  <si>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</si>
  <si>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</si>
  <si>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</si>
  <si>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</si>
  <si>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</si>
  <si>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</si>
  <si>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</si>
  <si>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</si>
  <si>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</si>
  <si>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</si>
  <si>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</si>
  <si>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</si>
  <si>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</si>
  <si>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</si>
  <si>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</si>
  <si>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</si>
  <si>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</si>
  <si>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</si>
  <si>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</si>
  <si>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</si>
  <si>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</si>
  <si>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</si>
  <si>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</si>
  <si>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</si>
  <si>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</si>
  <si>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</si>
  <si>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</si>
  <si>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</si>
  <si>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</si>
  <si>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</si>
  <si>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</si>
  <si>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</si>
  <si>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</si>
  <si>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</si>
  <si>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</si>
  <si>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</si>
  <si>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</si>
  <si>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</si>
  <si>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</si>
  <si>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</si>
  <si>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</si>
  <si>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</si>
  <si>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</si>
  <si>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</si>
  <si>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</si>
  <si>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</si>
  <si>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</si>
  <si>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</si>
  <si>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</si>
  <si>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</si>
  <si>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</si>
  <si>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</si>
  <si>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</si>
  <si>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</si>
  <si>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</si>
  <si>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</si>
  <si>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</si>
  <si>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</si>
  <si>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</si>
  <si>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</si>
  <si>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</si>
  <si>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</si>
  <si>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</si>
  <si>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</si>
  <si>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</si>
  <si>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</si>
  <si>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</si>
  <si>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</si>
  <si>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</si>
  <si>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</si>
  <si>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</si>
  <si>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</si>
  <si>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</si>
  <si>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</si>
  <si>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</si>
  <si>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</si>
  <si>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</si>
  <si>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</si>
  <si>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</si>
  <si>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</si>
  <si>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</si>
  <si>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</si>
  <si>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</si>
  <si>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</si>
  <si>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</si>
  <si>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</si>
  <si>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</si>
  <si>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</si>
  <si>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</si>
  <si>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</si>
  <si>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</si>
  <si>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</si>
  <si>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</si>
  <si>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</si>
  <si>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</si>
  <si>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</si>
  <si>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</si>
  <si>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</si>
  <si>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</si>
  <si>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</si>
  <si>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</si>
  <si>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</si>
  <si>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</si>
  <si>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</si>
  <si>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</si>
  <si>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</si>
  <si>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</si>
  <si>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</si>
  <si>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</si>
  <si>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</si>
  <si>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</si>
  <si>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</si>
  <si>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</si>
  <si>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</si>
  <si>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</si>
  <si>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</si>
  <si>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</si>
  <si>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</si>
  <si>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</si>
  <si>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</si>
  <si>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</si>
  <si>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</si>
  <si>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</si>
  <si>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</si>
  <si>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</si>
  <si>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</si>
  <si>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</si>
  <si>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</si>
  <si>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</si>
  <si>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</si>
  <si>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</si>
  <si>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</si>
  <si>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</si>
  <si>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</si>
  <si>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</si>
  <si>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</si>
  <si>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</si>
  <si>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</si>
  <si>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</si>
  <si>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</si>
  <si>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</si>
  <si>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</si>
  <si>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</si>
  <si>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</si>
  <si>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</si>
  <si>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</si>
  <si>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</si>
  <si>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</si>
  <si>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</si>
  <si>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</si>
  <si>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</si>
  <si>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</si>
  <si>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</si>
  <si>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</si>
  <si>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</si>
  <si>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</si>
  <si>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</si>
  <si>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</si>
  <si>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</si>
  <si>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</si>
  <si>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</si>
  <si>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</si>
  <si>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</si>
  <si>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</si>
  <si>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</si>
  <si>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</si>
  <si>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</si>
  <si>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</si>
  <si>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</si>
  <si>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</si>
  <si>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</si>
  <si>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</si>
  <si>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</si>
  <si>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</si>
  <si>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</si>
  <si>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</si>
  <si>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</si>
  <si>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</si>
  <si>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</si>
  <si>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</si>
  <si>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</si>
  <si>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</si>
  <si>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</si>
  <si>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</si>
  <si>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</si>
  <si>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</si>
  <si>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</si>
  <si>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</si>
  <si>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</si>
  <si>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</si>
  <si>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</si>
  <si>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</si>
  <si>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</si>
  <si>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</si>
  <si>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</si>
  <si>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</si>
  <si>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</si>
  <si>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</si>
  <si>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</si>
  <si>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</si>
  <si>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</si>
  <si>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</si>
  <si>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</si>
  <si>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</si>
  <si>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</si>
  <si>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</si>
  <si>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</si>
  <si>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</si>
  <si>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</si>
  <si>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</si>
  <si>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</si>
  <si>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</si>
  <si>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</si>
  <si>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</si>
  <si>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</si>
  <si>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</si>
  <si>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</si>
  <si>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</si>
  <si>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</si>
  <si>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</si>
  <si>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</si>
  <si>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</si>
  <si>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</si>
  <si>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</si>
  <si>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</si>
  <si>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</si>
  <si>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</si>
  <si>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</si>
  <si>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</si>
  <si>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</si>
  <si>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</si>
  <si>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</si>
  <si>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</si>
  <si>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</si>
  <si>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</si>
  <si>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</si>
  <si>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</si>
  <si>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</si>
  <si>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</si>
  <si>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</si>
  <si>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</si>
  <si>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</si>
  <si>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</si>
  <si>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</si>
  <si>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</si>
  <si>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</si>
  <si>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</si>
  <si>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</si>
  <si>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</si>
  <si>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</si>
  <si>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</si>
  <si>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</si>
  <si>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</si>
  <si>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</si>
  <si>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</si>
  <si>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</si>
  <si>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</si>
  <si>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</si>
  <si>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</si>
  <si>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</si>
  <si>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</si>
  <si>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</si>
  <si>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</si>
  <si>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</si>
  <si>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</si>
  <si>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</si>
  <si>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</si>
  <si>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</si>
  <si>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</si>
  <si>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</si>
  <si>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</si>
  <si>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</si>
  <si>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</si>
  <si>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</si>
  <si>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</si>
  <si>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</si>
  <si>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</si>
  <si>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</si>
  <si>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</si>
  <si>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</si>
  <si>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</si>
  <si>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</si>
  <si>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</si>
  <si>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</si>
  <si>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</si>
  <si>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</si>
  <si>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</si>
  <si>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</si>
  <si>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</si>
  <si>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</si>
  <si>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</si>
  <si>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</si>
  <si>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</si>
  <si>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</si>
  <si>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</si>
  <si>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</si>
  <si>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</si>
  <si>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</si>
  <si>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</si>
  <si>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</si>
  <si>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</si>
  <si>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</si>
  <si>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</si>
  <si>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</si>
  <si>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</si>
  <si>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</si>
  <si>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</si>
  <si>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</si>
  <si>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</si>
  <si>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</si>
  <si>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</si>
  <si>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</si>
  <si>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</si>
  <si>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</si>
  <si>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</si>
  <si>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</si>
  <si>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</si>
  <si>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</si>
  <si>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</si>
  <si>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</si>
  <si>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</si>
  <si>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</si>
  <si>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</si>
  <si>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</si>
  <si>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</si>
  <si>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</si>
  <si>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</si>
  <si>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</si>
  <si>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</si>
  <si>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</si>
  <si>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</si>
  <si>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</si>
  <si>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</si>
  <si>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</si>
  <si>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</si>
  <si>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</si>
  <si>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</si>
  <si>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</si>
  <si>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</si>
  <si>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</si>
  <si>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</si>
  <si>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</si>
  <si>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</si>
  <si>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</si>
  <si>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</si>
  <si>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</si>
  <si>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</si>
  <si>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</si>
  <si>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</si>
  <si>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</si>
  <si>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</si>
  <si>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</si>
  <si>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</si>
  <si>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</si>
  <si>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</si>
  <si>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</si>
  <si>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</si>
  <si>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</si>
  <si>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</si>
  <si>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</si>
  <si>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</si>
  <si>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</si>
  <si>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</si>
  <si>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</si>
  <si>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</si>
  <si>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</si>
  <si>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</si>
  <si>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</si>
  <si>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</si>
  <si>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</si>
  <si>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</si>
  <si>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</si>
  <si>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</si>
  <si>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</si>
  <si>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</si>
  <si>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</si>
  <si>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</si>
  <si>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</si>
  <si>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</si>
  <si>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</si>
  <si>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</si>
  <si>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</si>
  <si>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</si>
  <si>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</si>
  <si>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</si>
  <si>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</si>
  <si>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</si>
  <si>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</si>
  <si>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</si>
  <si>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</si>
  <si>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</si>
  <si>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</si>
  <si>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</si>
  <si>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</si>
  <si>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</si>
  <si>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</si>
  <si>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</si>
  <si>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</si>
  <si>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</si>
  <si>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</si>
  <si>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</si>
  <si>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</si>
  <si>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</si>
  <si>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</si>
  <si>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</si>
  <si>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</si>
  <si>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</si>
  <si>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</si>
  <si>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</si>
  <si>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</si>
  <si>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</si>
  <si>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</si>
  <si>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</si>
  <si>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</si>
  <si>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</si>
  <si>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</si>
  <si>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</si>
  <si>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</si>
  <si>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</si>
  <si>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</si>
  <si>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</si>
  <si>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</si>
  <si>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</si>
  <si>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</si>
  <si>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</si>
  <si>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</si>
  <si>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</si>
  <si>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</si>
  <si>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</si>
  <si>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</si>
  <si>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</si>
  <si>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</si>
  <si>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</si>
  <si>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</si>
  <si>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</si>
  <si>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</si>
  <si>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</si>
  <si>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</si>
  <si>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</si>
  <si>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</si>
  <si>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</si>
  <si>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</si>
  <si>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</si>
  <si>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</si>
  <si>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</si>
  <si>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</si>
  <si>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</si>
  <si>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</si>
  <si>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</si>
  <si>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</si>
  <si>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</si>
  <si>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</si>
  <si>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</si>
  <si>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</si>
  <si>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</si>
  <si>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</si>
  <si>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</si>
  <si>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</si>
  <si>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</si>
  <si>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</si>
  <si>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</si>
  <si>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</si>
  <si>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</si>
  <si>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</si>
  <si>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</si>
  <si>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</si>
  <si>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</si>
  <si>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</si>
  <si>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</si>
  <si>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</si>
  <si>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</si>
  <si>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</si>
  <si>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</si>
  <si>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</si>
  <si>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</si>
  <si>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</si>
  <si>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</si>
  <si>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</si>
  <si>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</si>
  <si>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</si>
  <si>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</si>
  <si>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</si>
  <si>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</si>
  <si>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</si>
  <si>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</si>
  <si>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</si>
  <si>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</si>
  <si>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</si>
  <si>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</si>
  <si>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</si>
  <si>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</si>
  <si>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</si>
  <si>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</si>
  <si>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</si>
  <si>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</si>
  <si>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</si>
  <si>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</si>
  <si>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</si>
  <si>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</si>
  <si>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</si>
  <si>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</si>
  <si>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</si>
  <si>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</si>
  <si>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</si>
  <si>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</si>
  <si>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</si>
  <si>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</si>
  <si>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</si>
  <si>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</si>
  <si>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</si>
  <si>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</si>
  <si>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</si>
  <si>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</si>
  <si>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</si>
  <si>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</si>
  <si>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</si>
  <si>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</si>
  <si>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</si>
  <si>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</si>
  <si>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</si>
  <si>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</si>
  <si>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</si>
  <si>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</si>
  <si>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</si>
  <si>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</si>
  <si>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</si>
  <si>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</si>
  <si>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</si>
  <si>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</si>
  <si>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</si>
  <si>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</si>
  <si>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</si>
  <si>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</si>
  <si>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</si>
  <si>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</si>
  <si>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</si>
  <si>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</si>
  <si>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</si>
  <si>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</si>
  <si>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</si>
  <si>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</si>
  <si>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</si>
  <si>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</si>
  <si>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</si>
  <si>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</si>
  <si>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</si>
  <si>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</si>
  <si>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</si>
  <si>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</si>
  <si>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</si>
  <si>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</si>
  <si>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</si>
  <si>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</si>
  <si>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</si>
  <si>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</si>
  <si>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</si>
  <si>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</si>
  <si>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</si>
  <si>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</si>
  <si>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</si>
  <si>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</si>
  <si>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</si>
  <si>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</si>
  <si>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</si>
  <si>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</si>
  <si>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</si>
  <si>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</si>
  <si>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</si>
  <si>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</si>
  <si>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</si>
  <si>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</si>
  <si>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</si>
  <si>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</si>
  <si>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</si>
  <si>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</si>
  <si>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</si>
  <si>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</si>
  <si>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</si>
  <si>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</si>
  <si>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</si>
  <si>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</si>
  <si>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</si>
  <si>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</si>
  <si>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</si>
  <si>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</si>
  <si>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</si>
  <si>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</si>
  <si>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</si>
  <si>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</si>
  <si>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</si>
  <si>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</si>
  <si>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</si>
  <si>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</si>
  <si>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</si>
  <si>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</si>
  <si>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</si>
  <si>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</si>
  <si>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</si>
  <si>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</si>
  <si>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</si>
  <si>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</si>
  <si>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</si>
  <si>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</si>
  <si>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</si>
  <si>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</si>
  <si>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</si>
  <si>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</si>
  <si>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</si>
  <si>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</si>
  <si>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</si>
  <si>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</si>
  <si>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</si>
  <si>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</si>
  <si>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</si>
  <si>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</si>
  <si>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</si>
  <si>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</si>
  <si>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</si>
  <si>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</si>
  <si>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</si>
  <si>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</si>
  <si>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</si>
  <si>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</si>
  <si>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</si>
  <si>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</si>
  <si>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</si>
  <si>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</si>
  <si>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</si>
  <si>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</si>
  <si>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</si>
  <si>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</si>
  <si>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</si>
  <si>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</si>
  <si>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</si>
  <si>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</si>
  <si>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</si>
  <si>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</si>
  <si>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</si>
  <si>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</si>
  <si>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</si>
  <si>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</si>
  <si>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</si>
  <si>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</si>
  <si>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</si>
  <si>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</si>
  <si>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</si>
  <si>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</si>
  <si>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</si>
  <si>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</si>
  <si>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</si>
  <si>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</si>
  <si>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</si>
  <si>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</si>
  <si>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</si>
  <si>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</si>
  <si>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</si>
  <si>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</si>
  <si>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</si>
  <si>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</si>
  <si>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</si>
  <si>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</si>
  <si>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</si>
  <si>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</si>
  <si>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</si>
  <si>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</si>
  <si>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</si>
  <si>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</si>
  <si>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</si>
  <si>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</si>
  <si>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</si>
  <si>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</si>
  <si>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</si>
  <si>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</si>
  <si>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</si>
  <si>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</si>
  <si>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</si>
  <si>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</si>
  <si>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</si>
  <si>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</si>
  <si>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</si>
  <si>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</si>
  <si>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</si>
  <si>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</si>
  <si>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</si>
  <si>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</si>
  <si>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</si>
  <si>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</si>
  <si>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</si>
  <si>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</si>
  <si>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</si>
  <si>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</si>
  <si>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</si>
  <si>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</si>
  <si>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</si>
  <si>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</si>
  <si>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</si>
  <si>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</si>
  <si>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</si>
  <si>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</si>
  <si>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</si>
  <si>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</si>
  <si>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</si>
  <si>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</si>
  <si>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</si>
  <si>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</si>
  <si>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</si>
  <si>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</si>
  <si>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</si>
  <si>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</si>
  <si>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</si>
  <si>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</si>
  <si>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</si>
  <si>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</si>
  <si>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</si>
  <si>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</si>
  <si>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</si>
  <si>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</si>
  <si>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</si>
  <si>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</si>
  <si>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</si>
  <si>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</si>
  <si>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</si>
  <si>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</si>
  <si>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</si>
  <si>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</si>
  <si>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</si>
  <si>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</si>
  <si>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</si>
  <si>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</si>
  <si>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</si>
  <si>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</si>
  <si>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</si>
  <si>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</si>
  <si>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</si>
  <si>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</si>
  <si>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</si>
  <si>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</si>
  <si>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</si>
  <si>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</si>
  <si>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</si>
  <si>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</si>
  <si>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</si>
  <si>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</si>
  <si>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</si>
  <si>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</si>
  <si>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</si>
  <si>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</si>
  <si>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</si>
  <si>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</si>
  <si>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</si>
  <si>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</si>
  <si>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</si>
  <si>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</si>
  <si>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</si>
  <si>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</si>
  <si>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</si>
  <si>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</si>
  <si>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</si>
  <si>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</si>
  <si>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</si>
  <si>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</si>
  <si>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</si>
  <si>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</si>
  <si>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</si>
  <si>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</si>
  <si>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</si>
  <si>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</si>
  <si>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</si>
  <si>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</si>
  <si>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</si>
  <si>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</si>
  <si>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</si>
  <si>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</si>
  <si>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</si>
  <si>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</si>
  <si>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</si>
  <si>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</si>
  <si>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</si>
  <si>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</si>
  <si>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</si>
  <si>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</si>
  <si>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</si>
  <si>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</si>
  <si>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</si>
  <si>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</si>
  <si>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</si>
  <si>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</si>
  <si>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</si>
  <si>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</si>
  <si>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</si>
  <si>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</si>
  <si>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</si>
  <si>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</si>
  <si>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</si>
  <si>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</si>
  <si>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</si>
  <si>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</si>
  <si>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</si>
  <si>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</si>
  <si>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</si>
  <si>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</si>
  <si>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</si>
  <si>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</si>
  <si>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</si>
  <si>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</si>
  <si>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</si>
  <si>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</si>
  <si>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</si>
  <si>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</si>
  <si>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</si>
  <si>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</si>
  <si>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</si>
  <si>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</si>
  <si>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</si>
  <si>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</si>
  <si>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</si>
  <si>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</si>
  <si>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</si>
  <si>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</si>
  <si>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</si>
  <si>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</si>
  <si>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</si>
  <si>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</si>
  <si>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</si>
  <si>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</si>
  <si>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</si>
  <si>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</si>
  <si>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</si>
  <si>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</si>
  <si>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</si>
  <si>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</si>
  <si>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</si>
  <si>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</si>
  <si>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</si>
  <si>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</si>
  <si>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</si>
  <si>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</si>
  <si>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</si>
  <si>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</si>
  <si>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</si>
  <si>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</si>
  <si>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</si>
  <si>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</si>
  <si>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</si>
  <si>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</si>
  <si>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</si>
  <si>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</si>
  <si>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</si>
  <si>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</si>
  <si>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</si>
  <si>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</si>
  <si>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</si>
  <si>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</si>
  <si>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</si>
  <si>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</si>
  <si>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</si>
  <si>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</si>
  <si>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</si>
  <si>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</si>
  <si>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</si>
  <si>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</si>
  <si>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</si>
  <si>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</si>
  <si>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</si>
  <si>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</si>
  <si>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</si>
  <si>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</si>
  <si>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</si>
  <si>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</si>
  <si>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</si>
  <si>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</si>
  <si>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</si>
  <si>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</si>
  <si>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</si>
  <si>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</si>
  <si>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</si>
  <si>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</si>
  <si>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</si>
  <si>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</si>
  <si>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</si>
  <si>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</si>
  <si>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</si>
  <si>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</si>
  <si>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</si>
  <si>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</si>
  <si>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</si>
  <si>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</si>
  <si>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</si>
  <si>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</si>
  <si>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</si>
  <si>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</si>
  <si>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</si>
  <si>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</si>
  <si>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</si>
  <si>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</si>
  <si>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</si>
  <si>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</si>
  <si>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</si>
  <si>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</si>
  <si>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</si>
  <si>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</si>
  <si>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</si>
  <si>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</si>
  <si>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</si>
  <si>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</si>
  <si>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</si>
  <si>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</si>
  <si>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</si>
  <si>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</si>
  <si>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</si>
  <si>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</si>
  <si>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</si>
  <si>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</si>
  <si>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</si>
  <si>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</si>
  <si>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</si>
  <si>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</si>
  <si>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</si>
  <si>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</si>
  <si>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</si>
  <si>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</si>
  <si>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</si>
  <si>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</si>
  <si>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</si>
  <si>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</si>
  <si>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</si>
  <si>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</si>
  <si>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</si>
  <si>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</si>
  <si>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</si>
  <si>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</si>
  <si>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</si>
  <si>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</si>
  <si>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</si>
  <si>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</si>
  <si>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</si>
  <si>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</si>
  <si>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</si>
  <si>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</si>
  <si>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</si>
  <si>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</si>
  <si>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</si>
  <si>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</si>
  <si>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</si>
  <si>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</si>
  <si>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</si>
  <si>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</si>
  <si>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</si>
  <si>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</si>
  <si>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</si>
  <si>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</si>
  <si>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</si>
  <si>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</si>
  <si>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</si>
  <si>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</si>
  <si>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</si>
  <si>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</si>
  <si>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</si>
  <si>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</si>
  <si>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</si>
  <si>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</si>
  <si>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</si>
  <si>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</si>
  <si>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</si>
  <si>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</si>
  <si>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</si>
  <si>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</si>
  <si>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</si>
  <si>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</si>
  <si>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</si>
  <si>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</si>
  <si>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</si>
  <si>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</si>
  <si>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</si>
  <si>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</si>
  <si>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</si>
  <si>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</si>
  <si>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</si>
  <si>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</si>
  <si>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</si>
  <si>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</si>
  <si>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</si>
  <si>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</si>
  <si>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</si>
  <si>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</si>
  <si>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</si>
  <si>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</si>
  <si>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</si>
  <si>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</si>
  <si>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</si>
  <si>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</si>
  <si>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</si>
  <si>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</si>
  <si>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</si>
  <si>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</si>
  <si>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</si>
  <si>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</si>
  <si>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</si>
  <si>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</si>
  <si>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</si>
  <si>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</si>
  <si>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</si>
  <si>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</si>
  <si>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</si>
  <si>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</si>
  <si>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</si>
  <si>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</si>
  <si>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</si>
  <si>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</si>
  <si>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</si>
  <si>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</si>
  <si>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</si>
  <si>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</si>
  <si>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</si>
  <si>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</si>
  <si>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</si>
  <si>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</si>
  <si>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</si>
  <si>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</si>
  <si>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</si>
  <si>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</si>
  <si>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</si>
  <si>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</si>
  <si>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</si>
  <si>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</si>
  <si>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</si>
  <si>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</si>
  <si>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</si>
  <si>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</si>
  <si>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</si>
  <si>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</si>
  <si>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</si>
  <si>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</si>
  <si>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</si>
  <si>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</si>
  <si>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</si>
  <si>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</si>
  <si>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</si>
  <si>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</si>
  <si>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</si>
  <si>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</si>
  <si>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</si>
  <si>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</si>
  <si>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</si>
  <si>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</si>
  <si>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</si>
  <si>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</si>
  <si>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</si>
  <si>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</si>
  <si>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</si>
  <si>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</si>
  <si>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</si>
  <si>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</si>
  <si>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</si>
  <si>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</si>
  <si>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</si>
  <si>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</si>
  <si>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</si>
  <si>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</si>
  <si>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</si>
  <si>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</si>
  <si>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</si>
  <si>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</si>
  <si>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</si>
  <si>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</si>
  <si>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</si>
  <si>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</si>
  <si>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</si>
  <si>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</si>
  <si>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</si>
  <si>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</si>
  <si>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</si>
  <si>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</si>
  <si>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</si>
  <si>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</si>
  <si>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</si>
  <si>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</si>
  <si>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</si>
  <si>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</si>
  <si>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</si>
  <si>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</si>
  <si>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</si>
  <si>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</si>
  <si>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</si>
  <si>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</si>
  <si>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</si>
  <si>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</si>
  <si>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</si>
  <si>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</si>
  <si>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</si>
  <si>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</si>
  <si>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</si>
  <si>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</si>
  <si>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</si>
  <si>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</si>
  <si>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</si>
  <si>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</si>
  <si>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</si>
  <si>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</si>
  <si>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</si>
  <si>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</si>
  <si>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</si>
  <si>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</si>
  <si>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</si>
  <si>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</si>
  <si>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</si>
  <si>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</si>
  <si>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</si>
  <si>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</si>
  <si>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</si>
  <si>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</si>
  <si>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</si>
  <si>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</si>
  <si>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</si>
  <si>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</si>
  <si>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</si>
  <si>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</si>
  <si>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</si>
  <si>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</si>
  <si>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</si>
  <si>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</si>
  <si>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</si>
  <si>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</si>
  <si>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</si>
  <si>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</si>
  <si>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</si>
  <si>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</si>
  <si>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</si>
  <si>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</si>
  <si>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</si>
  <si>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</si>
  <si>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</si>
  <si>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</si>
  <si>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</si>
  <si>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</si>
  <si>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</si>
  <si>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</si>
  <si>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</si>
  <si>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</si>
  <si>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</si>
  <si>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</si>
  <si>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</si>
  <si>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</si>
  <si>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</si>
  <si>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</si>
  <si>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</si>
  <si>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</si>
  <si>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</si>
  <si>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</si>
  <si>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</si>
  <si>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</si>
  <si>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</si>
  <si>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</si>
  <si>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</si>
  <si>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</si>
  <si>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</si>
  <si>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</si>
  <si>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</si>
  <si>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</si>
  <si>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</si>
  <si>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</si>
  <si>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</si>
  <si>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</si>
  <si>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</si>
  <si>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</si>
  <si>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</si>
  <si>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</si>
  <si>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</si>
  <si>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</si>
  <si>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</si>
  <si>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</si>
  <si>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</si>
  <si>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</si>
  <si>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</si>
  <si>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</si>
  <si>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</si>
  <si>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</si>
  <si>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</si>
  <si>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</si>
  <si>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</si>
  <si>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</si>
  <si>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</si>
  <si>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</si>
  <si>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</si>
  <si>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</si>
  <si>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</si>
  <si>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</si>
  <si>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</si>
  <si>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</si>
  <si>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</si>
  <si>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</si>
  <si>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</si>
  <si>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</si>
  <si>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</si>
  <si>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</si>
  <si>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</si>
  <si>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</si>
  <si>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</si>
  <si>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</si>
  <si>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</si>
  <si>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</si>
  <si>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</si>
  <si>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</si>
  <si>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</si>
  <si>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</si>
  <si>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</si>
  <si>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</si>
  <si>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</si>
  <si>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</si>
  <si>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</si>
  <si>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</si>
  <si>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</si>
  <si>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</si>
  <si>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</si>
  <si>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</si>
  <si>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</si>
  <si>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</si>
  <si>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</si>
  <si>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</si>
  <si>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</si>
  <si>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</si>
  <si>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</si>
  <si>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</si>
  <si>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</si>
  <si>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</si>
  <si>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</si>
  <si>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</si>
  <si>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</si>
  <si>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</si>
  <si>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</si>
  <si>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</si>
  <si>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</si>
  <si>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</si>
  <si>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</si>
  <si>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</si>
  <si>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</si>
  <si>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</si>
  <si>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</si>
  <si>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</si>
  <si>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</si>
  <si>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</si>
  <si>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</si>
  <si>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</si>
  <si>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</si>
  <si>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</si>
  <si>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</si>
  <si>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</si>
  <si>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</si>
  <si>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</si>
  <si>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</si>
  <si>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</si>
  <si>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</si>
  <si>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</si>
  <si>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</si>
  <si>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</si>
  <si>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</si>
  <si>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</si>
  <si>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</si>
  <si>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</si>
  <si>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</si>
  <si>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</si>
  <si>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</si>
  <si>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</si>
  <si>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</si>
  <si>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</si>
  <si>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</si>
  <si>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</si>
  <si>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</si>
  <si>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</si>
  <si>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</si>
  <si>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</si>
  <si>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</si>
  <si>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</si>
  <si>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</si>
  <si>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</si>
  <si>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</si>
  <si>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</si>
  <si>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</si>
  <si>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</si>
  <si>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</si>
  <si>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</si>
  <si>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</si>
  <si>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</si>
  <si>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</si>
  <si>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</si>
  <si>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</si>
  <si>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</si>
  <si>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</si>
  <si>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</si>
  <si>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</si>
  <si>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</si>
  <si>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</si>
  <si>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</si>
  <si>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</si>
  <si>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</si>
  <si>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</si>
  <si>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</si>
  <si>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</si>
  <si>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</si>
  <si>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</si>
  <si>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</si>
  <si>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</si>
  <si>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</si>
  <si>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</si>
  <si>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</si>
  <si>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</si>
  <si>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</si>
  <si>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</si>
  <si>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</si>
  <si>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</si>
  <si>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</si>
  <si>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</si>
  <si>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</si>
  <si>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</si>
  <si>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</si>
  <si>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</si>
  <si>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</si>
  <si>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</si>
  <si>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</si>
  <si>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</si>
  <si>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</si>
  <si>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</si>
  <si>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</si>
  <si>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</si>
  <si>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</si>
  <si>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</si>
  <si>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</si>
  <si>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</si>
  <si>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</si>
  <si>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</si>
  <si>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</si>
  <si>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</si>
  <si>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</si>
  <si>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</si>
  <si>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</si>
  <si>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</si>
  <si>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</si>
  <si>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</si>
  <si>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</si>
  <si>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</si>
  <si>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</si>
  <si>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</si>
  <si>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</si>
  <si>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</si>
  <si>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</si>
  <si>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</si>
  <si>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</si>
  <si>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</si>
  <si>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</si>
  <si>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</si>
  <si>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</si>
  <si>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</si>
  <si>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</si>
  <si>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</si>
  <si>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</si>
  <si>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</si>
  <si>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</si>
  <si>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</si>
  <si>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</si>
  <si>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</si>
  <si>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</si>
  <si>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</si>
  <si>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</si>
  <si>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</si>
  <si>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</si>
  <si>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</si>
  <si>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</si>
  <si>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</si>
  <si>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</si>
  <si>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</si>
  <si>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</si>
  <si>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</si>
  <si>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</si>
  <si>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</si>
  <si>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</si>
  <si>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</si>
  <si>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</si>
  <si>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</si>
  <si>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</si>
  <si>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</si>
  <si>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</si>
  <si>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</si>
  <si>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</si>
  <si>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</si>
  <si>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</si>
  <si>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</si>
  <si>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</si>
  <si>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</si>
  <si>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</si>
  <si>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</si>
  <si>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</si>
  <si>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</si>
  <si>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</si>
  <si>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</si>
  <si>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</si>
  <si>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</si>
  <si>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</si>
  <si>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</si>
  <si>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</si>
  <si>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</si>
  <si>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</si>
  <si>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</si>
  <si>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</si>
  <si>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</si>
  <si>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</si>
  <si>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</si>
  <si>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</si>
  <si>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</si>
  <si>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</si>
  <si>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</si>
  <si>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</si>
  <si>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</si>
  <si>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</si>
  <si>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</si>
  <si>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</si>
  <si>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</si>
  <si>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</si>
  <si>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</si>
  <si>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</si>
  <si>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</si>
  <si>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</si>
  <si>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</si>
  <si>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</si>
  <si>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</si>
  <si>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</si>
  <si>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</si>
  <si>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</si>
  <si>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</si>
  <si>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</si>
  <si>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</si>
  <si>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</si>
  <si>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</si>
  <si>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</si>
  <si>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</si>
  <si>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</si>
  <si>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</si>
  <si>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</si>
  <si>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</si>
  <si>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</si>
  <si>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</si>
  <si>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</si>
  <si>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</si>
  <si>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</si>
  <si>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</si>
  <si>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</si>
  <si>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</si>
  <si>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</si>
  <si>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</si>
  <si>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</si>
  <si>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</si>
  <si>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</si>
  <si>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</si>
  <si>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</si>
  <si>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</si>
  <si>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</si>
  <si>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</si>
  <si>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</si>
  <si>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</si>
  <si>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</si>
  <si>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</si>
  <si>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</si>
  <si>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</si>
  <si>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</si>
  <si>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</si>
  <si>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</si>
  <si>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</si>
  <si>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</si>
  <si>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</si>
  <si>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</si>
  <si>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</si>
  <si>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</si>
  <si>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</si>
  <si>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</si>
  <si>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</si>
  <si>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</si>
  <si>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</si>
  <si>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</si>
  <si>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</si>
  <si>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</si>
  <si>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</si>
  <si>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</si>
  <si>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</si>
  <si>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</si>
  <si>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</si>
  <si>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</si>
  <si>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</si>
  <si>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</si>
  <si>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</si>
  <si>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</si>
  <si>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</si>
  <si>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</si>
  <si>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</si>
  <si>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</si>
  <si>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</si>
  <si>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</si>
  <si>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</si>
  <si>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</si>
  <si>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</si>
  <si>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</si>
  <si>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</si>
  <si>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</si>
  <si>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</si>
  <si>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</si>
  <si>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</si>
  <si>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</si>
  <si>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</si>
  <si>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</si>
  <si>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</si>
  <si>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</si>
  <si>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</si>
  <si>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</si>
  <si>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</si>
  <si>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</si>
  <si>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</si>
  <si>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</si>
  <si>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</si>
  <si>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</si>
  <si>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</si>
  <si>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</si>
  <si>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</si>
  <si>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</si>
  <si>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</si>
  <si>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</si>
  <si>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</si>
  <si>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</si>
  <si>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</si>
  <si>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</si>
  <si>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</si>
  <si>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</si>
  <si>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</si>
  <si>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</si>
  <si>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</si>
  <si>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</si>
  <si>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</si>
  <si>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</si>
  <si>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</si>
  <si>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</si>
  <si>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</si>
  <si>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</si>
  <si>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</si>
  <si>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</si>
  <si>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</si>
  <si>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</si>
  <si>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</si>
  <si>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</si>
  <si>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</si>
  <si>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</si>
  <si>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</si>
  <si>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</si>
  <si>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</si>
  <si>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</si>
  <si>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</si>
  <si>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</si>
  <si>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</si>
  <si>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</si>
  <si>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</si>
  <si>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</si>
  <si>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</si>
  <si>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</si>
  <si>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</si>
  <si>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</si>
  <si>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</si>
  <si>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</si>
  <si>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</si>
  <si>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</si>
  <si>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</si>
  <si>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</si>
  <si>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</si>
  <si>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</si>
  <si>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</si>
  <si>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</si>
  <si>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</si>
  <si>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</si>
  <si>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</si>
  <si>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</si>
  <si>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</si>
  <si>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</si>
  <si>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</si>
  <si>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</si>
  <si>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</si>
  <si>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</si>
  <si>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</si>
  <si>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</si>
  <si>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</si>
  <si>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</si>
  <si>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</si>
  <si>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</si>
  <si>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</si>
  <si>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</si>
  <si>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</si>
  <si>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</si>
  <si>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</si>
  <si>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</si>
  <si>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</si>
  <si>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</si>
  <si>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</si>
  <si>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</si>
  <si>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</si>
  <si>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</si>
  <si>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</si>
  <si>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</si>
  <si>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</si>
  <si>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</si>
  <si>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</si>
  <si>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</si>
  <si>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</si>
  <si>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</si>
  <si>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</si>
  <si>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</si>
  <si>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</si>
  <si>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</si>
  <si>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</si>
  <si>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</si>
  <si>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</si>
  <si>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</si>
  <si>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</si>
  <si>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</si>
  <si>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</si>
  <si>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</si>
  <si>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</si>
  <si>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</si>
  <si>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</si>
  <si>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</si>
  <si>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</si>
  <si>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</si>
  <si>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</si>
  <si>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</si>
  <si>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</si>
  <si>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</si>
  <si>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</si>
  <si>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</si>
  <si>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</si>
  <si>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</si>
  <si>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</si>
  <si>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</si>
  <si>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</si>
  <si>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</si>
  <si>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</si>
  <si>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</si>
  <si>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</si>
  <si>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</si>
  <si>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</si>
  <si>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</si>
  <si>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</si>
  <si>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</si>
  <si>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</si>
  <si>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</si>
  <si>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</si>
  <si>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</si>
  <si>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</si>
  <si>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</si>
  <si>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</si>
  <si>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</si>
  <si>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</si>
  <si>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</si>
  <si>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</si>
  <si>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</si>
  <si>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</si>
  <si>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</si>
  <si>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</si>
  <si>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</si>
  <si>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</si>
  <si>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</si>
  <si>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</si>
  <si>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</si>
  <si>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</si>
  <si>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</si>
  <si>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</si>
  <si>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</si>
  <si>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</si>
  <si>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</si>
  <si>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</si>
  <si>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</si>
  <si>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</si>
  <si>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</si>
  <si>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</si>
  <si>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</si>
  <si>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</si>
  <si>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</si>
  <si>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</si>
  <si>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</si>
  <si>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</si>
  <si>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</si>
  <si>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</si>
  <si>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</si>
  <si>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</si>
  <si>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</si>
  <si>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</si>
  <si>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</si>
  <si>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</si>
  <si>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</si>
  <si>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</si>
  <si>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</si>
  <si>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</si>
  <si>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</si>
  <si>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</si>
  <si>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</si>
  <si>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</si>
  <si>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</si>
  <si>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</si>
  <si>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</si>
  <si>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</si>
  <si>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</si>
  <si>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</si>
  <si>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</si>
  <si>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</si>
  <si>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</si>
  <si>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</si>
  <si>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</si>
  <si>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</si>
  <si>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</si>
  <si>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</si>
  <si>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</si>
  <si>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</si>
  <si>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</si>
  <si>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</si>
  <si>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</si>
  <si>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</si>
  <si>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</si>
  <si>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</si>
  <si>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</si>
  <si>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</si>
  <si>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</si>
  <si>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</si>
  <si>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</si>
  <si>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</si>
  <si>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</si>
  <si>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</si>
  <si>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</si>
  <si>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</si>
  <si>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</si>
  <si>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</si>
  <si>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</si>
  <si>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</si>
  <si>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</si>
  <si>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</si>
  <si>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</si>
  <si>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</si>
  <si>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</si>
  <si>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</si>
  <si>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</si>
  <si>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</si>
  <si>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</si>
  <si>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</si>
  <si>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</si>
  <si>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</si>
  <si>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</si>
  <si>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</si>
  <si>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</si>
  <si>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</si>
  <si>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</si>
  <si>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</si>
  <si>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</si>
  <si>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</si>
  <si>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</si>
  <si>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</si>
  <si>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</si>
  <si>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</si>
  <si>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</si>
  <si>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</si>
  <si>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</si>
  <si>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</si>
  <si>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</si>
  <si>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</si>
  <si>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</si>
  <si>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</si>
  <si>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</si>
  <si>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</si>
  <si>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</si>
  <si>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</si>
  <si>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</si>
  <si>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</si>
  <si>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</si>
  <si>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</si>
  <si>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</si>
  <si>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</si>
  <si>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</si>
  <si>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</si>
  <si>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</si>
  <si>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</si>
  <si>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</si>
  <si>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</si>
  <si>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</si>
  <si>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</si>
  <si>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</si>
  <si>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</si>
  <si>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</si>
  <si>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</si>
  <si>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</si>
  <si>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</si>
  <si>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</si>
  <si>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</si>
  <si>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</si>
  <si>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</si>
  <si>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</si>
  <si>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</si>
  <si>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</si>
  <si>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</si>
  <si>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</si>
  <si>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</si>
  <si>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</si>
  <si>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</si>
  <si>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</si>
  <si>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</si>
  <si>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</si>
  <si>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</si>
  <si>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</si>
  <si>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</si>
  <si>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</si>
  <si>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</si>
  <si>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</si>
  <si>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</si>
  <si>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</si>
  <si>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</si>
  <si>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</si>
  <si>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</si>
  <si>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</si>
  <si>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</si>
  <si>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</si>
  <si>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</si>
  <si>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</si>
  <si>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</si>
  <si>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</si>
  <si>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</si>
  <si>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</si>
  <si>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</si>
  <si>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</si>
  <si>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</si>
  <si>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</si>
  <si>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</si>
  <si>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</si>
  <si>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</si>
  <si>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</si>
  <si>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</si>
  <si>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</si>
  <si>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</si>
  <si>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</si>
  <si>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</si>
  <si>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</si>
  <si>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</si>
  <si>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</si>
  <si>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</si>
  <si>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</si>
  <si>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</si>
  <si>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</si>
  <si>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</si>
  <si>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</si>
  <si>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</si>
  <si>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</si>
  <si>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</si>
  <si>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</si>
  <si>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</si>
  <si>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</si>
  <si>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</si>
  <si>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</si>
  <si>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</si>
  <si>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</si>
  <si>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</si>
  <si>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</si>
  <si>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</si>
  <si>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</si>
  <si>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</si>
  <si>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</si>
  <si>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</si>
  <si>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</si>
  <si>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</si>
  <si>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</si>
  <si>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</si>
  <si>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</si>
  <si>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</si>
  <si>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</si>
  <si>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</si>
  <si>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</si>
  <si>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</si>
  <si>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</si>
  <si>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</si>
  <si>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</si>
  <si>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</si>
  <si>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</si>
  <si>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</si>
  <si>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</si>
  <si>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</si>
  <si>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</si>
  <si>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</si>
  <si>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</si>
  <si>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</si>
  <si>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</si>
  <si>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</si>
  <si>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</si>
  <si>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</si>
  <si>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</si>
  <si>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</si>
  <si>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</si>
  <si>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</si>
  <si>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</si>
  <si>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</si>
  <si>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</si>
  <si>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</si>
  <si>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</si>
  <si>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</si>
  <si>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</si>
  <si>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</si>
  <si>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</si>
  <si>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</si>
  <si>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</si>
  <si>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</si>
  <si>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</si>
  <si>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</si>
  <si>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</si>
  <si>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</si>
  <si>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</si>
  <si>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</si>
  <si>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</si>
  <si>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</si>
  <si>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</si>
  <si>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</si>
  <si>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</si>
  <si>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</si>
  <si>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</si>
  <si>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</si>
  <si>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</si>
  <si>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</si>
  <si>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</si>
  <si>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</si>
  <si>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</si>
  <si>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</si>
  <si>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</si>
  <si>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</si>
  <si>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</si>
  <si>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</si>
  <si>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</si>
  <si>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</si>
  <si>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</si>
  <si>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</si>
  <si>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</si>
  <si>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</si>
  <si>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</si>
  <si>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</si>
  <si>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</si>
  <si>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</si>
  <si>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</si>
  <si>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</si>
  <si>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</si>
  <si>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</si>
  <si>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</si>
  <si>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</si>
  <si>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</si>
  <si>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</si>
  <si>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</si>
  <si>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</si>
  <si>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</si>
  <si>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</si>
  <si>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</si>
  <si>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</si>
  <si>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</si>
  <si>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</si>
  <si>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</si>
  <si>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</si>
  <si>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</si>
  <si>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</si>
  <si>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</si>
  <si>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</si>
  <si>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</si>
  <si>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</si>
  <si>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</si>
  <si>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</si>
  <si>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</si>
  <si>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</si>
  <si>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</si>
  <si>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</si>
  <si>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</si>
  <si>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</si>
  <si>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</si>
  <si>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</si>
  <si>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</si>
  <si>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</si>
  <si>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</si>
  <si>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</si>
  <si>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</si>
  <si>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</si>
  <si>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</si>
  <si>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</si>
  <si>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</si>
  <si>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</si>
  <si>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</si>
  <si>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</si>
  <si>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</si>
  <si>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</si>
  <si>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</si>
  <si>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</si>
  <si>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</si>
  <si>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</si>
  <si>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</si>
  <si>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</si>
  <si>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</si>
  <si>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</si>
  <si>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</si>
  <si>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</si>
  <si>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</si>
  <si>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</si>
  <si>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</si>
  <si>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</si>
  <si>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</si>
  <si>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</si>
  <si>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</si>
  <si>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</si>
  <si>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</si>
  <si>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</si>
  <si>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</si>
  <si>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</si>
  <si>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</si>
  <si>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</si>
  <si>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</si>
  <si>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</si>
  <si>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</si>
  <si>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</si>
  <si>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</si>
  <si>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</si>
  <si>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</si>
  <si>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</si>
  <si>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</si>
  <si>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</si>
  <si>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</si>
  <si>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</si>
  <si>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</si>
  <si>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</si>
  <si>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</si>
  <si>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</si>
  <si>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</si>
  <si>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</si>
  <si>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</si>
  <si>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</si>
  <si>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</si>
  <si>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</si>
  <si>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</si>
  <si>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</si>
  <si>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</si>
  <si>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</si>
  <si>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</si>
  <si>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</si>
  <si>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</si>
  <si>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</si>
  <si>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</si>
  <si>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</si>
  <si>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</si>
  <si>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</si>
  <si>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</si>
  <si>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</si>
  <si>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</si>
  <si>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</si>
  <si>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</si>
  <si>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</si>
  <si>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</si>
  <si>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</si>
  <si>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</si>
  <si>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</si>
  <si>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</si>
  <si>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</si>
  <si>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</si>
  <si>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</si>
  <si>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</si>
  <si>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</si>
  <si>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</si>
  <si>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</si>
  <si>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</si>
  <si>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</si>
  <si>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</si>
  <si>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</si>
  <si>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</si>
  <si>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</si>
  <si>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</si>
  <si>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</si>
  <si>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</si>
  <si>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</si>
  <si>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</si>
  <si>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</si>
  <si>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</si>
  <si>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</si>
  <si>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</si>
  <si>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</si>
  <si>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</si>
  <si>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</si>
  <si>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</si>
  <si>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</si>
  <si>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</si>
  <si>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</si>
  <si>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</si>
  <si>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</si>
  <si>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</si>
  <si>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</si>
  <si>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</si>
  <si>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</si>
  <si>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</si>
  <si>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</si>
  <si>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</si>
  <si>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</si>
  <si>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</si>
  <si>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</si>
  <si>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</si>
  <si>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</si>
  <si>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</si>
  <si>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</si>
  <si>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</si>
  <si>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</si>
  <si>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</si>
  <si>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</si>
  <si>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</si>
  <si>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</si>
  <si>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</si>
  <si>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</si>
  <si>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</si>
  <si>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</si>
  <si>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</si>
  <si>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</si>
  <si>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</si>
  <si>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</si>
  <si>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</si>
  <si>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</si>
  <si>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</si>
  <si>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</si>
  <si>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</si>
  <si>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</si>
  <si>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</si>
  <si>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</si>
  <si>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</si>
  <si>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</si>
  <si>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</si>
  <si>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</si>
  <si>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</si>
  <si>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</si>
  <si>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</si>
  <si>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</si>
  <si>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</si>
  <si>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</si>
  <si>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</si>
  <si>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</si>
  <si>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</si>
  <si>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</si>
  <si>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</si>
  <si>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</si>
  <si>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</si>
  <si>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</si>
  <si>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</si>
  <si>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</si>
  <si>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</si>
  <si>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</si>
  <si>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</si>
  <si>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</si>
  <si>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</si>
  <si>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</si>
  <si>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</si>
  <si>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</si>
  <si>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</si>
  <si>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</si>
  <si>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</si>
  <si>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</si>
  <si>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</si>
  <si>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</si>
  <si>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</si>
  <si>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</si>
  <si>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</si>
  <si>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</si>
  <si>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</si>
  <si>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</si>
  <si>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</si>
  <si>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</si>
  <si>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</si>
  <si>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</si>
  <si>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</si>
  <si>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</si>
  <si>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</si>
  <si>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</si>
  <si>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</si>
  <si>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</si>
  <si>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</si>
  <si>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</si>
  <si>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</si>
  <si>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</si>
  <si>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</si>
  <si>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</si>
  <si>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</si>
  <si>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</si>
  <si>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</si>
  <si>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</si>
  <si>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</si>
  <si>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</si>
  <si>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</si>
  <si>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</si>
  <si>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</si>
  <si>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</si>
  <si>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</si>
  <si>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</si>
  <si>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</si>
  <si>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</si>
  <si>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</si>
  <si>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</si>
  <si>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</si>
  <si>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</si>
  <si>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</si>
  <si>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</si>
  <si>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</si>
  <si>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</si>
  <si>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</si>
  <si>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</si>
  <si>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</si>
  <si>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</si>
  <si>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</si>
  <si>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</si>
  <si>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</si>
  <si>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</si>
  <si>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</si>
  <si>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</si>
  <si>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</si>
  <si>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</si>
  <si>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</si>
  <si>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</si>
  <si>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</si>
  <si>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</si>
  <si>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</si>
  <si>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</si>
  <si>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</si>
  <si>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</si>
  <si>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</si>
  <si>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</si>
  <si>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</si>
  <si>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</si>
  <si>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</si>
  <si>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</si>
  <si>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</si>
  <si>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</si>
  <si>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</si>
  <si>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</si>
  <si>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</si>
  <si>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</si>
  <si>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</si>
  <si>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</si>
  <si>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</si>
  <si>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</si>
  <si>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</si>
  <si>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</si>
  <si>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</si>
  <si>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</si>
  <si>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</si>
  <si>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</si>
  <si>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</si>
  <si>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</si>
  <si>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</si>
  <si>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</si>
  <si>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</si>
  <si>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</si>
  <si>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</si>
  <si>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</si>
  <si>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</si>
  <si>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</si>
  <si>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</si>
  <si>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</si>
  <si>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</si>
  <si>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</si>
  <si>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</si>
  <si>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</si>
  <si>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</si>
  <si>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</si>
  <si>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</si>
  <si>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</si>
  <si>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</si>
  <si>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</si>
  <si>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</si>
  <si>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</si>
  <si>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</si>
  <si>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</si>
  <si>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</si>
  <si>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</si>
  <si>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</si>
  <si>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</si>
  <si>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</si>
  <si>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</si>
  <si>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</si>
  <si>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</si>
  <si>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</si>
  <si>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</si>
  <si>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</si>
  <si>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</si>
  <si>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</si>
  <si>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</si>
  <si>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</si>
  <si>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</si>
  <si>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</si>
  <si>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</si>
  <si>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</si>
  <si>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</si>
  <si>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</si>
  <si>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</si>
  <si>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</si>
  <si>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</si>
  <si>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</si>
  <si>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</si>
  <si>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</si>
  <si>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</si>
  <si>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</si>
  <si>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</si>
  <si>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</si>
  <si>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</si>
  <si>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</si>
  <si>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</si>
  <si>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</si>
  <si>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</si>
  <si>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</si>
  <si>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</si>
  <si>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</si>
  <si>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</si>
  <si>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</si>
  <si>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</si>
  <si>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</si>
  <si>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</si>
  <si>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</si>
  <si>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</si>
  <si>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</si>
  <si>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</si>
  <si>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</si>
  <si>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</si>
  <si>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</si>
  <si>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</si>
  <si>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</si>
  <si>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</si>
  <si>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</si>
  <si>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</si>
  <si>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</si>
  <si>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</si>
  <si>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</si>
  <si>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</si>
  <si>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</si>
  <si>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</si>
  <si>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</si>
  <si>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</si>
  <si>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</si>
  <si>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</si>
  <si>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</si>
  <si>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</si>
  <si>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</si>
  <si>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</si>
  <si>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</si>
  <si>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</si>
  <si>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</si>
  <si>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</si>
  <si>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</si>
  <si>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</si>
  <si>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</si>
  <si>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</si>
  <si>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TO JAVID IQBAL VIA WHATSAPP AND RC IS IN DRAWER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</si>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</sst>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78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204" totalsRowShown="0" headerRowDxfId="77" dataDxfId="76">
  <autoFilter ref="A1:R204" xr:uid="{97E63F84-BDFB-4C38-B1FD-28318E0D1D3F}"/>
  <tableColumns count="18">
    <tableColumn id="1" xr3:uid="{DEBB3640-E433-4779-93BC-95B8FB492623}" name="S.NO" dataDxfId="75">
      <calculatedColumnFormula>ROW()-1</calculatedColumnFormula>
    </tableColumn>
    <tableColumn id="13" xr3:uid="{86C56767-9BFE-4154-9FC1-CEA7C183815E}" name="APPLICATION NO." dataDxfId="74"/>
    <tableColumn id="2" xr3:uid="{6ABB4EDF-0F58-40D7-979C-D37D8D91A6BC}" name="CHASSIS" dataDxfId="73"/>
    <tableColumn id="17" xr3:uid="{0BBF5E4D-B8B0-4055-8D5F-3A6BB4D4A4DA}" name="ENGINE NO." dataDxfId="72"/>
    <tableColumn id="3" xr3:uid="{285CC4F4-4CD1-4FFC-A101-ED051DA40438}" name="NAME" dataDxfId="71"/>
    <tableColumn id="4" xr3:uid="{28DC8B59-EFA0-4502-86B0-033B0B60D615}" name="MODEL" dataDxfId="70"/>
    <tableColumn id="14" xr3:uid="{B25F5A6A-3B72-4772-B75C-D86670F35131}" name="COLOR" dataDxfId="69"/>
    <tableColumn id="15" xr3:uid="{22F5E9AE-FC4E-4EBD-ADBF-5C93F85B331F}" name="RTO" dataDxfId="68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67"/>
    <tableColumn id="6" xr3:uid="{9942893D-0703-456F-8072-CD136C7B4052}" name="DATE OF REG" dataDxfId="66"/>
    <tableColumn id="12" xr3:uid="{CC83ADC7-1924-4CE0-83FB-B2DFBEF7A193}" name="CONTACT" dataDxfId="65"/>
    <tableColumn id="7" xr3:uid="{3AD2B0D9-D7A5-46E0-B596-F6B7F1CDDEA6}" name="DSE" dataDxfId="64"/>
    <tableColumn id="8" xr3:uid="{475221AE-3FDC-4CED-B76C-4DA1DD4F8AD9}" name="RC RECEIVED BY" dataDxfId="63"/>
    <tableColumn id="9" xr3:uid="{F594ED7D-6966-47AC-A5C3-25754B73A3CC}" name="DATE" dataDxfId="62"/>
    <tableColumn id="10" xr3:uid="{452E3ECD-E927-4EC7-A8A2-4A866233750E}" name="FASTTAG" dataDxfId="61"/>
    <tableColumn id="11" xr3:uid="{CFEE5573-D700-4B26-B382-BCA8210C54C2}" name="DATED" dataDxfId="60"/>
    <tableColumn id="16" xr3:uid="{07363D0C-2FBE-403B-A617-BDB5768FAC43}" name="FT STATUS" dataDxfId="59"/>
    <tableColumn id="19" xr3:uid="{9456CF5E-F4D1-41FB-BAEA-332735A8583D}" name="REMARKS" dataDxfId="5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57" dataDxfId="55" headerRowBorderDxfId="56" tableBorderDxfId="54">
  <autoFilter ref="A1:U1475" xr:uid="{D370B51C-D08F-47BE-AAB1-EC19B1CB5D0A}"/>
  <tableColumns count="21">
    <tableColumn id="1" xr3:uid="{F2AB5776-2910-4922-8F7A-A29B241AFBFB}" name="S.NO" dataDxfId="53"/>
    <tableColumn id="2" xr3:uid="{BD6FD91D-E737-4D6A-B00A-D80EC1A61CA8}" name="DATE" dataDxfId="52"/>
    <tableColumn id="3" xr3:uid="{523BFE7D-9361-4DD0-92B3-69A6F8F0C3E9}" name="CUSTOMER NAME" dataDxfId="51"/>
    <tableColumn id="4" xr3:uid="{D470DE80-5E84-419F-ABF9-6269311CD45E}" name="MARUTI" dataDxfId="50"/>
    <tableColumn id="5" xr3:uid="{89C10B6F-C9EE-4AD2-A610-262BFCF29B4E}" name="MODEL OR VARIANT" dataDxfId="49"/>
    <tableColumn id="6" xr3:uid="{9CB69D3E-706F-4EED-A315-D5399BE00D5C}" name="RTO" dataDxfId="48"/>
    <tableColumn id="7" xr3:uid="{2FB81954-C8D6-43B3-92E2-574B07BBFCCB}" name="VEHICLE CLASS" dataDxfId="47"/>
    <tableColumn id="8" xr3:uid="{1892A735-1187-4E6C-8786-9B173567AAD2}" name="REG. NO" dataDxfId="46"/>
    <tableColumn id="9" xr3:uid="{AFB37B1C-50E7-42BE-BC49-27B4D7E4E829}" name="VIN" dataDxfId="45"/>
    <tableColumn id="10" xr3:uid="{A3569458-1056-4E90-B079-94E3430A5743}" name="APPLICATION NO." dataDxfId="44"/>
    <tableColumn id="11" xr3:uid="{E25E7D92-4EC4-485D-93B8-A15B0538604A}" name="RTO AMMOUNT " dataDxfId="43"/>
    <tableColumn id="12" xr3:uid="{DB89535A-8F36-4EF8-B62C-86ABB378F51F}" name="HSRP" dataDxfId="42"/>
    <tableColumn id="13" xr3:uid="{6BD25826-954F-49C4-BE9E-24422B1B85BE}" name="ACCOUNT" dataDxfId="41"/>
    <tableColumn id="14" xr3:uid="{974951AE-D99C-487A-9DB5-065DA8DD25D4}" name="RM NAME" dataDxfId="40"/>
    <tableColumn id="15" xr3:uid="{FA4014CD-BE60-4554-9D6D-C0CC54B2CA05}" name="PAYMENT MODE" dataDxfId="39"/>
    <tableColumn id="16" xr3:uid="{84C48B22-72C9-4BD7-86AD-D8ECD87C3A64}" name="FILE PUNCHED BY" dataDxfId="38"/>
    <tableColumn id="17" xr3:uid="{87E46E14-6F6C-41D4-BBF8-CEAFAFE4CA8F}" name="PAYMENT ID" dataDxfId="37"/>
    <tableColumn id="18" xr3:uid="{0F2CD467-C868-4769-B436-AE2A25413B52}" name="RC STATUS" dataDxfId="36"/>
    <tableColumn id="19" xr3:uid="{0A9FDBF9-6418-4F2B-8B46-BE05C8150A04}" name="RC GIVEN DATE" dataDxfId="35"/>
    <tableColumn id="20" xr3:uid="{3A50F2B6-47D6-4A09-AA43-188FC568EA57}" name="FASTTAG ISSUE" dataDxfId="34"/>
    <tableColumn id="21" xr3:uid="{E4802D5D-D65F-42D3-B57E-E27729185964}" name="FASTTAG ISSUE DATE " dataDxfId="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58" totalsRowShown="0" headerRowDxfId="32" dataDxfId="31">
  <autoFilter ref="A2:H58" xr:uid="{B21CDF53-EB04-406A-8D52-FCF5CCB609E9}"/>
  <sortState xmlns:xlrd2="http://schemas.microsoft.com/office/spreadsheetml/2017/richdata2" ref="A3:H45">
    <sortCondition ref="D2:D45"/>
  </sortState>
  <tableColumns count="8">
    <tableColumn id="1" xr3:uid="{E7104F17-DBE3-4DF1-9933-FFCDDC61A4A1}" name="S.No." dataDxfId="30"/>
    <tableColumn id="11" xr3:uid="{7AA66E15-5D81-45A6-A480-BC2F7EFDEB4C}" name="Name" dataDxfId="29"/>
    <tableColumn id="10" xr3:uid="{DA1D923C-25B3-4F76-823C-435E6464FF55}" name="Contact" dataDxfId="28"/>
    <tableColumn id="2" xr3:uid="{5FEBD558-5EB7-4421-BA25-DCAC1134B168}" name="Barcode No." dataDxfId="27"/>
    <tableColumn id="12" xr3:uid="{77758C8B-F2C8-47C0-B104-570729F9693B}" name="Reg Num" dataDxfId="26"/>
    <tableColumn id="5" xr3:uid="{9AC97A3F-3009-4A59-ACCF-A178780E6F61}" name="Date" dataDxfId="25"/>
    <tableColumn id="7" xr3:uid="{82C8F4C5-8489-4228-83CC-0B9666328CDD}" name="CHANNEL" dataDxfId="24"/>
    <tableColumn id="8" xr3:uid="{DDF1FC61-A0D6-46E9-9515-6DDC5AB1E932}" name="Status" dataDxfId="2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22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21"/>
    <tableColumn id="2" xr3:uid="{1E57C5CE-907A-4DF0-BCA2-BBCD2651216C}" name="APPLICATION NO." dataDxfId="20"/>
    <tableColumn id="3" xr3:uid="{F626713A-3C61-423D-BD37-451203C3E29C}" name="CHASSIS" dataDxfId="19"/>
    <tableColumn id="4" xr3:uid="{32C5A048-ADD8-4648-8106-9F20D6757D66}" name="NAME" dataDxfId="18"/>
    <tableColumn id="5" xr3:uid="{BA1FDE8E-99ED-4918-A545-B2E041B306D6}" name="MODEL" dataDxfId="17"/>
    <tableColumn id="6" xr3:uid="{872ECA2D-515D-4EDE-B60A-82A8BDEFEDCC}" name="COLOR" dataDxfId="16"/>
    <tableColumn id="7" xr3:uid="{C729A2AA-8F61-4959-9BE7-9F1BD3A49990}" name="RTO" dataDxfId="15"/>
    <tableColumn id="8" xr3:uid="{49CDED17-8118-4E4F-BBF5-6407D0788647}" name="REG NUM" dataDxfId="14"/>
    <tableColumn id="9" xr3:uid="{6E044422-F791-464A-944A-0668F0C8112F}" name="DATE OF REG" dataDxfId="13"/>
    <tableColumn id="11" xr3:uid="{942D52E6-8B19-4B1A-ADDF-6D959D8E7BE1}" name="DSE" dataDxfId="12"/>
    <tableColumn id="12" xr3:uid="{04B58679-3282-4D6D-BF3E-2233E3C4DC81}" name="RC RECEIVED BY" dataDxfId="1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10" tableBorderDxfId="9" totalsRowBorderDxfId="8">
  <autoFilter ref="B27:E32" xr:uid="{859DCBAE-920B-4469-9E0B-BF5ADC0248E9}"/>
  <tableColumns count="4">
    <tableColumn id="1" xr3:uid="{898528DA-B3AC-435C-B00C-9234887E5F11}" name="REG NUM" dataDxfId="7"/>
    <tableColumn id="2" xr3:uid="{89440296-A536-440E-A74B-186B5A98AE6C}" name="DATE OF REG" dataDxfId="6"/>
    <tableColumn id="3" xr3:uid="{7A04E3EB-93DA-4428-AB0C-3D251E144655}" name="RC RECEIVED BY" dataDxfId="5"/>
    <tableColumn id="4" xr3:uid="{0D350352-EB5F-413B-8CE6-3B46D80C3172}" name="DATE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382"/>
  <sheetViews>
    <sheetView topLeftCell="A165" zoomScaleNormal="100" workbookViewId="0">
      <selection activeCell="A177" sqref="A177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6685</v>
      </c>
      <c r="E1" s="10" t="s">
        <v>7</v>
      </c>
      <c r="F1" s="10" t="s">
        <v>0</v>
      </c>
      <c r="G1" s="10" t="s">
        <v>6450</v>
      </c>
      <c r="H1" s="10" t="s">
        <v>222</v>
      </c>
      <c r="I1" s="10" t="s">
        <v>1</v>
      </c>
      <c r="J1" s="11" t="s">
        <v>15</v>
      </c>
      <c r="K1" s="15" t="s">
        <v>6449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6460</v>
      </c>
      <c r="R1" s="10" t="s">
        <v>6609</v>
      </c>
    </row>
    <row r="2" spans="1:18" x14ac:dyDescent="0.25">
      <c r="A2" s="47">
        <f t="shared" ref="A2:A65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6442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ref="H3:H66" si="1">IF(LEFT(I3,4)="JK13","PULWAMA",IF(LEFT(I3,4)="JK01","SRINAGAR",IF(LEFT(I3,4)="JK04","BUDGAM",IF(LEFT(I3,4)="JK03","ANANTNAG",IF(LEFT(I3,4)="JK05","BARAMULLA",IF(LEFT(I3,4)="25BH","BHARAT",IF(LEFT(I3,4)="JK12","POONCH",IF(LEFT(I3,4)="JK18","KULGAM",IF(LEFT(I3,4)="JK22","SHOPIAN",IF(LEFT(I3,4)="T102","TEMP",IF(LEFT(I3,4)="JK09","KUPWARA",IF(LEFT(I3,4)="JK15","BANDIPORA",IF(LEFT(I3,4)="T112","KARGIL","NEW")))))))))))))</f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6418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6418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6418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6452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6452</v>
      </c>
      <c r="M11" s="49" t="s">
        <v>126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6452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 t="s">
        <v>5337</v>
      </c>
      <c r="C14" s="47" t="s">
        <v>5336</v>
      </c>
      <c r="D14" s="47"/>
      <c r="E14" s="47" t="s">
        <v>5334</v>
      </c>
      <c r="F14" s="47" t="s">
        <v>145</v>
      </c>
      <c r="G14" s="47" t="s">
        <v>6441</v>
      </c>
      <c r="H14" s="47" t="str">
        <f t="shared" si="1"/>
        <v>PULWAMA</v>
      </c>
      <c r="I14" s="47" t="s">
        <v>5335</v>
      </c>
      <c r="J14" s="48">
        <v>45944</v>
      </c>
      <c r="K14" s="47"/>
      <c r="L14" s="47" t="s">
        <v>6452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6452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5772</v>
      </c>
      <c r="C19" s="47" t="s">
        <v>5771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5770</v>
      </c>
      <c r="J19" s="48">
        <v>45950</v>
      </c>
      <c r="K19" s="47"/>
      <c r="L19" s="47" t="s">
        <v>1592</v>
      </c>
      <c r="M19" s="49" t="s">
        <v>6442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6452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6654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0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0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0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0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si="1"/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0"/>
        <v>34</v>
      </c>
      <c r="B35" s="47" t="s">
        <v>6313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1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6418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0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1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6447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1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/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0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1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/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1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1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1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1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/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1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 t="s">
        <v>6381</v>
      </c>
      <c r="C44" s="47" t="s">
        <v>94</v>
      </c>
      <c r="D44" s="47"/>
      <c r="E44" s="47" t="s">
        <v>95</v>
      </c>
      <c r="F44" s="47" t="s">
        <v>100</v>
      </c>
      <c r="G44" s="47"/>
      <c r="H44" s="47" t="str">
        <f t="shared" si="1"/>
        <v>PULWAMA</v>
      </c>
      <c r="I44" s="47" t="s">
        <v>103</v>
      </c>
      <c r="J44" s="48">
        <v>45965</v>
      </c>
      <c r="K44" s="47"/>
      <c r="L44" s="47" t="s">
        <v>6452</v>
      </c>
      <c r="M44" s="49" t="s">
        <v>6451</v>
      </c>
      <c r="N44" s="48"/>
      <c r="O44" s="47"/>
      <c r="P44" s="50"/>
      <c r="Q44" s="47"/>
      <c r="R44" s="47"/>
    </row>
    <row r="45" spans="1:18" x14ac:dyDescent="0.25">
      <c r="A45" s="47">
        <f t="shared" si="0"/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/>
      <c r="H45" s="47" t="str">
        <f t="shared" si="1"/>
        <v>SRINAGAR</v>
      </c>
      <c r="I45" s="47" t="s">
        <v>105</v>
      </c>
      <c r="J45" s="48">
        <v>45965</v>
      </c>
      <c r="K45" s="47"/>
      <c r="L45" s="47" t="s">
        <v>6452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1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1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/>
      <c r="P47" s="2"/>
      <c r="Q47" s="47"/>
      <c r="R47" s="47"/>
    </row>
    <row r="48" spans="1:18" x14ac:dyDescent="0.25">
      <c r="A48" s="47">
        <f t="shared" si="0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1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6453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 t="s">
        <v>177</v>
      </c>
      <c r="C49" s="47" t="s">
        <v>155</v>
      </c>
      <c r="D49" s="47"/>
      <c r="E49" s="47" t="s">
        <v>156</v>
      </c>
      <c r="F49" s="47" t="s">
        <v>51</v>
      </c>
      <c r="G49" s="47" t="s">
        <v>174</v>
      </c>
      <c r="H49" s="47" t="str">
        <f t="shared" si="1"/>
        <v>PULWAMA</v>
      </c>
      <c r="I49" s="47" t="s">
        <v>157</v>
      </c>
      <c r="J49" s="48">
        <v>45966</v>
      </c>
      <c r="K49" s="47"/>
      <c r="L49" s="47" t="s">
        <v>6452</v>
      </c>
      <c r="M49" s="49" t="s">
        <v>7049</v>
      </c>
      <c r="N49" s="48">
        <v>46003</v>
      </c>
      <c r="O49" s="47"/>
      <c r="P49" s="50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6461</v>
      </c>
      <c r="R50" s="47" t="s">
        <v>7086</v>
      </c>
    </row>
    <row r="51" spans="1:18" x14ac:dyDescent="0.25">
      <c r="A51" s="47">
        <f t="shared" si="0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1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1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1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1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0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1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/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0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1"/>
        <v>SRINAGAR</v>
      </c>
      <c r="I57" s="47" t="s">
        <v>233</v>
      </c>
      <c r="J57" s="48">
        <v>45968</v>
      </c>
      <c r="K57" s="47"/>
      <c r="L57" s="47" t="s">
        <v>5869</v>
      </c>
      <c r="M57" s="49" t="s">
        <v>6442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6451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1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1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6451</v>
      </c>
      <c r="N60" s="48"/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1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6439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0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1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6442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6442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1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6439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0"/>
        <v>64</v>
      </c>
      <c r="B65" s="47" t="s">
        <v>261</v>
      </c>
      <c r="C65" s="47" t="s">
        <v>263</v>
      </c>
      <c r="D65" s="47"/>
      <c r="E65" s="47" t="s">
        <v>264</v>
      </c>
      <c r="F65" s="47" t="s">
        <v>5</v>
      </c>
      <c r="G65" s="47" t="s">
        <v>174</v>
      </c>
      <c r="H65" s="47" t="str">
        <f t="shared" si="1"/>
        <v>KULGAM</v>
      </c>
      <c r="I65" s="47" t="s">
        <v>6537</v>
      </c>
      <c r="J65" s="48">
        <v>45971</v>
      </c>
      <c r="K65" s="47"/>
      <c r="L65" s="47" t="s">
        <v>26</v>
      </c>
      <c r="M65" s="49"/>
      <c r="N65" s="48"/>
      <c r="O65" s="47"/>
      <c r="P65" s="50"/>
      <c r="Q65" s="47"/>
      <c r="R65" s="47"/>
    </row>
    <row r="66" spans="1:18" x14ac:dyDescent="0.25">
      <c r="A66" s="47">
        <f t="shared" ref="A66:A128" si="2">ROW()-1</f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1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6615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ref="H67:H130" si="3">IF(LEFT(I67,4)="JK13","PULWAMA",IF(LEFT(I67,4)="JK01","SRINAGAR",IF(LEFT(I67,4)="JK04","BUDGAM",IF(LEFT(I67,4)="JK03","ANANTNAG",IF(LEFT(I67,4)="JK05","BARAMULLA",IF(LEFT(I67,4)="25BH","BHARAT",IF(LEFT(I67,4)="JK12","POONCH",IF(LEFT(I67,4)="JK18","KULGAM",IF(LEFT(I67,4)="JK22","SHOPIAN",IF(LEFT(I67,4)="T102","TEMP",IF(LEFT(I67,4)="JK09","KUPWARA",IF(LEFT(I67,4)="JK15","BANDIPORA",IF(LEFT(I67,4)="T112","KARGIL","NEW")))))))))))))</f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7090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3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6632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3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6462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3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2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3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6430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si="2"/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3"/>
        <v>KULGAM</v>
      </c>
      <c r="I72" s="47" t="s">
        <v>6417</v>
      </c>
      <c r="J72" s="48">
        <v>45972</v>
      </c>
      <c r="K72" s="47"/>
      <c r="L72" s="47" t="s">
        <v>306</v>
      </c>
      <c r="M72" s="49" t="s">
        <v>6451</v>
      </c>
      <c r="N72" s="48"/>
      <c r="O72" s="47"/>
      <c r="P72" s="50"/>
      <c r="Q72" s="47"/>
      <c r="R72" s="47"/>
    </row>
    <row r="73" spans="1:18" x14ac:dyDescent="0.25">
      <c r="A73" s="47">
        <f t="shared" si="2"/>
        <v>72</v>
      </c>
      <c r="B73" s="47" t="s">
        <v>308</v>
      </c>
      <c r="C73" s="47" t="s">
        <v>309</v>
      </c>
      <c r="D73" s="47"/>
      <c r="E73" s="47" t="s">
        <v>310</v>
      </c>
      <c r="F73" s="47" t="s">
        <v>31</v>
      </c>
      <c r="G73" s="47" t="s">
        <v>175</v>
      </c>
      <c r="H73" s="47" t="str">
        <f t="shared" si="3"/>
        <v>SRINAGAR</v>
      </c>
      <c r="I73" s="47" t="s">
        <v>316</v>
      </c>
      <c r="J73" s="48">
        <v>45972</v>
      </c>
      <c r="K73" s="47">
        <v>9906506594</v>
      </c>
      <c r="L73" s="47" t="s">
        <v>6452</v>
      </c>
      <c r="M73" s="49" t="s">
        <v>6549</v>
      </c>
      <c r="N73" s="48">
        <v>45981</v>
      </c>
      <c r="O73" s="47"/>
      <c r="P73" s="50"/>
      <c r="Q73" s="47"/>
      <c r="R73" s="47"/>
    </row>
    <row r="74" spans="1:18" x14ac:dyDescent="0.25">
      <c r="A74" s="47">
        <f t="shared" si="2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3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6448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2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3"/>
        <v>BUDGAM</v>
      </c>
      <c r="I75" s="47" t="s">
        <v>6416</v>
      </c>
      <c r="J75" s="48">
        <v>45973</v>
      </c>
      <c r="K75" s="47"/>
      <c r="L75" s="47" t="s">
        <v>26</v>
      </c>
      <c r="M75" s="49" t="s">
        <v>6431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2"/>
        <v>75</v>
      </c>
      <c r="B76" s="47" t="s">
        <v>6423</v>
      </c>
      <c r="C76" s="47" t="s">
        <v>6419</v>
      </c>
      <c r="D76" s="47"/>
      <c r="E76" s="47" t="s">
        <v>6420</v>
      </c>
      <c r="F76" s="47" t="s">
        <v>6421</v>
      </c>
      <c r="G76" s="47" t="s">
        <v>221</v>
      </c>
      <c r="H76" s="47" t="str">
        <f t="shared" si="3"/>
        <v>PULWAMA</v>
      </c>
      <c r="I76" s="47" t="s">
        <v>6427</v>
      </c>
      <c r="J76" s="48">
        <v>45973</v>
      </c>
      <c r="K76" s="47">
        <v>8899949973</v>
      </c>
      <c r="L76" s="47" t="s">
        <v>6422</v>
      </c>
      <c r="M76" s="49" t="s">
        <v>6442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2"/>
        <v>76</v>
      </c>
      <c r="B77" s="47" t="s">
        <v>6424</v>
      </c>
      <c r="C77" s="47" t="s">
        <v>6426</v>
      </c>
      <c r="D77" s="47"/>
      <c r="E77" s="47" t="s">
        <v>6425</v>
      </c>
      <c r="F77" s="47" t="s">
        <v>5</v>
      </c>
      <c r="G77" s="47" t="s">
        <v>200</v>
      </c>
      <c r="H77" s="47" t="str">
        <f t="shared" si="3"/>
        <v>POONCH</v>
      </c>
      <c r="I77" s="47" t="s">
        <v>6429</v>
      </c>
      <c r="J77" s="48">
        <v>45973</v>
      </c>
      <c r="K77" s="47"/>
      <c r="L77" s="47" t="s">
        <v>6428</v>
      </c>
      <c r="M77" s="49" t="s">
        <v>6448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2"/>
        <v>77</v>
      </c>
      <c r="B78" s="47" t="s">
        <v>6432</v>
      </c>
      <c r="C78" s="47" t="s">
        <v>6433</v>
      </c>
      <c r="D78" s="47"/>
      <c r="E78" s="47" t="s">
        <v>6434</v>
      </c>
      <c r="F78" s="47" t="s">
        <v>486</v>
      </c>
      <c r="G78" s="47" t="s">
        <v>175</v>
      </c>
      <c r="H78" s="47" t="str">
        <f t="shared" si="3"/>
        <v>PULWAMA</v>
      </c>
      <c r="I78" s="47" t="s">
        <v>6436</v>
      </c>
      <c r="J78" s="48">
        <v>45974</v>
      </c>
      <c r="K78" s="47">
        <v>7051530181</v>
      </c>
      <c r="L78" s="47" t="s">
        <v>6435</v>
      </c>
      <c r="M78" s="49" t="s">
        <v>6630</v>
      </c>
      <c r="N78" s="48">
        <v>45986</v>
      </c>
      <c r="O78" s="47" t="s">
        <v>23</v>
      </c>
      <c r="P78" s="50">
        <v>45986</v>
      </c>
      <c r="Q78" s="47" t="s">
        <v>6461</v>
      </c>
      <c r="R78" s="47"/>
    </row>
    <row r="79" spans="1:18" x14ac:dyDescent="0.25">
      <c r="A79" s="47">
        <f t="shared" si="2"/>
        <v>78</v>
      </c>
      <c r="B79" s="47" t="s">
        <v>6438</v>
      </c>
      <c r="C79" s="47" t="s">
        <v>6437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3"/>
        <v>SRINAGAR</v>
      </c>
      <c r="I79" s="47" t="s">
        <v>6440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6446</v>
      </c>
      <c r="P79" s="50">
        <v>45974</v>
      </c>
      <c r="Q79" s="47"/>
      <c r="R79" s="47"/>
    </row>
    <row r="80" spans="1:18" x14ac:dyDescent="0.25">
      <c r="A80" s="47">
        <f t="shared" si="2"/>
        <v>79</v>
      </c>
      <c r="B80" s="47" t="s">
        <v>6542</v>
      </c>
      <c r="C80" s="47" t="s">
        <v>6539</v>
      </c>
      <c r="D80" s="47"/>
      <c r="E80" s="47" t="s">
        <v>6538</v>
      </c>
      <c r="F80" s="47" t="s">
        <v>125</v>
      </c>
      <c r="G80" s="47" t="s">
        <v>175</v>
      </c>
      <c r="H80" s="47" t="str">
        <f t="shared" si="3"/>
        <v>KULGAM</v>
      </c>
      <c r="I80" s="47" t="s">
        <v>6540</v>
      </c>
      <c r="J80" s="48">
        <v>45974</v>
      </c>
      <c r="K80" s="47">
        <v>7006813909</v>
      </c>
      <c r="L80" s="47" t="s">
        <v>6541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2"/>
        <v>80</v>
      </c>
      <c r="B81" s="47" t="s">
        <v>6443</v>
      </c>
      <c r="C81" s="47" t="s">
        <v>6444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6445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6461</v>
      </c>
      <c r="R81" s="47"/>
    </row>
    <row r="82" spans="1:18" x14ac:dyDescent="0.25">
      <c r="A82" s="47">
        <f t="shared" si="2"/>
        <v>81</v>
      </c>
      <c r="B82" s="47" t="s">
        <v>6458</v>
      </c>
      <c r="C82" s="47" t="s">
        <v>6455</v>
      </c>
      <c r="D82" s="47" t="s">
        <v>6720</v>
      </c>
      <c r="E82" s="47" t="s">
        <v>6457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6456</v>
      </c>
      <c r="J82" s="48">
        <v>45976</v>
      </c>
      <c r="K82" s="47">
        <v>6005447751</v>
      </c>
      <c r="L82" s="47" t="s">
        <v>6459</v>
      </c>
      <c r="M82" s="49" t="s">
        <v>6728</v>
      </c>
      <c r="N82" s="48">
        <v>45994</v>
      </c>
      <c r="O82" s="47" t="s">
        <v>23</v>
      </c>
      <c r="P82" s="50">
        <v>45994</v>
      </c>
      <c r="Q82" s="47" t="s">
        <v>6461</v>
      </c>
      <c r="R82" s="47"/>
    </row>
    <row r="83" spans="1:18" x14ac:dyDescent="0.25">
      <c r="A83" s="47">
        <f t="shared" si="2"/>
        <v>82</v>
      </c>
      <c r="B83" s="47" t="s">
        <v>6463</v>
      </c>
      <c r="C83" s="47" t="s">
        <v>6465</v>
      </c>
      <c r="D83" s="47"/>
      <c r="E83" s="47" t="s">
        <v>6466</v>
      </c>
      <c r="F83" s="47" t="s">
        <v>125</v>
      </c>
      <c r="G83" s="47" t="s">
        <v>200</v>
      </c>
      <c r="H83" s="47" t="str">
        <f t="shared" si="3"/>
        <v>POONCH</v>
      </c>
      <c r="I83" s="47" t="s">
        <v>6473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2"/>
        <v>83</v>
      </c>
      <c r="B84" s="47" t="s">
        <v>6464</v>
      </c>
      <c r="C84" s="47" t="s">
        <v>6467</v>
      </c>
      <c r="D84" s="47"/>
      <c r="E84" s="47" t="s">
        <v>6468</v>
      </c>
      <c r="F84" s="47" t="s">
        <v>119</v>
      </c>
      <c r="G84" s="47" t="s">
        <v>200</v>
      </c>
      <c r="H84" s="47" t="str">
        <f t="shared" si="3"/>
        <v>SHOPIAN</v>
      </c>
      <c r="I84" s="47" t="s">
        <v>6478</v>
      </c>
      <c r="J84" s="48">
        <v>45978</v>
      </c>
      <c r="K84" s="47">
        <v>6006972935</v>
      </c>
      <c r="L84" s="47" t="s">
        <v>6469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2"/>
        <v>84</v>
      </c>
      <c r="B85" s="47" t="s">
        <v>6470</v>
      </c>
      <c r="C85" s="47" t="s">
        <v>6471</v>
      </c>
      <c r="D85" s="47"/>
      <c r="E85" s="47" t="s">
        <v>6472</v>
      </c>
      <c r="F85" s="47" t="s">
        <v>12</v>
      </c>
      <c r="G85" s="47" t="s">
        <v>200</v>
      </c>
      <c r="H85" s="47" t="str">
        <f t="shared" si="3"/>
        <v>SRINAGAR</v>
      </c>
      <c r="I85" s="47" t="s">
        <v>6480</v>
      </c>
      <c r="J85" s="48">
        <v>45978</v>
      </c>
      <c r="K85" s="47">
        <v>9596233480</v>
      </c>
      <c r="L85" s="47" t="s">
        <v>18</v>
      </c>
      <c r="M85" s="49"/>
      <c r="N85" s="48"/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2"/>
        <v>85</v>
      </c>
      <c r="B86" s="47" t="s">
        <v>6477</v>
      </c>
      <c r="C86" s="47" t="s">
        <v>6475</v>
      </c>
      <c r="D86" s="47"/>
      <c r="E86" s="47" t="s">
        <v>6474</v>
      </c>
      <c r="F86" s="47" t="s">
        <v>238</v>
      </c>
      <c r="G86" s="47" t="s">
        <v>6476</v>
      </c>
      <c r="H86" s="47" t="str">
        <f t="shared" si="3"/>
        <v>PULWAMA</v>
      </c>
      <c r="I86" s="47" t="s">
        <v>6479</v>
      </c>
      <c r="J86" s="48">
        <v>45978</v>
      </c>
      <c r="K86" s="47">
        <v>9541233227</v>
      </c>
      <c r="L86" s="47" t="s">
        <v>166</v>
      </c>
      <c r="M86" s="49" t="s">
        <v>6616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2"/>
        <v>86</v>
      </c>
      <c r="B87" s="47" t="s">
        <v>6481</v>
      </c>
      <c r="C87" s="47" t="s">
        <v>6484</v>
      </c>
      <c r="D87" s="47"/>
      <c r="E87" s="47" t="s">
        <v>6485</v>
      </c>
      <c r="F87" s="47" t="s">
        <v>119</v>
      </c>
      <c r="G87" s="47" t="s">
        <v>200</v>
      </c>
      <c r="H87" s="47" t="str">
        <f t="shared" si="3"/>
        <v>ANANTNAG</v>
      </c>
      <c r="I87" s="47" t="s">
        <v>6494</v>
      </c>
      <c r="J87" s="48">
        <v>45978</v>
      </c>
      <c r="K87" s="47">
        <v>7889924708</v>
      </c>
      <c r="L87" s="47" t="s">
        <v>6489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2"/>
        <v>87</v>
      </c>
      <c r="B88" s="47" t="s">
        <v>6482</v>
      </c>
      <c r="C88" s="47" t="s">
        <v>6486</v>
      </c>
      <c r="D88" s="47"/>
      <c r="E88" s="47" t="s">
        <v>6487</v>
      </c>
      <c r="F88" s="47" t="s">
        <v>5</v>
      </c>
      <c r="G88" s="47" t="s">
        <v>199</v>
      </c>
      <c r="H88" s="47" t="str">
        <f t="shared" si="3"/>
        <v>ANANTNAG</v>
      </c>
      <c r="I88" s="47" t="s">
        <v>6496</v>
      </c>
      <c r="J88" s="48">
        <v>45978</v>
      </c>
      <c r="K88" s="47">
        <v>6005838461</v>
      </c>
      <c r="L88" s="47" t="s">
        <v>48</v>
      </c>
      <c r="M88" s="49"/>
      <c r="N88" s="48"/>
      <c r="O88" s="47"/>
      <c r="P88" s="50"/>
      <c r="Q88" s="47"/>
      <c r="R88" s="47"/>
    </row>
    <row r="89" spans="1:18" x14ac:dyDescent="0.25">
      <c r="A89" s="47">
        <f t="shared" si="2"/>
        <v>88</v>
      </c>
      <c r="B89" s="47" t="s">
        <v>6483</v>
      </c>
      <c r="C89" s="47" t="s">
        <v>6488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3"/>
        <v>ANANTNAG</v>
      </c>
      <c r="I89" s="47" t="s">
        <v>6495</v>
      </c>
      <c r="J89" s="48">
        <v>45978</v>
      </c>
      <c r="K89" s="47">
        <v>9622999002</v>
      </c>
      <c r="L89" s="47" t="s">
        <v>6489</v>
      </c>
      <c r="M89" s="49"/>
      <c r="N89" s="48"/>
      <c r="O89" s="47"/>
      <c r="P89" s="50"/>
      <c r="Q89" s="47"/>
      <c r="R89" s="47"/>
    </row>
    <row r="90" spans="1:18" x14ac:dyDescent="0.25">
      <c r="A90" s="47">
        <f t="shared" si="2"/>
        <v>89</v>
      </c>
      <c r="B90" s="47" t="s">
        <v>6490</v>
      </c>
      <c r="C90" s="47" t="s">
        <v>6491</v>
      </c>
      <c r="D90" s="47"/>
      <c r="E90" s="47" t="s">
        <v>6492</v>
      </c>
      <c r="F90" s="47" t="s">
        <v>125</v>
      </c>
      <c r="G90" s="47" t="s">
        <v>6493</v>
      </c>
      <c r="H90" s="47" t="str">
        <f t="shared" si="3"/>
        <v>PULWAMA</v>
      </c>
      <c r="I90" s="47" t="s">
        <v>6497</v>
      </c>
      <c r="J90" s="48">
        <v>45978</v>
      </c>
      <c r="K90" s="47">
        <v>8899677753</v>
      </c>
      <c r="L90" s="47"/>
      <c r="M90" s="49" t="s">
        <v>6630</v>
      </c>
      <c r="N90" s="48">
        <v>45986</v>
      </c>
      <c r="O90" s="47" t="s">
        <v>23</v>
      </c>
      <c r="P90" s="50">
        <v>45986</v>
      </c>
      <c r="Q90" s="47" t="s">
        <v>6461</v>
      </c>
      <c r="R90" s="47"/>
    </row>
    <row r="91" spans="1:18" x14ac:dyDescent="0.25">
      <c r="A91" s="47">
        <f t="shared" si="2"/>
        <v>90</v>
      </c>
      <c r="B91" s="47" t="s">
        <v>6502</v>
      </c>
      <c r="C91" s="47" t="s">
        <v>6499</v>
      </c>
      <c r="D91" s="47"/>
      <c r="E91" s="47" t="s">
        <v>6500</v>
      </c>
      <c r="F91" s="47" t="s">
        <v>12</v>
      </c>
      <c r="G91" s="47" t="s">
        <v>181</v>
      </c>
      <c r="H91" s="47" t="str">
        <f t="shared" si="3"/>
        <v>SRINAGAR</v>
      </c>
      <c r="I91" s="47" t="s">
        <v>6501</v>
      </c>
      <c r="J91" s="48">
        <v>45979</v>
      </c>
      <c r="K91" s="47">
        <v>7006084104</v>
      </c>
      <c r="L91" s="47" t="s">
        <v>48</v>
      </c>
      <c r="M91" s="49"/>
      <c r="N91" s="48"/>
      <c r="O91" s="47"/>
      <c r="P91" s="50"/>
      <c r="Q91" s="47"/>
      <c r="R91" s="47"/>
    </row>
    <row r="92" spans="1:18" x14ac:dyDescent="0.25">
      <c r="A92" s="47">
        <f t="shared" si="2"/>
        <v>91</v>
      </c>
      <c r="B92" s="47" t="s">
        <v>6505</v>
      </c>
      <c r="C92" s="47" t="s">
        <v>6504</v>
      </c>
      <c r="D92" s="47"/>
      <c r="E92" s="47" t="s">
        <v>6503</v>
      </c>
      <c r="F92" s="47" t="s">
        <v>1264</v>
      </c>
      <c r="G92" s="47" t="s">
        <v>174</v>
      </c>
      <c r="H92" s="47" t="str">
        <f t="shared" si="3"/>
        <v>KARGIL</v>
      </c>
      <c r="I92" s="47" t="s">
        <v>6506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2"/>
        <v>92</v>
      </c>
      <c r="B93" s="47" t="s">
        <v>6507</v>
      </c>
      <c r="C93" s="47" t="s">
        <v>6509</v>
      </c>
      <c r="D93" s="47"/>
      <c r="E93" s="47" t="s">
        <v>6510</v>
      </c>
      <c r="F93" s="47" t="s">
        <v>5</v>
      </c>
      <c r="G93" s="47" t="s">
        <v>199</v>
      </c>
      <c r="H93" s="47" t="str">
        <f t="shared" si="3"/>
        <v>SHOPIAN</v>
      </c>
      <c r="I93" s="47" t="s">
        <v>6515</v>
      </c>
      <c r="J93" s="48">
        <v>45979</v>
      </c>
      <c r="K93" s="47">
        <v>8492939303</v>
      </c>
      <c r="L93" s="47" t="s">
        <v>6513</v>
      </c>
      <c r="M93" s="49"/>
      <c r="N93" s="48"/>
      <c r="O93" s="47"/>
      <c r="P93" s="50"/>
      <c r="Q93" s="47"/>
      <c r="R93" s="47"/>
    </row>
    <row r="94" spans="1:18" x14ac:dyDescent="0.25">
      <c r="A94" s="47">
        <f t="shared" si="2"/>
        <v>93</v>
      </c>
      <c r="B94" s="47" t="s">
        <v>6508</v>
      </c>
      <c r="C94" s="47" t="s">
        <v>6511</v>
      </c>
      <c r="D94" s="47"/>
      <c r="E94" s="47" t="s">
        <v>6512</v>
      </c>
      <c r="F94" s="47" t="s">
        <v>12</v>
      </c>
      <c r="G94" s="47" t="s">
        <v>181</v>
      </c>
      <c r="H94" s="47" t="str">
        <f t="shared" si="3"/>
        <v>SRINAGAR</v>
      </c>
      <c r="I94" s="47" t="s">
        <v>6514</v>
      </c>
      <c r="J94" s="48">
        <v>45979</v>
      </c>
      <c r="K94" s="47">
        <v>8491813907</v>
      </c>
      <c r="L94" s="47" t="s">
        <v>48</v>
      </c>
      <c r="M94" s="49"/>
      <c r="N94" s="48"/>
      <c r="O94" s="47"/>
      <c r="P94" s="50"/>
      <c r="Q94" s="47"/>
      <c r="R94" s="47"/>
    </row>
    <row r="95" spans="1:18" x14ac:dyDescent="0.25">
      <c r="A95" s="47">
        <f t="shared" si="2"/>
        <v>94</v>
      </c>
      <c r="B95" s="47" t="s">
        <v>6516</v>
      </c>
      <c r="C95" s="47" t="s">
        <v>6517</v>
      </c>
      <c r="D95" s="47"/>
      <c r="E95" s="47" t="s">
        <v>6518</v>
      </c>
      <c r="F95" s="47" t="s">
        <v>119</v>
      </c>
      <c r="G95" s="47" t="s">
        <v>200</v>
      </c>
      <c r="H95" s="47" t="str">
        <f t="shared" si="3"/>
        <v>SRINAGAR</v>
      </c>
      <c r="I95" s="47" t="s">
        <v>6523</v>
      </c>
      <c r="J95" s="48">
        <v>45979</v>
      </c>
      <c r="K95" s="47">
        <v>9469842084</v>
      </c>
      <c r="L95" s="47" t="s">
        <v>194</v>
      </c>
      <c r="M95" s="49"/>
      <c r="N95" s="48"/>
      <c r="O95" s="47"/>
      <c r="P95" s="50"/>
      <c r="Q95" s="47"/>
      <c r="R95" s="47"/>
    </row>
    <row r="96" spans="1:18" x14ac:dyDescent="0.25">
      <c r="A96" s="47">
        <f t="shared" si="2"/>
        <v>95</v>
      </c>
      <c r="B96" s="47" t="s">
        <v>6519</v>
      </c>
      <c r="C96" s="47" t="s">
        <v>6520</v>
      </c>
      <c r="D96" s="47"/>
      <c r="E96" s="47" t="s">
        <v>6521</v>
      </c>
      <c r="F96" s="47" t="s">
        <v>37</v>
      </c>
      <c r="G96" s="47" t="s">
        <v>181</v>
      </c>
      <c r="H96" s="47" t="str">
        <f t="shared" si="3"/>
        <v>PULWAMA</v>
      </c>
      <c r="I96" s="47" t="s">
        <v>6524</v>
      </c>
      <c r="J96" s="48">
        <v>45979</v>
      </c>
      <c r="K96" s="47">
        <v>9541759422</v>
      </c>
      <c r="L96" s="47" t="s">
        <v>6522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2"/>
        <v>96</v>
      </c>
      <c r="B97" s="47" t="s">
        <v>6525</v>
      </c>
      <c r="C97" s="47" t="s">
        <v>6528</v>
      </c>
      <c r="D97" s="47" t="s">
        <v>6935</v>
      </c>
      <c r="E97" s="47" t="s">
        <v>6529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6534</v>
      </c>
      <c r="J97" s="48">
        <v>45980</v>
      </c>
      <c r="K97" s="47">
        <v>7006565560</v>
      </c>
      <c r="L97" s="47" t="s">
        <v>18</v>
      </c>
      <c r="M97" s="49" t="s">
        <v>6936</v>
      </c>
      <c r="N97" s="48"/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2"/>
        <v>97</v>
      </c>
      <c r="B98" s="47" t="s">
        <v>6526</v>
      </c>
      <c r="C98" s="47" t="s">
        <v>6530</v>
      </c>
      <c r="D98" s="47"/>
      <c r="E98" s="47" t="s">
        <v>6531</v>
      </c>
      <c r="F98" s="47" t="s">
        <v>5</v>
      </c>
      <c r="G98" s="47" t="s">
        <v>199</v>
      </c>
      <c r="H98" s="47" t="str">
        <f t="shared" si="3"/>
        <v>PULWAMA</v>
      </c>
      <c r="I98" s="47" t="s">
        <v>6535</v>
      </c>
      <c r="J98" s="48">
        <v>45980</v>
      </c>
      <c r="K98" s="47">
        <v>8494018577</v>
      </c>
      <c r="L98" s="47" t="s">
        <v>66</v>
      </c>
      <c r="M98" s="49"/>
      <c r="N98" s="48"/>
      <c r="O98" s="47"/>
      <c r="P98" s="50"/>
      <c r="Q98" s="47"/>
      <c r="R98" s="47"/>
    </row>
    <row r="99" spans="1:23" x14ac:dyDescent="0.25">
      <c r="A99" s="47">
        <f t="shared" si="2"/>
        <v>98</v>
      </c>
      <c r="B99" s="47" t="s">
        <v>6527</v>
      </c>
      <c r="C99" s="47" t="s">
        <v>6532</v>
      </c>
      <c r="D99" s="47"/>
      <c r="E99" s="47" t="s">
        <v>6533</v>
      </c>
      <c r="F99" s="47" t="s">
        <v>12</v>
      </c>
      <c r="G99" s="47" t="s">
        <v>200</v>
      </c>
      <c r="H99" s="47" t="str">
        <f t="shared" si="3"/>
        <v>PULWAMA</v>
      </c>
      <c r="I99" s="47" t="s">
        <v>6536</v>
      </c>
      <c r="J99" s="48">
        <v>45980</v>
      </c>
      <c r="K99" s="47">
        <v>9906919638</v>
      </c>
      <c r="L99" s="47"/>
      <c r="M99" s="49" t="s">
        <v>6630</v>
      </c>
      <c r="N99" s="48">
        <v>45986</v>
      </c>
      <c r="O99" s="47" t="s">
        <v>23</v>
      </c>
      <c r="P99" s="50">
        <v>45986</v>
      </c>
      <c r="Q99" s="47" t="s">
        <v>6461</v>
      </c>
      <c r="R99" s="47"/>
    </row>
    <row r="100" spans="1:23" x14ac:dyDescent="0.25">
      <c r="A100" s="47">
        <f t="shared" si="2"/>
        <v>99</v>
      </c>
      <c r="B100" s="47" t="s">
        <v>6543</v>
      </c>
      <c r="C100" s="47" t="s">
        <v>6544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3"/>
        <v>BUDGAM</v>
      </c>
      <c r="I100" s="47" t="s">
        <v>6568</v>
      </c>
      <c r="J100" s="48">
        <v>45981</v>
      </c>
      <c r="K100" s="47">
        <v>6005783340</v>
      </c>
      <c r="L100" s="47" t="s">
        <v>2172</v>
      </c>
      <c r="M100" s="49"/>
      <c r="N100" s="48"/>
      <c r="O100" s="47"/>
      <c r="P100" s="50"/>
      <c r="Q100" s="47"/>
      <c r="R100" s="47"/>
    </row>
    <row r="101" spans="1:23" x14ac:dyDescent="0.25">
      <c r="A101" s="47">
        <f t="shared" si="2"/>
        <v>100</v>
      </c>
      <c r="B101" s="47" t="s">
        <v>6548</v>
      </c>
      <c r="C101" s="47" t="s">
        <v>6545</v>
      </c>
      <c r="D101" s="47"/>
      <c r="E101" s="47" t="s">
        <v>6546</v>
      </c>
      <c r="F101" s="47" t="s">
        <v>6547</v>
      </c>
      <c r="G101" s="47" t="s">
        <v>6476</v>
      </c>
      <c r="H101" s="47" t="str">
        <f t="shared" si="3"/>
        <v>SRINAGAR</v>
      </c>
      <c r="I101" s="47" t="s">
        <v>6569</v>
      </c>
      <c r="J101" s="48">
        <v>45981</v>
      </c>
      <c r="K101" s="47">
        <v>9541333565</v>
      </c>
      <c r="L101" s="47" t="s">
        <v>43</v>
      </c>
      <c r="M101" s="49"/>
      <c r="N101" s="48"/>
      <c r="O101" s="47"/>
      <c r="P101" s="50"/>
      <c r="Q101" s="47"/>
      <c r="R101" s="47"/>
    </row>
    <row r="102" spans="1:23" x14ac:dyDescent="0.25">
      <c r="A102" s="47">
        <f t="shared" si="2"/>
        <v>101</v>
      </c>
      <c r="B102" s="47" t="s">
        <v>6559</v>
      </c>
      <c r="C102" s="47" t="s">
        <v>6550</v>
      </c>
      <c r="D102" s="47"/>
      <c r="E102" s="47" t="s">
        <v>6551</v>
      </c>
      <c r="F102" s="47" t="s">
        <v>119</v>
      </c>
      <c r="G102" s="47" t="s">
        <v>174</v>
      </c>
      <c r="H102" s="47" t="str">
        <f t="shared" si="3"/>
        <v>PULWAMA</v>
      </c>
      <c r="I102" s="47" t="s">
        <v>6566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2"/>
        <v>102</v>
      </c>
      <c r="B103" s="47" t="s">
        <v>6552</v>
      </c>
      <c r="C103" s="47" t="s">
        <v>6554</v>
      </c>
      <c r="D103" s="47"/>
      <c r="E103" s="47" t="s">
        <v>6555</v>
      </c>
      <c r="F103" s="47" t="s">
        <v>12</v>
      </c>
      <c r="G103" s="47" t="s">
        <v>226</v>
      </c>
      <c r="H103" s="47" t="str">
        <f t="shared" si="3"/>
        <v>BHARAT</v>
      </c>
      <c r="I103" s="47" t="s">
        <v>6637</v>
      </c>
      <c r="J103" s="48">
        <v>45981</v>
      </c>
      <c r="K103" s="47">
        <v>8269441160</v>
      </c>
      <c r="L103" s="47" t="s">
        <v>48</v>
      </c>
      <c r="M103" s="49"/>
      <c r="N103" s="48"/>
      <c r="O103" s="47" t="s">
        <v>6446</v>
      </c>
      <c r="P103" s="50">
        <v>45988</v>
      </c>
      <c r="Q103" s="47"/>
      <c r="R103" s="47"/>
    </row>
    <row r="104" spans="1:23" x14ac:dyDescent="0.25">
      <c r="A104" s="47">
        <f t="shared" si="2"/>
        <v>103</v>
      </c>
      <c r="B104" s="47" t="s">
        <v>6553</v>
      </c>
      <c r="C104" s="47" t="s">
        <v>6556</v>
      </c>
      <c r="D104" s="47"/>
      <c r="E104" s="47" t="s">
        <v>6557</v>
      </c>
      <c r="F104" s="47" t="s">
        <v>100</v>
      </c>
      <c r="G104" s="47" t="s">
        <v>181</v>
      </c>
      <c r="H104" s="47" t="str">
        <f t="shared" si="3"/>
        <v>SRINAGAR</v>
      </c>
      <c r="I104" s="47" t="s">
        <v>6570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2"/>
        <v>104</v>
      </c>
      <c r="B105" s="47" t="s">
        <v>6558</v>
      </c>
      <c r="C105" s="47" t="s">
        <v>6561</v>
      </c>
      <c r="D105" s="47"/>
      <c r="E105" s="47" t="s">
        <v>6562</v>
      </c>
      <c r="F105" s="47" t="s">
        <v>125</v>
      </c>
      <c r="G105" s="47" t="s">
        <v>175</v>
      </c>
      <c r="H105" s="47" t="str">
        <f t="shared" si="3"/>
        <v>PULWAMA</v>
      </c>
      <c r="I105" s="47" t="s">
        <v>6565</v>
      </c>
      <c r="J105" s="48">
        <v>45981</v>
      </c>
      <c r="K105" s="47">
        <v>9906121652</v>
      </c>
      <c r="L105" s="47" t="s">
        <v>6522</v>
      </c>
      <c r="M105" s="49" t="s">
        <v>6630</v>
      </c>
      <c r="N105" s="48">
        <v>45986</v>
      </c>
      <c r="O105" s="47" t="s">
        <v>23</v>
      </c>
      <c r="P105" s="50">
        <v>45986</v>
      </c>
      <c r="Q105" s="47" t="s">
        <v>6461</v>
      </c>
      <c r="R105" s="47"/>
    </row>
    <row r="106" spans="1:23" x14ac:dyDescent="0.25">
      <c r="A106" s="47">
        <f t="shared" si="2"/>
        <v>105</v>
      </c>
      <c r="B106" s="47" t="s">
        <v>6560</v>
      </c>
      <c r="C106" s="47" t="s">
        <v>6563</v>
      </c>
      <c r="D106" s="47"/>
      <c r="E106" s="47" t="s">
        <v>6564</v>
      </c>
      <c r="F106" s="47" t="s">
        <v>100</v>
      </c>
      <c r="G106" s="47" t="s">
        <v>200</v>
      </c>
      <c r="H106" s="47" t="str">
        <f t="shared" si="3"/>
        <v>SHOPIAN</v>
      </c>
      <c r="I106" s="47" t="s">
        <v>6567</v>
      </c>
      <c r="J106" s="48">
        <v>45981</v>
      </c>
      <c r="K106" s="47">
        <v>9906463872</v>
      </c>
      <c r="L106" s="47" t="s">
        <v>6571</v>
      </c>
      <c r="M106" s="49"/>
      <c r="N106" s="48"/>
      <c r="O106" s="47" t="s">
        <v>23</v>
      </c>
      <c r="P106" s="50">
        <v>45990</v>
      </c>
      <c r="Q106" s="47" t="s">
        <v>6461</v>
      </c>
      <c r="R106" s="47"/>
    </row>
    <row r="107" spans="1:23" x14ac:dyDescent="0.25">
      <c r="A107" s="47">
        <f t="shared" si="2"/>
        <v>106</v>
      </c>
      <c r="B107" s="47" t="s">
        <v>6573</v>
      </c>
      <c r="C107" s="47" t="s">
        <v>6574</v>
      </c>
      <c r="D107" s="47"/>
      <c r="E107" s="47" t="s">
        <v>6572</v>
      </c>
      <c r="F107" s="47" t="s">
        <v>3130</v>
      </c>
      <c r="G107" s="47" t="s">
        <v>174</v>
      </c>
      <c r="H107" s="47" t="str">
        <f t="shared" si="3"/>
        <v>BARAMULLA</v>
      </c>
      <c r="I107" s="47" t="s">
        <v>6575</v>
      </c>
      <c r="J107" s="48">
        <v>45981</v>
      </c>
      <c r="K107" s="47">
        <v>9797300880</v>
      </c>
      <c r="L107" s="47" t="s">
        <v>3926</v>
      </c>
      <c r="M107" s="49"/>
      <c r="N107" s="48"/>
      <c r="O107" s="47"/>
      <c r="P107" s="50"/>
      <c r="Q107" s="47"/>
      <c r="R107" s="47"/>
    </row>
    <row r="108" spans="1:23" x14ac:dyDescent="0.25">
      <c r="A108" s="47">
        <f t="shared" si="2"/>
        <v>107</v>
      </c>
      <c r="B108" s="47" t="s">
        <v>6578</v>
      </c>
      <c r="C108" s="47" t="s">
        <v>6577</v>
      </c>
      <c r="D108" s="47"/>
      <c r="E108" s="47" t="s">
        <v>6576</v>
      </c>
      <c r="F108" s="47" t="s">
        <v>31</v>
      </c>
      <c r="G108" s="47" t="s">
        <v>200</v>
      </c>
      <c r="H108" s="47" t="str">
        <f t="shared" si="3"/>
        <v>PULWAMA</v>
      </c>
      <c r="I108" s="47" t="s">
        <v>6583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2"/>
        <v>108</v>
      </c>
      <c r="B109" s="47" t="s">
        <v>6582</v>
      </c>
      <c r="C109" s="47" t="s">
        <v>6579</v>
      </c>
      <c r="D109" s="47" t="s">
        <v>6711</v>
      </c>
      <c r="E109" s="47" t="s">
        <v>6580</v>
      </c>
      <c r="F109" s="47" t="s">
        <v>119</v>
      </c>
      <c r="G109" s="47" t="s">
        <v>175</v>
      </c>
      <c r="H109" s="47" t="str">
        <f t="shared" si="3"/>
        <v>PULWAMA</v>
      </c>
      <c r="I109" s="47" t="s">
        <v>6584</v>
      </c>
      <c r="J109" s="48">
        <v>45982</v>
      </c>
      <c r="K109" s="47">
        <v>8825052137</v>
      </c>
      <c r="L109" s="47" t="s">
        <v>6581</v>
      </c>
      <c r="M109" s="49"/>
      <c r="N109" s="48"/>
      <c r="O109" s="47" t="s">
        <v>23</v>
      </c>
      <c r="P109" s="50">
        <v>45990</v>
      </c>
      <c r="Q109" s="47" t="s">
        <v>6461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2"/>
        <v>109</v>
      </c>
      <c r="B110" s="47" t="s">
        <v>6587</v>
      </c>
      <c r="C110" s="47" t="s">
        <v>6585</v>
      </c>
      <c r="D110" s="47" t="s">
        <v>6725</v>
      </c>
      <c r="E110" s="47" t="s">
        <v>2638</v>
      </c>
      <c r="F110" s="47" t="s">
        <v>100</v>
      </c>
      <c r="G110" s="47" t="s">
        <v>226</v>
      </c>
      <c r="H110" s="47" t="str">
        <f t="shared" si="3"/>
        <v>SRINAGAR</v>
      </c>
      <c r="I110" s="47" t="s">
        <v>6730</v>
      </c>
      <c r="J110" s="48">
        <v>45982</v>
      </c>
      <c r="K110" s="47">
        <v>7006756136</v>
      </c>
      <c r="L110" s="47" t="s">
        <v>6586</v>
      </c>
      <c r="M110" s="49"/>
      <c r="N110" s="48"/>
      <c r="O110" s="47"/>
      <c r="P110" s="50"/>
      <c r="Q110" s="47"/>
      <c r="R110" s="47"/>
    </row>
    <row r="111" spans="1:23" x14ac:dyDescent="0.25">
      <c r="A111" s="47">
        <f t="shared" si="2"/>
        <v>110</v>
      </c>
      <c r="B111" s="47" t="s">
        <v>6588</v>
      </c>
      <c r="C111" s="47" t="s">
        <v>6589</v>
      </c>
      <c r="D111" s="47"/>
      <c r="E111" s="47" t="s">
        <v>6590</v>
      </c>
      <c r="F111" s="47" t="s">
        <v>100</v>
      </c>
      <c r="G111" s="47" t="s">
        <v>200</v>
      </c>
      <c r="H111" s="47" t="str">
        <f t="shared" si="3"/>
        <v>ANANTNAG</v>
      </c>
      <c r="I111" s="47" t="s">
        <v>6600</v>
      </c>
      <c r="J111" s="48">
        <v>45983</v>
      </c>
      <c r="K111" s="47">
        <v>9622477236</v>
      </c>
      <c r="L111" s="47" t="s">
        <v>166</v>
      </c>
      <c r="M111" s="49"/>
      <c r="N111" s="48"/>
      <c r="O111" s="47"/>
      <c r="P111" s="50"/>
      <c r="Q111" s="47"/>
      <c r="R111" s="47"/>
    </row>
    <row r="112" spans="1:23" x14ac:dyDescent="0.25">
      <c r="A112" s="47">
        <f t="shared" si="2"/>
        <v>111</v>
      </c>
      <c r="B112" s="47" t="s">
        <v>6593</v>
      </c>
      <c r="C112" s="47" t="s">
        <v>6591</v>
      </c>
      <c r="D112" s="47"/>
      <c r="E112" s="47" t="s">
        <v>6592</v>
      </c>
      <c r="F112" s="47" t="s">
        <v>12</v>
      </c>
      <c r="G112" s="47" t="s">
        <v>200</v>
      </c>
      <c r="H112" s="47" t="str">
        <f t="shared" si="3"/>
        <v>PULWAMA</v>
      </c>
      <c r="I112" s="47" t="s">
        <v>6601</v>
      </c>
      <c r="J112" s="48">
        <v>45983</v>
      </c>
      <c r="K112" s="47">
        <v>7006792378</v>
      </c>
      <c r="L112" s="47" t="s">
        <v>70</v>
      </c>
      <c r="M112" s="49"/>
      <c r="N112" s="48"/>
      <c r="O112" s="47"/>
      <c r="P112" s="50"/>
      <c r="Q112" s="47"/>
      <c r="R112" s="47"/>
    </row>
    <row r="113" spans="1:18" x14ac:dyDescent="0.25">
      <c r="A113" s="47">
        <f t="shared" si="2"/>
        <v>112</v>
      </c>
      <c r="B113" s="47" t="s">
        <v>6594</v>
      </c>
      <c r="C113" s="47" t="s">
        <v>6599</v>
      </c>
      <c r="D113" s="47"/>
      <c r="E113" s="47" t="s">
        <v>6221</v>
      </c>
      <c r="F113" s="47" t="s">
        <v>6598</v>
      </c>
      <c r="G113" s="47" t="s">
        <v>200</v>
      </c>
      <c r="H113" s="47" t="str">
        <f t="shared" si="3"/>
        <v>SHOPIAN</v>
      </c>
      <c r="I113" s="47" t="s">
        <v>6603</v>
      </c>
      <c r="J113" s="48">
        <v>45983</v>
      </c>
      <c r="K113" s="47">
        <v>8825050044</v>
      </c>
      <c r="L113" s="47" t="s">
        <v>6581</v>
      </c>
      <c r="M113" s="49"/>
      <c r="N113" s="48"/>
      <c r="O113" s="47" t="s">
        <v>23</v>
      </c>
      <c r="P113" s="50">
        <v>45990</v>
      </c>
      <c r="Q113" s="47" t="s">
        <v>6461</v>
      </c>
      <c r="R113" s="47"/>
    </row>
    <row r="114" spans="1:18" x14ac:dyDescent="0.25">
      <c r="A114" s="47">
        <f t="shared" si="2"/>
        <v>113</v>
      </c>
      <c r="B114" s="47" t="s">
        <v>6595</v>
      </c>
      <c r="C114" s="47" t="s">
        <v>6597</v>
      </c>
      <c r="D114" s="47"/>
      <c r="E114" s="47" t="s">
        <v>6596</v>
      </c>
      <c r="F114" s="47" t="s">
        <v>12</v>
      </c>
      <c r="G114" s="47" t="s">
        <v>174</v>
      </c>
      <c r="H114" s="47" t="str">
        <f t="shared" si="3"/>
        <v>SHOPIAN</v>
      </c>
      <c r="I114" s="47" t="s">
        <v>6602</v>
      </c>
      <c r="J114" s="48">
        <v>45983</v>
      </c>
      <c r="K114" s="47">
        <v>7006164327</v>
      </c>
      <c r="L114" s="47" t="s">
        <v>6581</v>
      </c>
      <c r="M114" s="49"/>
      <c r="N114" s="48"/>
      <c r="O114" s="47" t="s">
        <v>23</v>
      </c>
      <c r="P114" s="50">
        <v>45990</v>
      </c>
      <c r="Q114" s="47" t="s">
        <v>6461</v>
      </c>
      <c r="R114" s="47"/>
    </row>
    <row r="115" spans="1:18" x14ac:dyDescent="0.25">
      <c r="A115" s="47">
        <f t="shared" si="2"/>
        <v>114</v>
      </c>
      <c r="B115" s="47" t="s">
        <v>6607</v>
      </c>
      <c r="C115" s="47" t="s">
        <v>6605</v>
      </c>
      <c r="D115" s="47"/>
      <c r="E115" s="47" t="s">
        <v>6604</v>
      </c>
      <c r="F115" s="47" t="s">
        <v>6606</v>
      </c>
      <c r="G115" s="47" t="s">
        <v>226</v>
      </c>
      <c r="H115" s="47" t="str">
        <f t="shared" si="3"/>
        <v>SRINAGAR</v>
      </c>
      <c r="I115" s="47" t="s">
        <v>6608</v>
      </c>
      <c r="J115" s="48">
        <v>45983</v>
      </c>
      <c r="K115" s="47">
        <v>7006736251</v>
      </c>
      <c r="L115" s="47" t="s">
        <v>6452</v>
      </c>
      <c r="M115" s="49" t="s">
        <v>6929</v>
      </c>
      <c r="N115" s="48">
        <v>45997</v>
      </c>
      <c r="O115" s="47"/>
      <c r="P115" s="50"/>
      <c r="Q115" s="47"/>
      <c r="R115" s="47" t="s">
        <v>6610</v>
      </c>
    </row>
    <row r="116" spans="1:18" x14ac:dyDescent="0.25">
      <c r="A116" s="47">
        <f t="shared" si="2"/>
        <v>115</v>
      </c>
      <c r="B116" s="47" t="s">
        <v>6611</v>
      </c>
      <c r="C116" s="47" t="s">
        <v>6612</v>
      </c>
      <c r="D116" s="47" t="s">
        <v>6692</v>
      </c>
      <c r="E116" s="47" t="s">
        <v>6613</v>
      </c>
      <c r="F116" s="47" t="s">
        <v>119</v>
      </c>
      <c r="G116" s="47" t="s">
        <v>200</v>
      </c>
      <c r="H116" s="47" t="str">
        <f t="shared" si="3"/>
        <v>KULGAM</v>
      </c>
      <c r="I116" s="47" t="s">
        <v>6614</v>
      </c>
      <c r="J116" s="48">
        <v>45985</v>
      </c>
      <c r="K116" s="47">
        <v>9906619090</v>
      </c>
      <c r="L116" s="47" t="s">
        <v>6581</v>
      </c>
      <c r="M116" s="49" t="s">
        <v>6693</v>
      </c>
      <c r="N116" s="48">
        <v>45989</v>
      </c>
      <c r="O116" s="47" t="s">
        <v>23</v>
      </c>
      <c r="P116" s="50">
        <v>45989</v>
      </c>
      <c r="Q116" s="47" t="s">
        <v>6461</v>
      </c>
      <c r="R116" s="47"/>
    </row>
    <row r="117" spans="1:18" x14ac:dyDescent="0.25">
      <c r="A117" s="47">
        <f t="shared" si="2"/>
        <v>116</v>
      </c>
      <c r="B117" s="47" t="s">
        <v>6617</v>
      </c>
      <c r="C117" s="47" t="s">
        <v>6618</v>
      </c>
      <c r="D117" s="47"/>
      <c r="E117" s="47" t="s">
        <v>6619</v>
      </c>
      <c r="F117" s="47" t="s">
        <v>100</v>
      </c>
      <c r="G117" s="47" t="s">
        <v>200</v>
      </c>
      <c r="H117" s="47" t="str">
        <f t="shared" si="3"/>
        <v>BUDGAM</v>
      </c>
      <c r="I117" s="47" t="s">
        <v>6620</v>
      </c>
      <c r="J117" s="48">
        <v>45985</v>
      </c>
      <c r="K117" s="47">
        <v>8825011762</v>
      </c>
      <c r="L117" s="47" t="s">
        <v>176</v>
      </c>
      <c r="M117" s="49" t="s">
        <v>6857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2"/>
        <v>117</v>
      </c>
      <c r="B118" s="47" t="s">
        <v>6622</v>
      </c>
      <c r="C118" s="47" t="s">
        <v>6623</v>
      </c>
      <c r="D118" s="47"/>
      <c r="E118" s="47" t="s">
        <v>6624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6625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6461</v>
      </c>
      <c r="R118" s="47"/>
    </row>
    <row r="119" spans="1:18" x14ac:dyDescent="0.25">
      <c r="A119" s="47">
        <f t="shared" si="2"/>
        <v>118</v>
      </c>
      <c r="B119" s="47" t="s">
        <v>6626</v>
      </c>
      <c r="C119" s="47" t="s">
        <v>6628</v>
      </c>
      <c r="D119" s="47"/>
      <c r="E119" s="47" t="s">
        <v>6627</v>
      </c>
      <c r="F119" s="47" t="s">
        <v>31</v>
      </c>
      <c r="G119" s="47" t="s">
        <v>200</v>
      </c>
      <c r="H119" s="47" t="str">
        <f t="shared" si="3"/>
        <v>PULWAMA</v>
      </c>
      <c r="I119" s="47" t="s">
        <v>6631</v>
      </c>
      <c r="J119" s="48">
        <v>45986</v>
      </c>
      <c r="K119" s="47">
        <v>9622137310</v>
      </c>
      <c r="L119" s="47" t="s">
        <v>6629</v>
      </c>
      <c r="M119" s="49"/>
      <c r="N119" s="48"/>
      <c r="O119" s="47" t="s">
        <v>23</v>
      </c>
      <c r="P119" s="50">
        <v>45986</v>
      </c>
      <c r="Q119" s="47" t="s">
        <v>6461</v>
      </c>
      <c r="R119" s="47"/>
    </row>
    <row r="120" spans="1:18" x14ac:dyDescent="0.25">
      <c r="A120" s="47">
        <f t="shared" si="2"/>
        <v>119</v>
      </c>
      <c r="B120" s="47" t="s">
        <v>6633</v>
      </c>
      <c r="C120" s="47" t="s">
        <v>6634</v>
      </c>
      <c r="D120" s="47"/>
      <c r="E120" s="47" t="s">
        <v>6635</v>
      </c>
      <c r="F120" s="47" t="s">
        <v>37</v>
      </c>
      <c r="G120" s="47" t="s">
        <v>181</v>
      </c>
      <c r="H120" s="47" t="str">
        <f t="shared" si="3"/>
        <v>SRINAGAR</v>
      </c>
      <c r="I120" s="47" t="s">
        <v>6636</v>
      </c>
      <c r="J120" s="48">
        <v>45986</v>
      </c>
      <c r="K120" s="47">
        <v>7889419489</v>
      </c>
      <c r="L120" s="47" t="s">
        <v>2172</v>
      </c>
      <c r="M120" s="49"/>
      <c r="N120" s="48"/>
      <c r="O120" s="47" t="s">
        <v>23</v>
      </c>
      <c r="P120" s="50">
        <v>45988</v>
      </c>
      <c r="Q120" s="47" t="s">
        <v>6461</v>
      </c>
      <c r="R120" s="47"/>
    </row>
    <row r="121" spans="1:18" x14ac:dyDescent="0.25">
      <c r="A121" s="47">
        <f t="shared" si="2"/>
        <v>120</v>
      </c>
      <c r="B121" s="47" t="s">
        <v>6638</v>
      </c>
      <c r="C121" s="47" t="s">
        <v>6641</v>
      </c>
      <c r="D121" s="47"/>
      <c r="E121" s="47" t="s">
        <v>6642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6649</v>
      </c>
      <c r="J121" s="48">
        <v>45987</v>
      </c>
      <c r="K121" s="47">
        <v>8492026116</v>
      </c>
      <c r="L121" s="47" t="s">
        <v>61</v>
      </c>
      <c r="M121" s="49"/>
      <c r="N121" s="48"/>
      <c r="O121" s="47" t="s">
        <v>23</v>
      </c>
      <c r="P121" s="50">
        <v>45988</v>
      </c>
      <c r="Q121" s="47" t="s">
        <v>6461</v>
      </c>
      <c r="R121" s="47"/>
    </row>
    <row r="122" spans="1:18" x14ac:dyDescent="0.25">
      <c r="A122" s="47">
        <f t="shared" si="2"/>
        <v>121</v>
      </c>
      <c r="B122" s="47" t="s">
        <v>6639</v>
      </c>
      <c r="C122" s="47" t="s">
        <v>6643</v>
      </c>
      <c r="D122" s="47" t="s">
        <v>6699</v>
      </c>
      <c r="E122" s="47" t="s">
        <v>6644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6647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6461</v>
      </c>
      <c r="R122" s="47"/>
    </row>
    <row r="123" spans="1:18" x14ac:dyDescent="0.25">
      <c r="A123" s="47">
        <f t="shared" si="2"/>
        <v>122</v>
      </c>
      <c r="B123" s="47" t="s">
        <v>6640</v>
      </c>
      <c r="C123" s="47" t="s">
        <v>6645</v>
      </c>
      <c r="D123" s="47"/>
      <c r="E123" s="47" t="s">
        <v>6646</v>
      </c>
      <c r="F123" s="47" t="s">
        <v>238</v>
      </c>
      <c r="G123" s="47" t="s">
        <v>6476</v>
      </c>
      <c r="H123" s="47" t="str">
        <f t="shared" si="3"/>
        <v>BANDIPORA</v>
      </c>
      <c r="I123" s="47" t="s">
        <v>6648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6461</v>
      </c>
      <c r="R123" s="47"/>
    </row>
    <row r="124" spans="1:18" x14ac:dyDescent="0.25">
      <c r="A124" s="47">
        <f t="shared" si="2"/>
        <v>123</v>
      </c>
      <c r="B124" s="47" t="s">
        <v>6652</v>
      </c>
      <c r="C124" s="47" t="s">
        <v>6651</v>
      </c>
      <c r="D124" s="47"/>
      <c r="E124" s="47" t="s">
        <v>6650</v>
      </c>
      <c r="F124" s="47" t="s">
        <v>238</v>
      </c>
      <c r="G124" s="47" t="s">
        <v>200</v>
      </c>
      <c r="H124" s="47" t="str">
        <f t="shared" si="3"/>
        <v>KARGIL</v>
      </c>
      <c r="I124" s="47" t="s">
        <v>6653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2"/>
        <v>124</v>
      </c>
      <c r="B125" s="47" t="s">
        <v>6669</v>
      </c>
      <c r="C125" s="47" t="s">
        <v>6670</v>
      </c>
      <c r="D125" s="47" t="s">
        <v>6687</v>
      </c>
      <c r="E125" s="47" t="s">
        <v>6671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6672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2"/>
        <v>125</v>
      </c>
      <c r="B126" s="47" t="s">
        <v>6680</v>
      </c>
      <c r="C126" s="47" t="s">
        <v>6682</v>
      </c>
      <c r="D126" s="47" t="s">
        <v>6686</v>
      </c>
      <c r="E126" s="47" t="s">
        <v>6681</v>
      </c>
      <c r="F126" s="47" t="s">
        <v>125</v>
      </c>
      <c r="G126" s="47" t="s">
        <v>199</v>
      </c>
      <c r="H126" s="47" t="str">
        <f t="shared" si="3"/>
        <v>BARAMULLA</v>
      </c>
      <c r="I126" s="47" t="s">
        <v>6683</v>
      </c>
      <c r="J126" s="48">
        <v>45989</v>
      </c>
      <c r="K126" s="47">
        <v>9622199980</v>
      </c>
      <c r="L126" s="47" t="s">
        <v>6684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2"/>
        <v>126</v>
      </c>
      <c r="B127" s="47" t="s">
        <v>6688</v>
      </c>
      <c r="C127" s="47" t="s">
        <v>6689</v>
      </c>
      <c r="D127" s="47" t="s">
        <v>6690</v>
      </c>
      <c r="E127" s="47" t="s">
        <v>6691</v>
      </c>
      <c r="F127" s="47" t="s">
        <v>12</v>
      </c>
      <c r="G127" s="47" t="s">
        <v>174</v>
      </c>
      <c r="H127" s="47" t="str">
        <f t="shared" si="3"/>
        <v>SRINAGAR</v>
      </c>
      <c r="I127" s="47" t="s">
        <v>6695</v>
      </c>
      <c r="J127" s="48">
        <v>45989</v>
      </c>
      <c r="K127" s="47">
        <v>7051651378</v>
      </c>
      <c r="L127" s="47" t="s">
        <v>551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2"/>
        <v>127</v>
      </c>
      <c r="B128" s="47" t="s">
        <v>6698</v>
      </c>
      <c r="C128" s="47" t="s">
        <v>6697</v>
      </c>
      <c r="D128" s="47" t="s">
        <v>6696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6700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6461</v>
      </c>
      <c r="R128" s="47"/>
    </row>
    <row r="129" spans="1:18" x14ac:dyDescent="0.25">
      <c r="A129" s="47">
        <f t="shared" ref="A129:A192" si="4">ROW()-1</f>
        <v>128</v>
      </c>
      <c r="B129" s="47" t="s">
        <v>6702</v>
      </c>
      <c r="C129" s="47" t="s">
        <v>6703</v>
      </c>
      <c r="D129" s="47" t="s">
        <v>6705</v>
      </c>
      <c r="E129" s="47" t="s">
        <v>6704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6716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4"/>
        <v>129</v>
      </c>
      <c r="B130" s="47" t="s">
        <v>6719</v>
      </c>
      <c r="C130" s="47" t="s">
        <v>6717</v>
      </c>
      <c r="D130" s="47" t="s">
        <v>6718</v>
      </c>
      <c r="E130" s="47" t="s">
        <v>4399</v>
      </c>
      <c r="F130" s="47" t="s">
        <v>5</v>
      </c>
      <c r="G130" s="47" t="s">
        <v>200</v>
      </c>
      <c r="H130" s="47" t="str">
        <f t="shared" si="3"/>
        <v>SRINAGAR</v>
      </c>
      <c r="I130" s="47" t="s">
        <v>6729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6461</v>
      </c>
      <c r="R130" s="47"/>
    </row>
    <row r="131" spans="1:18" x14ac:dyDescent="0.25">
      <c r="A131" s="47">
        <f t="shared" si="4"/>
        <v>130</v>
      </c>
      <c r="B131" s="47" t="s">
        <v>6722</v>
      </c>
      <c r="C131" s="47" t="s">
        <v>6721</v>
      </c>
      <c r="D131" s="47" t="s">
        <v>6724</v>
      </c>
      <c r="E131" s="47" t="s">
        <v>6723</v>
      </c>
      <c r="F131" s="47" t="s">
        <v>31</v>
      </c>
      <c r="G131" s="47" t="s">
        <v>200</v>
      </c>
      <c r="H131" s="47" t="s">
        <v>678</v>
      </c>
      <c r="I131" s="47" t="s">
        <v>6745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4"/>
        <v>131</v>
      </c>
      <c r="B132" s="47" t="s">
        <v>6734</v>
      </c>
      <c r="C132" s="47" t="s">
        <v>6732</v>
      </c>
      <c r="D132" s="47" t="s">
        <v>6733</v>
      </c>
      <c r="E132" s="47" t="s">
        <v>6731</v>
      </c>
      <c r="F132" s="47" t="s">
        <v>31</v>
      </c>
      <c r="G132" s="47" t="s">
        <v>199</v>
      </c>
      <c r="H132" s="47" t="str">
        <f t="shared" ref="H132" si="5"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47" t="s">
        <v>6742</v>
      </c>
      <c r="J132" s="48">
        <v>45994</v>
      </c>
      <c r="K132" s="47">
        <v>9622839355</v>
      </c>
      <c r="L132" s="47" t="s">
        <v>26</v>
      </c>
      <c r="M132" s="49"/>
      <c r="N132" s="48"/>
      <c r="O132" s="47" t="s">
        <v>23</v>
      </c>
      <c r="P132" s="50">
        <v>45994</v>
      </c>
      <c r="Q132" s="47" t="s">
        <v>6461</v>
      </c>
      <c r="R132" s="47"/>
    </row>
    <row r="133" spans="1:18" x14ac:dyDescent="0.25">
      <c r="A133" s="47">
        <f t="shared" si="4"/>
        <v>132</v>
      </c>
      <c r="B133" s="47" t="s">
        <v>6736</v>
      </c>
      <c r="C133" s="47" t="s">
        <v>6737</v>
      </c>
      <c r="D133" s="47" t="s">
        <v>6743</v>
      </c>
      <c r="E133" s="47" t="s">
        <v>6738</v>
      </c>
      <c r="F133" s="47" t="s">
        <v>119</v>
      </c>
      <c r="G133" s="47" t="s">
        <v>221</v>
      </c>
      <c r="H133" s="47" t="str">
        <f t="shared" ref="H133:H189" si="6">IF(LEFT(I133,4)="JK13","PULWAMA",IF(LEFT(I133,4)="JK01","SRINAGAR",IF(LEFT(I133,4)="JK04","BUDGAM",IF(LEFT(I133,4)="JK03","ANANTNAG",IF(LEFT(I133,4)="JK05","BARAMULLA",IF(LEFT(I133,4)="25BH","BHARAT",IF(LEFT(I133,4)="JK12","POONCH",IF(LEFT(I133,4)="JK18","KULGAM",IF(LEFT(I133,4)="JK22","SHOPIAN",IF(LEFT(I133,4)="T102","TEMP",IF(LEFT(I133,4)="JK09","KUPWARA",IF(LEFT(I133,4)="JK15","BANDIPORA",IF(LEFT(I133,4)="T112","KARGIL","NEW")))))))))))))</f>
        <v>BUDGAM</v>
      </c>
      <c r="I133" s="47" t="s">
        <v>6735</v>
      </c>
      <c r="J133" s="48">
        <v>45994</v>
      </c>
      <c r="K133" s="47">
        <v>9906892680</v>
      </c>
      <c r="L133" s="47" t="s">
        <v>26</v>
      </c>
      <c r="M133" s="49"/>
      <c r="N133" s="48"/>
      <c r="O133" s="47" t="s">
        <v>23</v>
      </c>
      <c r="P133" s="50">
        <v>45994</v>
      </c>
      <c r="Q133" s="47" t="s">
        <v>6461</v>
      </c>
      <c r="R133" s="47"/>
    </row>
    <row r="134" spans="1:18" x14ac:dyDescent="0.25">
      <c r="A134" s="47">
        <f t="shared" si="4"/>
        <v>133</v>
      </c>
      <c r="B134" s="47" t="s">
        <v>6739</v>
      </c>
      <c r="C134" s="47" t="s">
        <v>6740</v>
      </c>
      <c r="D134" s="47" t="s">
        <v>6744</v>
      </c>
      <c r="E134" s="47" t="s">
        <v>6627</v>
      </c>
      <c r="F134" s="47" t="s">
        <v>37</v>
      </c>
      <c r="G134" s="47" t="s">
        <v>199</v>
      </c>
      <c r="H134" s="47" t="str">
        <f t="shared" si="6"/>
        <v>PULWAMA</v>
      </c>
      <c r="I134" s="47" t="s">
        <v>6741</v>
      </c>
      <c r="J134" s="48">
        <v>45994</v>
      </c>
      <c r="K134" s="47">
        <v>9906454751</v>
      </c>
      <c r="L134" s="47" t="s">
        <v>307</v>
      </c>
      <c r="M134" s="49"/>
      <c r="N134" s="48"/>
      <c r="O134" s="47" t="s">
        <v>23</v>
      </c>
      <c r="P134" s="50">
        <v>45994</v>
      </c>
      <c r="Q134" s="47" t="s">
        <v>6461</v>
      </c>
      <c r="R134" s="47"/>
    </row>
    <row r="135" spans="1:18" x14ac:dyDescent="0.25">
      <c r="A135" s="47">
        <f t="shared" si="4"/>
        <v>134</v>
      </c>
      <c r="B135" s="47" t="s">
        <v>6750</v>
      </c>
      <c r="C135" s="47" t="s">
        <v>6755</v>
      </c>
      <c r="D135" s="47" t="s">
        <v>6759</v>
      </c>
      <c r="E135" s="47" t="s">
        <v>6756</v>
      </c>
      <c r="F135" s="47" t="s">
        <v>119</v>
      </c>
      <c r="G135" s="47" t="s">
        <v>6760</v>
      </c>
      <c r="H135" s="47" t="str">
        <f t="shared" si="6"/>
        <v>SHOPIAN</v>
      </c>
      <c r="I135" s="47" t="s">
        <v>6765</v>
      </c>
      <c r="J135" s="48">
        <v>45995</v>
      </c>
      <c r="K135" s="47">
        <v>7780824558</v>
      </c>
      <c r="L135" s="47" t="s">
        <v>6763</v>
      </c>
      <c r="M135" s="49" t="s">
        <v>6852</v>
      </c>
      <c r="N135" s="48">
        <v>45997</v>
      </c>
      <c r="O135" s="47" t="s">
        <v>23</v>
      </c>
      <c r="P135" s="50">
        <v>45995</v>
      </c>
      <c r="Q135" s="47" t="s">
        <v>6461</v>
      </c>
      <c r="R135" s="47"/>
    </row>
    <row r="136" spans="1:18" x14ac:dyDescent="0.25">
      <c r="A136" s="47">
        <f t="shared" si="4"/>
        <v>135</v>
      </c>
      <c r="B136" s="47" t="s">
        <v>6751</v>
      </c>
      <c r="C136" s="47" t="s">
        <v>6754</v>
      </c>
      <c r="D136" s="47" t="s">
        <v>6761</v>
      </c>
      <c r="E136" s="47" t="s">
        <v>6757</v>
      </c>
      <c r="F136" s="47" t="s">
        <v>31</v>
      </c>
      <c r="G136" s="47" t="s">
        <v>200</v>
      </c>
      <c r="H136" s="47" t="str">
        <f t="shared" si="6"/>
        <v>PULWAMA</v>
      </c>
      <c r="I136" s="47" t="s">
        <v>6764</v>
      </c>
      <c r="J136" s="48">
        <v>45995</v>
      </c>
      <c r="K136" s="47">
        <v>8899778092</v>
      </c>
      <c r="L136" s="47" t="s">
        <v>6435</v>
      </c>
      <c r="M136" s="49"/>
      <c r="N136" s="48"/>
      <c r="O136" s="47" t="s">
        <v>23</v>
      </c>
      <c r="P136" s="50">
        <v>45995</v>
      </c>
      <c r="Q136" s="47" t="s">
        <v>6461</v>
      </c>
      <c r="R136" s="47"/>
    </row>
    <row r="137" spans="1:18" x14ac:dyDescent="0.25">
      <c r="A137" s="47">
        <f t="shared" si="4"/>
        <v>136</v>
      </c>
      <c r="B137" s="47" t="s">
        <v>6752</v>
      </c>
      <c r="C137" s="47" t="s">
        <v>6753</v>
      </c>
      <c r="D137" s="47" t="s">
        <v>6762</v>
      </c>
      <c r="E137" s="47" t="s">
        <v>6758</v>
      </c>
      <c r="F137" s="47" t="s">
        <v>100</v>
      </c>
      <c r="G137" s="47" t="s">
        <v>181</v>
      </c>
      <c r="H137" s="47" t="str">
        <f t="shared" si="6"/>
        <v>SRINAGAR</v>
      </c>
      <c r="I137" s="47" t="s">
        <v>6766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4"/>
        <v>137</v>
      </c>
      <c r="B138" s="47" t="s">
        <v>6767</v>
      </c>
      <c r="C138" s="47" t="s">
        <v>6768</v>
      </c>
      <c r="D138" s="47" t="s">
        <v>6769</v>
      </c>
      <c r="E138" s="47" t="s">
        <v>6770</v>
      </c>
      <c r="F138" s="47" t="s">
        <v>100</v>
      </c>
      <c r="G138" s="47" t="s">
        <v>181</v>
      </c>
      <c r="H138" s="47" t="str">
        <f t="shared" si="6"/>
        <v>SRINAGAR</v>
      </c>
      <c r="I138" s="47" t="s">
        <v>6771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4"/>
        <v>138</v>
      </c>
      <c r="B139" s="47" t="s">
        <v>6775</v>
      </c>
      <c r="C139" s="47" t="s">
        <v>6772</v>
      </c>
      <c r="D139" s="47" t="s">
        <v>6773</v>
      </c>
      <c r="E139" s="47" t="s">
        <v>6774</v>
      </c>
      <c r="F139" s="47" t="s">
        <v>125</v>
      </c>
      <c r="G139" s="47" t="s">
        <v>175</v>
      </c>
      <c r="H139" s="47" t="str">
        <f t="shared" si="6"/>
        <v>BUDGAM</v>
      </c>
      <c r="I139" s="47" t="s">
        <v>6776</v>
      </c>
      <c r="J139" s="48">
        <v>45995</v>
      </c>
      <c r="K139" s="47">
        <v>9797015273</v>
      </c>
      <c r="L139" s="47" t="s">
        <v>176</v>
      </c>
      <c r="M139" s="49" t="s">
        <v>6857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4"/>
        <v>139</v>
      </c>
      <c r="B140" s="47" t="s">
        <v>6783</v>
      </c>
      <c r="C140" s="47" t="s">
        <v>6784</v>
      </c>
      <c r="D140" s="47" t="s">
        <v>6785</v>
      </c>
      <c r="E140" s="47" t="s">
        <v>3590</v>
      </c>
      <c r="F140" s="47" t="s">
        <v>125</v>
      </c>
      <c r="G140" s="47" t="s">
        <v>200</v>
      </c>
      <c r="H140" s="47" t="str">
        <f t="shared" si="6"/>
        <v>PULWAMA</v>
      </c>
      <c r="I140" s="47" t="s">
        <v>6790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6461</v>
      </c>
      <c r="R140" s="47"/>
    </row>
    <row r="141" spans="1:18" x14ac:dyDescent="0.25">
      <c r="A141" s="47">
        <f t="shared" si="4"/>
        <v>140</v>
      </c>
      <c r="B141" s="47" t="s">
        <v>6786</v>
      </c>
      <c r="C141" s="47" t="s">
        <v>6787</v>
      </c>
      <c r="D141" s="47" t="s">
        <v>6788</v>
      </c>
      <c r="E141" s="47" t="s">
        <v>6789</v>
      </c>
      <c r="F141" s="47" t="s">
        <v>5</v>
      </c>
      <c r="G141" s="47" t="s">
        <v>226</v>
      </c>
      <c r="H141" s="47" t="str">
        <f t="shared" si="6"/>
        <v>SRINAGAR</v>
      </c>
      <c r="I141" s="47" t="s">
        <v>6795</v>
      </c>
      <c r="J141" s="48">
        <v>45996</v>
      </c>
      <c r="K141" s="47">
        <v>9419032294</v>
      </c>
      <c r="L141" s="47" t="s">
        <v>6452</v>
      </c>
      <c r="M141" s="49"/>
      <c r="N141" s="48"/>
      <c r="O141" s="47"/>
      <c r="P141" s="50"/>
      <c r="Q141" s="47"/>
      <c r="R141" s="47" t="s">
        <v>6858</v>
      </c>
    </row>
    <row r="142" spans="1:18" x14ac:dyDescent="0.25">
      <c r="A142" s="47">
        <f t="shared" si="4"/>
        <v>141</v>
      </c>
      <c r="B142" s="47" t="s">
        <v>6794</v>
      </c>
      <c r="C142" s="47" t="s">
        <v>6791</v>
      </c>
      <c r="D142" s="47" t="s">
        <v>6792</v>
      </c>
      <c r="E142" s="47" t="s">
        <v>6793</v>
      </c>
      <c r="F142" s="47" t="s">
        <v>5</v>
      </c>
      <c r="G142" s="47" t="s">
        <v>199</v>
      </c>
      <c r="H142" s="47" t="str">
        <f t="shared" si="6"/>
        <v>BUDGAM</v>
      </c>
      <c r="I142" s="47" t="s">
        <v>6796</v>
      </c>
      <c r="J142" s="48">
        <v>45996</v>
      </c>
      <c r="K142" s="47">
        <v>7006748463</v>
      </c>
      <c r="L142" s="47" t="s">
        <v>2172</v>
      </c>
      <c r="M142" s="49"/>
      <c r="N142" s="48"/>
      <c r="O142" s="47" t="s">
        <v>23</v>
      </c>
      <c r="P142" s="50">
        <v>45996</v>
      </c>
      <c r="Q142" s="47" t="s">
        <v>6461</v>
      </c>
      <c r="R142" s="47"/>
    </row>
    <row r="143" spans="1:18" x14ac:dyDescent="0.25">
      <c r="A143" s="47">
        <f t="shared" si="4"/>
        <v>142</v>
      </c>
      <c r="B143" s="47" t="s">
        <v>6799</v>
      </c>
      <c r="C143" s="47" t="s">
        <v>6800</v>
      </c>
      <c r="D143" s="47" t="s">
        <v>6801</v>
      </c>
      <c r="E143" s="47" t="s">
        <v>6802</v>
      </c>
      <c r="F143" s="47" t="s">
        <v>31</v>
      </c>
      <c r="G143" s="47" t="s">
        <v>200</v>
      </c>
      <c r="H143" s="47" t="str">
        <f t="shared" si="6"/>
        <v>SHOPIAN</v>
      </c>
      <c r="I143" s="47" t="s">
        <v>6821</v>
      </c>
      <c r="J143" s="48">
        <v>45996</v>
      </c>
      <c r="K143" s="47">
        <v>9596254341</v>
      </c>
      <c r="L143" s="47" t="s">
        <v>6571</v>
      </c>
      <c r="M143" s="49"/>
      <c r="N143" s="48"/>
      <c r="O143" s="47"/>
      <c r="P143" s="50"/>
      <c r="Q143" s="47"/>
      <c r="R143" s="47"/>
    </row>
    <row r="144" spans="1:18" x14ac:dyDescent="0.25">
      <c r="A144" s="47">
        <f t="shared" si="4"/>
        <v>143</v>
      </c>
      <c r="B144" s="47" t="s">
        <v>6806</v>
      </c>
      <c r="C144" s="47" t="s">
        <v>6803</v>
      </c>
      <c r="D144" s="47" t="s">
        <v>6804</v>
      </c>
      <c r="E144" s="47" t="s">
        <v>6805</v>
      </c>
      <c r="F144" s="47" t="s">
        <v>290</v>
      </c>
      <c r="G144" s="47" t="s">
        <v>200</v>
      </c>
      <c r="H144" s="47" t="str">
        <f t="shared" si="6"/>
        <v>SRINAGAR</v>
      </c>
      <c r="I144" s="47" t="s">
        <v>6822</v>
      </c>
      <c r="J144" s="48">
        <v>45996</v>
      </c>
      <c r="K144" s="47">
        <v>7006009589</v>
      </c>
      <c r="L144" s="47" t="s">
        <v>1517</v>
      </c>
      <c r="M144" s="49" t="s">
        <v>6924</v>
      </c>
      <c r="N144" s="48">
        <v>46000</v>
      </c>
      <c r="O144" s="47" t="s">
        <v>23</v>
      </c>
      <c r="P144" s="50">
        <v>45997</v>
      </c>
      <c r="Q144" s="47" t="s">
        <v>6461</v>
      </c>
      <c r="R144" s="47"/>
    </row>
    <row r="145" spans="1:18" x14ac:dyDescent="0.25">
      <c r="A145" s="47">
        <f t="shared" si="4"/>
        <v>144</v>
      </c>
      <c r="B145" s="47" t="s">
        <v>6814</v>
      </c>
      <c r="C145" s="47" t="s">
        <v>6807</v>
      </c>
      <c r="D145" s="47" t="s">
        <v>6808</v>
      </c>
      <c r="E145" s="47" t="s">
        <v>3676</v>
      </c>
      <c r="F145" s="47" t="s">
        <v>5</v>
      </c>
      <c r="G145" s="47" t="s">
        <v>199</v>
      </c>
      <c r="H145" s="47" t="str">
        <f t="shared" si="6"/>
        <v>PULWAMA</v>
      </c>
      <c r="I145" s="47" t="s">
        <v>6820</v>
      </c>
      <c r="J145" s="48">
        <v>45996</v>
      </c>
      <c r="K145" s="47">
        <v>6005402097</v>
      </c>
      <c r="L145" s="47" t="s">
        <v>6809</v>
      </c>
      <c r="M145" s="49"/>
      <c r="N145" s="48"/>
      <c r="O145" s="47"/>
      <c r="P145" s="50"/>
      <c r="Q145" s="47"/>
      <c r="R145" s="47"/>
    </row>
    <row r="146" spans="1:18" x14ac:dyDescent="0.25">
      <c r="A146" s="47">
        <f t="shared" si="4"/>
        <v>145</v>
      </c>
      <c r="B146" s="47" t="s">
        <v>6813</v>
      </c>
      <c r="C146" s="47" t="s">
        <v>6810</v>
      </c>
      <c r="D146" s="47" t="s">
        <v>6811</v>
      </c>
      <c r="E146" s="47" t="s">
        <v>3940</v>
      </c>
      <c r="F146" s="47" t="s">
        <v>290</v>
      </c>
      <c r="G146" s="47" t="s">
        <v>174</v>
      </c>
      <c r="H146" s="47" t="str">
        <f t="shared" si="6"/>
        <v>KUPWARA</v>
      </c>
      <c r="I146" s="47" t="s">
        <v>6819</v>
      </c>
      <c r="J146" s="48">
        <v>45996</v>
      </c>
      <c r="K146" s="47">
        <v>7006699059</v>
      </c>
      <c r="L146" s="47" t="s">
        <v>6812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4"/>
        <v>146</v>
      </c>
      <c r="B147" s="47" t="s">
        <v>6815</v>
      </c>
      <c r="C147" s="47" t="s">
        <v>6816</v>
      </c>
      <c r="D147" s="47" t="s">
        <v>6817</v>
      </c>
      <c r="E147" s="47" t="s">
        <v>6818</v>
      </c>
      <c r="F147" s="47" t="s">
        <v>5</v>
      </c>
      <c r="G147" s="47" t="s">
        <v>181</v>
      </c>
      <c r="H147" s="47" t="str">
        <f t="shared" si="6"/>
        <v>SRINAGAR</v>
      </c>
      <c r="I147" s="47" t="s">
        <v>6823</v>
      </c>
      <c r="J147" s="48">
        <v>45996</v>
      </c>
      <c r="K147" s="47">
        <v>8493043123</v>
      </c>
      <c r="L147" s="47" t="s">
        <v>194</v>
      </c>
      <c r="M147" s="49" t="s">
        <v>6852</v>
      </c>
      <c r="N147" s="48">
        <v>46000</v>
      </c>
      <c r="O147" s="47" t="s">
        <v>23</v>
      </c>
      <c r="P147" s="50">
        <v>46000</v>
      </c>
      <c r="Q147" s="47" t="s">
        <v>6461</v>
      </c>
      <c r="R147" s="47"/>
    </row>
    <row r="148" spans="1:18" x14ac:dyDescent="0.25">
      <c r="A148" s="47">
        <f t="shared" si="4"/>
        <v>147</v>
      </c>
      <c r="B148" s="47" t="s">
        <v>6827</v>
      </c>
      <c r="C148" s="47" t="s">
        <v>6824</v>
      </c>
      <c r="D148" s="47" t="s">
        <v>6825</v>
      </c>
      <c r="E148" s="47" t="s">
        <v>6826</v>
      </c>
      <c r="F148" s="47" t="s">
        <v>5</v>
      </c>
      <c r="G148" s="47" t="s">
        <v>199</v>
      </c>
      <c r="H148" s="47" t="str">
        <f t="shared" si="6"/>
        <v>SHOPIAN</v>
      </c>
      <c r="I148" s="47" t="s">
        <v>6844</v>
      </c>
      <c r="J148" s="48">
        <v>45997</v>
      </c>
      <c r="K148" s="47">
        <v>7006819575</v>
      </c>
      <c r="L148" s="47" t="s">
        <v>6763</v>
      </c>
      <c r="M148" s="49"/>
      <c r="N148" s="48"/>
      <c r="O148" s="47"/>
      <c r="P148" s="50"/>
      <c r="Q148" s="47"/>
      <c r="R148" s="47"/>
    </row>
    <row r="149" spans="1:18" x14ac:dyDescent="0.25">
      <c r="A149" s="47">
        <f t="shared" si="4"/>
        <v>148</v>
      </c>
      <c r="B149" s="47" t="s">
        <v>6832</v>
      </c>
      <c r="C149" s="47" t="s">
        <v>6828</v>
      </c>
      <c r="D149" s="47" t="s">
        <v>6829</v>
      </c>
      <c r="E149" s="47" t="s">
        <v>6830</v>
      </c>
      <c r="F149" s="47" t="s">
        <v>6831</v>
      </c>
      <c r="G149" s="47" t="s">
        <v>226</v>
      </c>
      <c r="H149" s="47" t="str">
        <f t="shared" si="6"/>
        <v>SRINAGAR</v>
      </c>
      <c r="I149" s="47" t="s">
        <v>6843</v>
      </c>
      <c r="J149" s="48">
        <v>45997</v>
      </c>
      <c r="K149" s="47">
        <v>7006154383</v>
      </c>
      <c r="L149" s="47" t="s">
        <v>1126</v>
      </c>
      <c r="M149" s="49" t="s">
        <v>6878</v>
      </c>
      <c r="N149" s="48">
        <v>45999</v>
      </c>
      <c r="O149" s="47" t="s">
        <v>23</v>
      </c>
      <c r="P149" s="50">
        <v>45999</v>
      </c>
      <c r="Q149" s="47" t="s">
        <v>6461</v>
      </c>
      <c r="R149" s="47"/>
    </row>
    <row r="150" spans="1:18" x14ac:dyDescent="0.25">
      <c r="A150" s="47">
        <f t="shared" si="4"/>
        <v>149</v>
      </c>
      <c r="B150" s="47" t="s">
        <v>6837</v>
      </c>
      <c r="C150" s="47" t="s">
        <v>6835</v>
      </c>
      <c r="D150" s="47" t="s">
        <v>6836</v>
      </c>
      <c r="E150" s="47" t="s">
        <v>6833</v>
      </c>
      <c r="F150" s="47" t="s">
        <v>119</v>
      </c>
      <c r="G150" s="47" t="s">
        <v>174</v>
      </c>
      <c r="H150" s="47" t="str">
        <f t="shared" si="6"/>
        <v>BANDIPORA</v>
      </c>
      <c r="I150" s="47" t="s">
        <v>6850</v>
      </c>
      <c r="J150" s="48">
        <v>45997</v>
      </c>
      <c r="K150" s="47">
        <v>9797004941</v>
      </c>
      <c r="L150" s="47" t="s">
        <v>6834</v>
      </c>
      <c r="M150" s="49" t="s">
        <v>6892</v>
      </c>
      <c r="N150" s="48">
        <v>45999</v>
      </c>
      <c r="O150" s="47" t="s">
        <v>23</v>
      </c>
      <c r="P150" s="50">
        <v>45999</v>
      </c>
      <c r="Q150" s="47" t="s">
        <v>6461</v>
      </c>
      <c r="R150" s="47"/>
    </row>
    <row r="151" spans="1:18" x14ac:dyDescent="0.25">
      <c r="A151" s="47">
        <f t="shared" si="4"/>
        <v>150</v>
      </c>
      <c r="B151" s="47" t="s">
        <v>6842</v>
      </c>
      <c r="C151" s="47" t="s">
        <v>6839</v>
      </c>
      <c r="D151" s="47" t="s">
        <v>6840</v>
      </c>
      <c r="E151" s="47" t="s">
        <v>6841</v>
      </c>
      <c r="F151" s="47" t="s">
        <v>119</v>
      </c>
      <c r="G151" s="47" t="s">
        <v>200</v>
      </c>
      <c r="H151" s="47" t="str">
        <f t="shared" si="6"/>
        <v>PULWAMA</v>
      </c>
      <c r="I151" s="47" t="s">
        <v>6849</v>
      </c>
      <c r="J151" s="48">
        <v>45997</v>
      </c>
      <c r="K151" s="47">
        <v>9682362746</v>
      </c>
      <c r="L151" s="47" t="s">
        <v>26</v>
      </c>
      <c r="M151" s="49" t="s">
        <v>6949</v>
      </c>
      <c r="N151" s="48">
        <v>46001</v>
      </c>
      <c r="O151" s="51">
        <v>46001</v>
      </c>
      <c r="P151" s="50">
        <v>46001</v>
      </c>
      <c r="Q151" s="47" t="s">
        <v>6461</v>
      </c>
      <c r="R151" s="47"/>
    </row>
    <row r="152" spans="1:18" x14ac:dyDescent="0.25">
      <c r="A152" s="47">
        <f t="shared" si="4"/>
        <v>151</v>
      </c>
      <c r="B152" s="47" t="s">
        <v>6848</v>
      </c>
      <c r="C152" s="47" t="s">
        <v>6845</v>
      </c>
      <c r="D152" s="47" t="s">
        <v>6846</v>
      </c>
      <c r="E152" s="47" t="s">
        <v>6847</v>
      </c>
      <c r="F152" s="47" t="s">
        <v>119</v>
      </c>
      <c r="G152" s="47" t="s">
        <v>6760</v>
      </c>
      <c r="H152" s="47" t="str">
        <f t="shared" si="6"/>
        <v>SRINAGAR</v>
      </c>
      <c r="I152" s="47" t="s">
        <v>6851</v>
      </c>
      <c r="J152" s="48">
        <v>45997</v>
      </c>
      <c r="K152" s="47">
        <v>9149767613</v>
      </c>
      <c r="L152" s="47" t="s">
        <v>26</v>
      </c>
      <c r="M152" s="49" t="s">
        <v>6925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4"/>
        <v>152</v>
      </c>
      <c r="B153" s="47" t="s">
        <v>6856</v>
      </c>
      <c r="C153" s="47" t="s">
        <v>6853</v>
      </c>
      <c r="D153" s="47" t="s">
        <v>6854</v>
      </c>
      <c r="E153" s="47" t="s">
        <v>6855</v>
      </c>
      <c r="F153" s="47" t="s">
        <v>5</v>
      </c>
      <c r="G153" s="47" t="s">
        <v>200</v>
      </c>
      <c r="H153" s="47" t="str">
        <f t="shared" si="6"/>
        <v>SHOPIAN</v>
      </c>
      <c r="I153" s="47" t="s">
        <v>6875</v>
      </c>
      <c r="J153" s="48">
        <v>45999</v>
      </c>
      <c r="K153" s="47">
        <v>9858319554</v>
      </c>
      <c r="L153" s="47" t="s">
        <v>6571</v>
      </c>
      <c r="M153" s="49"/>
      <c r="N153" s="48"/>
      <c r="O153" s="47"/>
      <c r="P153" s="50"/>
      <c r="Q153" s="47"/>
      <c r="R153" s="47"/>
    </row>
    <row r="154" spans="1:18" x14ac:dyDescent="0.25">
      <c r="A154" s="47">
        <f t="shared" si="4"/>
        <v>153</v>
      </c>
      <c r="B154" s="47" t="s">
        <v>6862</v>
      </c>
      <c r="C154" s="47" t="s">
        <v>6860</v>
      </c>
      <c r="D154" s="47" t="s">
        <v>6861</v>
      </c>
      <c r="E154" s="47" t="s">
        <v>6859</v>
      </c>
      <c r="F154" s="47" t="s">
        <v>5</v>
      </c>
      <c r="G154" s="47" t="s">
        <v>200</v>
      </c>
      <c r="H154" s="47" t="str">
        <f t="shared" si="6"/>
        <v>BARAMULLA</v>
      </c>
      <c r="I154" s="47" t="s">
        <v>6876</v>
      </c>
      <c r="J154" s="48">
        <v>45999</v>
      </c>
      <c r="K154" s="47">
        <v>9906476349</v>
      </c>
      <c r="L154" s="47" t="s">
        <v>48</v>
      </c>
      <c r="M154" s="49"/>
      <c r="N154" s="48"/>
      <c r="O154" s="47" t="s">
        <v>6446</v>
      </c>
      <c r="P154" s="50">
        <v>45999</v>
      </c>
      <c r="Q154" s="47"/>
      <c r="R154" s="47"/>
    </row>
    <row r="155" spans="1:18" x14ac:dyDescent="0.25">
      <c r="A155" s="47">
        <f t="shared" si="4"/>
        <v>154</v>
      </c>
      <c r="B155" s="47" t="s">
        <v>6864</v>
      </c>
      <c r="C155" s="47" t="s">
        <v>6863</v>
      </c>
      <c r="D155" s="47" t="s">
        <v>6869</v>
      </c>
      <c r="E155" s="47" t="s">
        <v>6434</v>
      </c>
      <c r="F155" s="47" t="s">
        <v>31</v>
      </c>
      <c r="G155" s="47" t="s">
        <v>221</v>
      </c>
      <c r="H155" s="47" t="str">
        <f t="shared" si="6"/>
        <v>SRINAGAR</v>
      </c>
      <c r="I155" s="47" t="s">
        <v>6877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4"/>
        <v>155</v>
      </c>
      <c r="B156" s="47" t="s">
        <v>6867</v>
      </c>
      <c r="C156" s="47" t="s">
        <v>6865</v>
      </c>
      <c r="D156" s="47" t="s">
        <v>6868</v>
      </c>
      <c r="E156" s="47" t="s">
        <v>6866</v>
      </c>
      <c r="F156" s="47" t="s">
        <v>3130</v>
      </c>
      <c r="G156" s="47" t="s">
        <v>200</v>
      </c>
      <c r="H156" s="47" t="str">
        <f t="shared" si="6"/>
        <v>SRINAGAR</v>
      </c>
      <c r="I156" s="47" t="s">
        <v>6874</v>
      </c>
      <c r="J156" s="48">
        <v>45999</v>
      </c>
      <c r="K156" s="47">
        <v>9596341802</v>
      </c>
      <c r="L156" s="47" t="s">
        <v>48</v>
      </c>
      <c r="M156" s="49"/>
      <c r="N156" s="48"/>
      <c r="O156" s="47"/>
      <c r="P156" s="50"/>
      <c r="Q156" s="47"/>
      <c r="R156" s="47"/>
    </row>
    <row r="157" spans="1:18" x14ac:dyDescent="0.25">
      <c r="A157" s="47">
        <f t="shared" si="4"/>
        <v>156</v>
      </c>
      <c r="B157" s="47" t="s">
        <v>6873</v>
      </c>
      <c r="C157" s="47" t="s">
        <v>6870</v>
      </c>
      <c r="D157" s="47" t="s">
        <v>6871</v>
      </c>
      <c r="E157" s="47" t="s">
        <v>6872</v>
      </c>
      <c r="F157" s="47" t="s">
        <v>5</v>
      </c>
      <c r="G157" s="47" t="s">
        <v>200</v>
      </c>
      <c r="H157" s="47" t="str">
        <f t="shared" si="6"/>
        <v>SRINAGAR</v>
      </c>
      <c r="I157" s="47" t="s">
        <v>6906</v>
      </c>
      <c r="J157" s="48">
        <v>45999</v>
      </c>
      <c r="K157" s="47">
        <v>7006401343</v>
      </c>
      <c r="L157" s="47" t="s">
        <v>166</v>
      </c>
      <c r="M157" s="49"/>
      <c r="N157" s="48"/>
      <c r="O157" s="47"/>
      <c r="P157" s="50"/>
      <c r="Q157" s="47"/>
      <c r="R157" s="47"/>
    </row>
    <row r="158" spans="1:18" x14ac:dyDescent="0.25">
      <c r="A158" s="47">
        <f t="shared" si="4"/>
        <v>157</v>
      </c>
      <c r="B158" s="47" t="s">
        <v>6885</v>
      </c>
      <c r="C158" s="47" t="s">
        <v>6882</v>
      </c>
      <c r="D158" s="47" t="s">
        <v>6883</v>
      </c>
      <c r="E158" s="47" t="s">
        <v>6884</v>
      </c>
      <c r="F158" s="47" t="s">
        <v>3130</v>
      </c>
      <c r="G158" s="47" t="s">
        <v>6476</v>
      </c>
      <c r="H158" s="47" t="str">
        <f t="shared" si="6"/>
        <v>ANANTNAG</v>
      </c>
      <c r="I158" s="47" t="s">
        <v>6887</v>
      </c>
      <c r="J158" s="48">
        <v>45999</v>
      </c>
      <c r="K158" s="47">
        <v>9149853916</v>
      </c>
      <c r="L158" s="47" t="s">
        <v>6886</v>
      </c>
      <c r="M158" s="49"/>
      <c r="N158" s="48"/>
      <c r="O158" s="47"/>
      <c r="P158" s="50"/>
      <c r="Q158" s="47"/>
      <c r="R158" s="47"/>
    </row>
    <row r="159" spans="1:18" x14ac:dyDescent="0.25">
      <c r="A159" s="47">
        <f t="shared" si="4"/>
        <v>158</v>
      </c>
      <c r="B159" s="47" t="s">
        <v>6896</v>
      </c>
      <c r="C159" s="47" t="s">
        <v>6893</v>
      </c>
      <c r="D159" s="47" t="s">
        <v>6894</v>
      </c>
      <c r="E159" s="47" t="s">
        <v>6895</v>
      </c>
      <c r="F159" s="47" t="s">
        <v>31</v>
      </c>
      <c r="G159" s="47" t="s">
        <v>200</v>
      </c>
      <c r="H159" s="47" t="str">
        <f t="shared" si="6"/>
        <v>PULWAMA</v>
      </c>
      <c r="I159" s="47" t="s">
        <v>6907</v>
      </c>
      <c r="J159" s="48">
        <v>45999</v>
      </c>
      <c r="K159" s="47">
        <v>9797244437</v>
      </c>
      <c r="L159" s="47" t="s">
        <v>6522</v>
      </c>
      <c r="M159" s="49"/>
      <c r="N159" s="48"/>
      <c r="O159" s="47"/>
      <c r="P159" s="50"/>
      <c r="Q159" s="47"/>
      <c r="R159" s="47"/>
    </row>
    <row r="160" spans="1:18" x14ac:dyDescent="0.25">
      <c r="A160" s="47">
        <f t="shared" si="4"/>
        <v>159</v>
      </c>
      <c r="B160" s="47" t="s">
        <v>6901</v>
      </c>
      <c r="C160" s="47" t="s">
        <v>6897</v>
      </c>
      <c r="D160" s="47" t="s">
        <v>6898</v>
      </c>
      <c r="E160" s="47" t="s">
        <v>6899</v>
      </c>
      <c r="F160" s="47" t="s">
        <v>5</v>
      </c>
      <c r="G160" s="47" t="s">
        <v>174</v>
      </c>
      <c r="H160" s="47" t="str">
        <f t="shared" si="6"/>
        <v>PULWAMA</v>
      </c>
      <c r="I160" s="47" t="s">
        <v>6900</v>
      </c>
      <c r="J160" s="48">
        <v>45999</v>
      </c>
      <c r="K160" s="47">
        <v>9906488569</v>
      </c>
      <c r="L160" s="47" t="s">
        <v>26</v>
      </c>
      <c r="M160" s="49" t="s">
        <v>6949</v>
      </c>
      <c r="N160" s="48">
        <v>46000</v>
      </c>
      <c r="O160" s="47" t="s">
        <v>23</v>
      </c>
      <c r="P160" s="50">
        <v>46000</v>
      </c>
      <c r="Q160" s="47" t="s">
        <v>6461</v>
      </c>
      <c r="R160" s="47"/>
    </row>
    <row r="161" spans="1:18" x14ac:dyDescent="0.25">
      <c r="A161" s="47">
        <f t="shared" si="4"/>
        <v>160</v>
      </c>
      <c r="B161" s="47" t="s">
        <v>6902</v>
      </c>
      <c r="C161" s="47" t="s">
        <v>6905</v>
      </c>
      <c r="D161" s="47" t="s">
        <v>6908</v>
      </c>
      <c r="E161" s="47" t="s">
        <v>6903</v>
      </c>
      <c r="F161" s="47" t="s">
        <v>31</v>
      </c>
      <c r="G161" s="47" t="s">
        <v>175</v>
      </c>
      <c r="H161" s="47" t="str">
        <f t="shared" si="6"/>
        <v>PULWAMA</v>
      </c>
      <c r="I161" s="47" t="s">
        <v>6904</v>
      </c>
      <c r="J161" s="48">
        <v>45999</v>
      </c>
      <c r="K161" s="47">
        <v>7006251106</v>
      </c>
      <c r="L161" s="47" t="s">
        <v>6452</v>
      </c>
      <c r="M161" s="49"/>
      <c r="N161" s="48"/>
      <c r="O161" s="47"/>
      <c r="P161" s="50"/>
      <c r="Q161" s="47"/>
      <c r="R161" s="47"/>
    </row>
    <row r="162" spans="1:18" x14ac:dyDescent="0.25">
      <c r="A162" s="47">
        <f t="shared" si="4"/>
        <v>161</v>
      </c>
      <c r="B162" s="47" t="s">
        <v>6912</v>
      </c>
      <c r="C162" s="47" t="s">
        <v>6909</v>
      </c>
      <c r="D162" s="47" t="s">
        <v>6910</v>
      </c>
      <c r="E162" s="47" t="s">
        <v>6911</v>
      </c>
      <c r="F162" s="47" t="s">
        <v>119</v>
      </c>
      <c r="G162" s="47" t="s">
        <v>174</v>
      </c>
      <c r="H162" s="47" t="str">
        <f t="shared" si="6"/>
        <v>PULWAMA</v>
      </c>
      <c r="I162" s="47" t="s">
        <v>6913</v>
      </c>
      <c r="J162" s="48">
        <v>46000</v>
      </c>
      <c r="K162" s="47">
        <v>7006058418</v>
      </c>
      <c r="L162" s="47" t="s">
        <v>138</v>
      </c>
      <c r="M162" s="49"/>
      <c r="N162" s="48"/>
      <c r="O162" s="47"/>
      <c r="P162" s="50"/>
      <c r="Q162" s="47"/>
      <c r="R162" s="47"/>
    </row>
    <row r="163" spans="1:18" x14ac:dyDescent="0.25">
      <c r="A163" s="47">
        <f t="shared" si="4"/>
        <v>162</v>
      </c>
      <c r="B163" s="47" t="s">
        <v>6915</v>
      </c>
      <c r="C163" s="47" t="s">
        <v>6922</v>
      </c>
      <c r="D163" s="47" t="s">
        <v>6923</v>
      </c>
      <c r="E163" s="47" t="s">
        <v>6916</v>
      </c>
      <c r="F163" s="47" t="s">
        <v>281</v>
      </c>
      <c r="G163" s="47" t="s">
        <v>199</v>
      </c>
      <c r="H163" s="47" t="str">
        <f t="shared" si="6"/>
        <v>SHOPIAN</v>
      </c>
      <c r="I163" s="47" t="s">
        <v>6914</v>
      </c>
      <c r="J163" s="48">
        <v>46000</v>
      </c>
      <c r="K163" s="47">
        <v>7006824047</v>
      </c>
      <c r="L163" s="47" t="s">
        <v>6581</v>
      </c>
      <c r="M163" s="49"/>
      <c r="N163" s="48"/>
      <c r="O163" s="47"/>
      <c r="P163" s="50"/>
      <c r="Q163" s="47"/>
      <c r="R163" s="47"/>
    </row>
    <row r="164" spans="1:18" x14ac:dyDescent="0.25">
      <c r="A164" s="47">
        <f t="shared" si="4"/>
        <v>163</v>
      </c>
      <c r="B164" s="47" t="s">
        <v>6917</v>
      </c>
      <c r="C164" s="47" t="s">
        <v>6919</v>
      </c>
      <c r="D164" s="47" t="s">
        <v>6920</v>
      </c>
      <c r="E164" s="47" t="s">
        <v>6918</v>
      </c>
      <c r="F164" s="47" t="s">
        <v>6921</v>
      </c>
      <c r="G164" s="47" t="s">
        <v>200</v>
      </c>
      <c r="H164" s="47" t="str">
        <f t="shared" si="6"/>
        <v>SRINAGAR</v>
      </c>
      <c r="I164" s="47" t="s">
        <v>6987</v>
      </c>
      <c r="J164" s="48">
        <v>46000</v>
      </c>
      <c r="K164" s="47">
        <v>8416000008</v>
      </c>
      <c r="L164" s="47" t="s">
        <v>3739</v>
      </c>
      <c r="M164" s="49" t="s">
        <v>7040</v>
      </c>
      <c r="N164" s="48">
        <v>46003</v>
      </c>
      <c r="O164" s="47" t="s">
        <v>23</v>
      </c>
      <c r="P164" s="50">
        <v>46003</v>
      </c>
      <c r="Q164" s="47" t="s">
        <v>6461</v>
      </c>
      <c r="R164" s="47" t="s">
        <v>7036</v>
      </c>
    </row>
    <row r="165" spans="1:18" x14ac:dyDescent="0.25">
      <c r="A165" s="47">
        <f t="shared" si="4"/>
        <v>164</v>
      </c>
      <c r="B165" s="47" t="s">
        <v>6928</v>
      </c>
      <c r="C165" s="47" t="s">
        <v>6926</v>
      </c>
      <c r="D165" s="47" t="s">
        <v>6927</v>
      </c>
      <c r="E165" s="47" t="s">
        <v>3420</v>
      </c>
      <c r="F165" s="47" t="s">
        <v>31</v>
      </c>
      <c r="G165" s="47" t="s">
        <v>174</v>
      </c>
      <c r="H165" s="47" t="str">
        <f t="shared" si="6"/>
        <v>PULWAMA</v>
      </c>
      <c r="I165" s="47" t="s">
        <v>6930</v>
      </c>
      <c r="J165" s="48">
        <v>46000</v>
      </c>
      <c r="K165" s="47">
        <v>9622432608</v>
      </c>
      <c r="L165" s="47" t="s">
        <v>6522</v>
      </c>
      <c r="M165" s="49"/>
      <c r="N165" s="48"/>
      <c r="O165" s="47"/>
      <c r="P165" s="50"/>
      <c r="Q165" s="47"/>
      <c r="R165" s="47"/>
    </row>
    <row r="166" spans="1:18" x14ac:dyDescent="0.25">
      <c r="A166" s="47">
        <f t="shared" si="4"/>
        <v>165</v>
      </c>
      <c r="B166" s="47" t="s">
        <v>6934</v>
      </c>
      <c r="C166" s="47" t="s">
        <v>6931</v>
      </c>
      <c r="D166" s="47" t="s">
        <v>6932</v>
      </c>
      <c r="E166" s="47" t="s">
        <v>6933</v>
      </c>
      <c r="F166" s="47" t="s">
        <v>3130</v>
      </c>
      <c r="G166" s="47" t="s">
        <v>6476</v>
      </c>
      <c r="H166" s="47" t="str">
        <f t="shared" si="6"/>
        <v>SRINAGAR</v>
      </c>
      <c r="I166" s="47" t="s">
        <v>6938</v>
      </c>
      <c r="J166" s="48">
        <v>46000</v>
      </c>
      <c r="K166" s="47">
        <v>9419052455</v>
      </c>
      <c r="L166" s="47" t="s">
        <v>61</v>
      </c>
      <c r="M166" s="49" t="s">
        <v>6852</v>
      </c>
      <c r="N166" s="48">
        <v>46004</v>
      </c>
      <c r="O166" s="47" t="s">
        <v>23</v>
      </c>
      <c r="P166" s="50">
        <v>46000</v>
      </c>
      <c r="Q166" s="47" t="s">
        <v>6461</v>
      </c>
      <c r="R166" s="47"/>
    </row>
    <row r="167" spans="1:18" x14ac:dyDescent="0.25">
      <c r="A167" s="47">
        <f t="shared" si="4"/>
        <v>166</v>
      </c>
      <c r="B167" s="47" t="s">
        <v>6941</v>
      </c>
      <c r="C167" s="47" t="s">
        <v>6939</v>
      </c>
      <c r="D167" s="47" t="s">
        <v>6940</v>
      </c>
      <c r="E167" s="47" t="s">
        <v>4930</v>
      </c>
      <c r="F167" s="47" t="s">
        <v>125</v>
      </c>
      <c r="G167" s="47" t="s">
        <v>221</v>
      </c>
      <c r="H167" s="47" t="str">
        <f t="shared" si="6"/>
        <v>SRINAGAR</v>
      </c>
      <c r="I167" s="47" t="s">
        <v>6942</v>
      </c>
      <c r="J167" s="48">
        <v>46000</v>
      </c>
      <c r="K167" s="47">
        <v>9622687856</v>
      </c>
      <c r="L167" s="47" t="s">
        <v>106</v>
      </c>
      <c r="M167" s="49" t="s">
        <v>6983</v>
      </c>
      <c r="N167" s="48">
        <v>46002</v>
      </c>
      <c r="O167" s="47" t="s">
        <v>23</v>
      </c>
      <c r="P167" s="50">
        <v>46000</v>
      </c>
      <c r="Q167" s="47" t="s">
        <v>6461</v>
      </c>
      <c r="R167" s="47"/>
    </row>
    <row r="168" spans="1:18" x14ac:dyDescent="0.25">
      <c r="A168" s="47">
        <f t="shared" si="4"/>
        <v>167</v>
      </c>
      <c r="B168" s="47" t="s">
        <v>6946</v>
      </c>
      <c r="C168" s="47" t="s">
        <v>6943</v>
      </c>
      <c r="D168" s="47" t="s">
        <v>6944</v>
      </c>
      <c r="E168" s="47" t="s">
        <v>6945</v>
      </c>
      <c r="F168" s="47" t="s">
        <v>119</v>
      </c>
      <c r="G168" s="47" t="s">
        <v>175</v>
      </c>
      <c r="H168" s="47" t="str">
        <f t="shared" si="6"/>
        <v>BUDGAM</v>
      </c>
      <c r="I168" s="47" t="s">
        <v>6947</v>
      </c>
      <c r="J168" s="48">
        <v>46000</v>
      </c>
      <c r="K168" s="47">
        <v>7889471670</v>
      </c>
      <c r="L168" s="47" t="s">
        <v>307</v>
      </c>
      <c r="M168" s="49"/>
      <c r="N168" s="48"/>
      <c r="O168" s="47" t="s">
        <v>23</v>
      </c>
      <c r="P168" s="50">
        <v>46001</v>
      </c>
      <c r="Q168" s="47" t="s">
        <v>6461</v>
      </c>
      <c r="R168" s="47"/>
    </row>
    <row r="169" spans="1:18" x14ac:dyDescent="0.25">
      <c r="A169" s="47">
        <f t="shared" si="4"/>
        <v>168</v>
      </c>
      <c r="B169" s="47" t="s">
        <v>6955</v>
      </c>
      <c r="C169" s="47" t="s">
        <v>6952</v>
      </c>
      <c r="D169" s="47" t="s">
        <v>6953</v>
      </c>
      <c r="E169" s="47" t="s">
        <v>6954</v>
      </c>
      <c r="F169" s="47" t="s">
        <v>100</v>
      </c>
      <c r="G169" s="47" t="s">
        <v>226</v>
      </c>
      <c r="H169" s="47" t="str">
        <f t="shared" si="6"/>
        <v>PULWAMA</v>
      </c>
      <c r="I169" s="47" t="s">
        <v>6956</v>
      </c>
      <c r="J169" s="48">
        <v>46000</v>
      </c>
      <c r="K169" s="47">
        <v>9596030882</v>
      </c>
      <c r="L169" s="47" t="s">
        <v>6957</v>
      </c>
      <c r="M169" s="49"/>
      <c r="N169" s="48"/>
      <c r="O169" s="47"/>
      <c r="P169" s="50"/>
      <c r="Q169" s="47"/>
      <c r="R169" s="47" t="s">
        <v>6976</v>
      </c>
    </row>
    <row r="170" spans="1:18" x14ac:dyDescent="0.25">
      <c r="A170" s="47">
        <f t="shared" si="4"/>
        <v>169</v>
      </c>
      <c r="B170" s="47" t="s">
        <v>6964</v>
      </c>
      <c r="C170" s="47" t="s">
        <v>6961</v>
      </c>
      <c r="D170" s="47" t="s">
        <v>6962</v>
      </c>
      <c r="E170" s="47" t="s">
        <v>6963</v>
      </c>
      <c r="F170" s="47" t="s">
        <v>290</v>
      </c>
      <c r="G170" s="47" t="s">
        <v>200</v>
      </c>
      <c r="H170" s="47" t="str">
        <f t="shared" si="6"/>
        <v>ANANTNAG</v>
      </c>
      <c r="I170" s="47" t="s">
        <v>6973</v>
      </c>
      <c r="J170" s="48">
        <v>46001</v>
      </c>
      <c r="K170" s="47">
        <v>9103172002</v>
      </c>
      <c r="L170" s="47" t="s">
        <v>48</v>
      </c>
      <c r="M170" s="49" t="s">
        <v>7087</v>
      </c>
      <c r="N170" s="48">
        <v>46004</v>
      </c>
      <c r="O170" s="47" t="s">
        <v>23</v>
      </c>
      <c r="P170" s="50">
        <v>46001</v>
      </c>
      <c r="Q170" s="47" t="s">
        <v>6461</v>
      </c>
      <c r="R170" s="47"/>
    </row>
    <row r="171" spans="1:18" x14ac:dyDescent="0.25">
      <c r="A171" s="47">
        <f t="shared" si="4"/>
        <v>170</v>
      </c>
      <c r="B171" s="47" t="s">
        <v>6969</v>
      </c>
      <c r="C171" s="47" t="s">
        <v>6965</v>
      </c>
      <c r="D171" s="47" t="s">
        <v>6966</v>
      </c>
      <c r="E171" s="47" t="s">
        <v>6967</v>
      </c>
      <c r="F171" s="47" t="s">
        <v>6968</v>
      </c>
      <c r="G171" s="47" t="s">
        <v>200</v>
      </c>
      <c r="H171" s="47" t="str">
        <f t="shared" si="6"/>
        <v>SRINAGAR</v>
      </c>
      <c r="I171" s="47" t="s">
        <v>6975</v>
      </c>
      <c r="J171" s="48">
        <v>46001</v>
      </c>
      <c r="K171" s="47">
        <v>7889467793</v>
      </c>
      <c r="L171" s="47" t="s">
        <v>2248</v>
      </c>
      <c r="M171" s="49" t="s">
        <v>7115</v>
      </c>
      <c r="N171" s="48">
        <v>46006</v>
      </c>
      <c r="O171" s="47" t="s">
        <v>23</v>
      </c>
      <c r="P171" s="50">
        <v>46001</v>
      </c>
      <c r="Q171" s="47" t="s">
        <v>6461</v>
      </c>
      <c r="R171" s="47"/>
    </row>
    <row r="172" spans="1:18" x14ac:dyDescent="0.25">
      <c r="A172" s="47">
        <f t="shared" si="4"/>
        <v>171</v>
      </c>
      <c r="B172" s="47" t="s">
        <v>6972</v>
      </c>
      <c r="C172" s="47" t="s">
        <v>6970</v>
      </c>
      <c r="D172" s="47" t="s">
        <v>6971</v>
      </c>
      <c r="E172" s="47" t="s">
        <v>3089</v>
      </c>
      <c r="F172" s="47" t="s">
        <v>119</v>
      </c>
      <c r="G172" s="47" t="s">
        <v>175</v>
      </c>
      <c r="H172" s="47" t="str">
        <f t="shared" si="6"/>
        <v>SRINAGAR</v>
      </c>
      <c r="I172" s="47" t="s">
        <v>6974</v>
      </c>
      <c r="J172" s="48">
        <v>46001</v>
      </c>
      <c r="K172" s="47">
        <v>9419381680</v>
      </c>
      <c r="L172" s="47" t="s">
        <v>75</v>
      </c>
      <c r="M172" s="49"/>
      <c r="N172" s="48"/>
      <c r="O172" s="47" t="s">
        <v>23</v>
      </c>
      <c r="P172" s="50">
        <v>46001</v>
      </c>
      <c r="Q172" s="47" t="s">
        <v>6461</v>
      </c>
      <c r="R172" s="47"/>
    </row>
    <row r="173" spans="1:18" x14ac:dyDescent="0.25">
      <c r="A173" s="47">
        <f t="shared" si="4"/>
        <v>172</v>
      </c>
      <c r="B173" s="47" t="s">
        <v>6985</v>
      </c>
      <c r="C173" s="47" t="s">
        <v>6980</v>
      </c>
      <c r="D173" s="47" t="s">
        <v>6981</v>
      </c>
      <c r="E173" s="47" t="s">
        <v>6982</v>
      </c>
      <c r="F173" s="47" t="s">
        <v>100</v>
      </c>
      <c r="G173" s="47" t="s">
        <v>174</v>
      </c>
      <c r="H173" s="47" t="str">
        <f t="shared" si="6"/>
        <v>KUPWARA</v>
      </c>
      <c r="I173" s="47" t="s">
        <v>6986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6461</v>
      </c>
      <c r="R173" s="47" t="s">
        <v>451</v>
      </c>
    </row>
    <row r="174" spans="1:18" x14ac:dyDescent="0.25">
      <c r="A174" s="47">
        <f t="shared" si="4"/>
        <v>173</v>
      </c>
      <c r="B174" s="47" t="s">
        <v>6991</v>
      </c>
      <c r="C174" s="47" t="s">
        <v>6988</v>
      </c>
      <c r="D174" s="47" t="s">
        <v>6989</v>
      </c>
      <c r="E174" s="47" t="s">
        <v>6990</v>
      </c>
      <c r="F174" s="47" t="s">
        <v>3130</v>
      </c>
      <c r="G174" s="47" t="s">
        <v>6476</v>
      </c>
      <c r="H174" s="47" t="str">
        <f t="shared" si="6"/>
        <v>SRINAGAR</v>
      </c>
      <c r="I174" s="47" t="s">
        <v>6993</v>
      </c>
      <c r="J174" s="48">
        <v>46002</v>
      </c>
      <c r="K174" s="47">
        <v>9596275480</v>
      </c>
      <c r="L174" s="47" t="s">
        <v>70</v>
      </c>
      <c r="M174" s="49"/>
      <c r="N174" s="48"/>
      <c r="O174" s="47"/>
      <c r="P174" s="50"/>
      <c r="Q174" s="47"/>
      <c r="R174" s="47"/>
    </row>
    <row r="175" spans="1:18" x14ac:dyDescent="0.25">
      <c r="A175" s="47">
        <f t="shared" si="4"/>
        <v>174</v>
      </c>
      <c r="B175" s="47" t="s">
        <v>6994</v>
      </c>
      <c r="C175" s="47" t="s">
        <v>6995</v>
      </c>
      <c r="D175" s="47" t="s">
        <v>6997</v>
      </c>
      <c r="E175" s="47" t="s">
        <v>6996</v>
      </c>
      <c r="F175" s="47" t="s">
        <v>5</v>
      </c>
      <c r="G175" s="47" t="s">
        <v>200</v>
      </c>
      <c r="H175" s="47" t="str">
        <f t="shared" si="6"/>
        <v>SHOPIAN</v>
      </c>
      <c r="I175" s="47" t="s">
        <v>7021</v>
      </c>
      <c r="J175" s="48">
        <v>46002</v>
      </c>
      <c r="K175" s="47">
        <v>9906277021</v>
      </c>
      <c r="L175" s="47" t="s">
        <v>6571</v>
      </c>
      <c r="M175" s="49"/>
      <c r="N175" s="48"/>
      <c r="O175" s="47"/>
      <c r="P175" s="50"/>
      <c r="Q175" s="47"/>
      <c r="R175" s="47"/>
    </row>
    <row r="176" spans="1:18" x14ac:dyDescent="0.25">
      <c r="A176" s="47">
        <f t="shared" si="4"/>
        <v>175</v>
      </c>
      <c r="B176" s="47" t="s">
        <v>7001</v>
      </c>
      <c r="C176" s="47" t="s">
        <v>6998</v>
      </c>
      <c r="D176" s="47" t="s">
        <v>6999</v>
      </c>
      <c r="E176" s="47" t="s">
        <v>4399</v>
      </c>
      <c r="F176" s="47" t="s">
        <v>7000</v>
      </c>
      <c r="G176" s="47" t="s">
        <v>200</v>
      </c>
      <c r="H176" s="47" t="str">
        <f t="shared" si="6"/>
        <v>BUDGAM</v>
      </c>
      <c r="I176" s="47" t="s">
        <v>7027</v>
      </c>
      <c r="J176" s="48">
        <v>46002</v>
      </c>
      <c r="K176" s="47">
        <v>6006763182</v>
      </c>
      <c r="L176" s="47" t="s">
        <v>70</v>
      </c>
      <c r="M176" s="49"/>
      <c r="N176" s="48"/>
      <c r="O176" s="47" t="s">
        <v>23</v>
      </c>
      <c r="P176" s="50">
        <v>46003</v>
      </c>
      <c r="Q176" s="47" t="s">
        <v>6461</v>
      </c>
      <c r="R176" s="47"/>
    </row>
    <row r="177" spans="1:18" x14ac:dyDescent="0.25">
      <c r="A177" s="47">
        <f t="shared" si="4"/>
        <v>176</v>
      </c>
      <c r="B177" s="47" t="s">
        <v>7002</v>
      </c>
      <c r="C177" s="47" t="s">
        <v>7003</v>
      </c>
      <c r="D177" s="47" t="s">
        <v>7004</v>
      </c>
      <c r="E177" s="47" t="s">
        <v>7005</v>
      </c>
      <c r="F177" s="47" t="s">
        <v>7000</v>
      </c>
      <c r="G177" s="47" t="s">
        <v>175</v>
      </c>
      <c r="H177" s="47" t="str">
        <f t="shared" si="6"/>
        <v>BUDGAM</v>
      </c>
      <c r="I177" s="47" t="s">
        <v>7028</v>
      </c>
      <c r="J177" s="48">
        <v>46002</v>
      </c>
      <c r="K177" s="47">
        <v>9149852485</v>
      </c>
      <c r="L177" s="47" t="s">
        <v>70</v>
      </c>
      <c r="M177" s="49" t="s">
        <v>7116</v>
      </c>
      <c r="N177" s="48">
        <v>46006</v>
      </c>
      <c r="O177" s="47" t="s">
        <v>23</v>
      </c>
      <c r="P177" s="50">
        <v>46003</v>
      </c>
      <c r="Q177" s="47" t="s">
        <v>6461</v>
      </c>
      <c r="R177" s="47"/>
    </row>
    <row r="178" spans="1:18" x14ac:dyDescent="0.25">
      <c r="A178" s="47">
        <f t="shared" si="4"/>
        <v>177</v>
      </c>
      <c r="B178" s="47" t="s">
        <v>7009</v>
      </c>
      <c r="C178" s="47" t="s">
        <v>7006</v>
      </c>
      <c r="D178" s="47" t="s">
        <v>7007</v>
      </c>
      <c r="E178" s="47" t="s">
        <v>7008</v>
      </c>
      <c r="F178" s="47" t="s">
        <v>31</v>
      </c>
      <c r="G178" s="47" t="s">
        <v>174</v>
      </c>
      <c r="H178" s="47" t="str">
        <f t="shared" si="6"/>
        <v>SRINAGAR</v>
      </c>
      <c r="I178" s="47" t="s">
        <v>7010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6461</v>
      </c>
      <c r="R178" s="47"/>
    </row>
    <row r="179" spans="1:18" x14ac:dyDescent="0.25">
      <c r="A179" s="47">
        <f t="shared" si="4"/>
        <v>178</v>
      </c>
      <c r="B179" s="47" t="s">
        <v>7011</v>
      </c>
      <c r="C179" s="47" t="s">
        <v>7012</v>
      </c>
      <c r="D179" s="47" t="s">
        <v>7013</v>
      </c>
      <c r="E179" s="47" t="s">
        <v>7014</v>
      </c>
      <c r="F179" s="47" t="s">
        <v>281</v>
      </c>
      <c r="G179" s="47" t="s">
        <v>200</v>
      </c>
      <c r="H179" s="47" t="str">
        <f t="shared" si="6"/>
        <v>SRINAGAR</v>
      </c>
      <c r="I179" s="47" t="s">
        <v>7015</v>
      </c>
      <c r="J179" s="48">
        <v>46002</v>
      </c>
      <c r="K179" s="47">
        <v>7006743019</v>
      </c>
      <c r="L179" s="47" t="s">
        <v>7016</v>
      </c>
      <c r="M179" s="49"/>
      <c r="N179" s="48"/>
      <c r="O179" s="47"/>
      <c r="P179" s="50"/>
      <c r="Q179" s="47"/>
      <c r="R179" s="47"/>
    </row>
    <row r="180" spans="1:18" x14ac:dyDescent="0.25">
      <c r="A180" s="47">
        <f t="shared" si="4"/>
        <v>179</v>
      </c>
      <c r="B180" s="47" t="s">
        <v>7020</v>
      </c>
      <c r="C180" s="47" t="s">
        <v>7017</v>
      </c>
      <c r="D180" s="47" t="s">
        <v>7018</v>
      </c>
      <c r="E180" s="47" t="s">
        <v>7019</v>
      </c>
      <c r="F180" s="47" t="s">
        <v>31</v>
      </c>
      <c r="G180" s="47" t="s">
        <v>221</v>
      </c>
      <c r="H180" s="47" t="str">
        <f t="shared" si="6"/>
        <v>PULWAMA</v>
      </c>
      <c r="I180" s="47" t="s">
        <v>7022</v>
      </c>
      <c r="J180" s="48">
        <v>46002</v>
      </c>
      <c r="K180" s="47">
        <v>7889910978</v>
      </c>
      <c r="L180" s="47" t="s">
        <v>6571</v>
      </c>
      <c r="M180" s="49"/>
      <c r="N180" s="48"/>
      <c r="O180" s="47"/>
      <c r="P180" s="50"/>
      <c r="Q180" s="47"/>
      <c r="R180" s="47"/>
    </row>
    <row r="181" spans="1:18" x14ac:dyDescent="0.25">
      <c r="A181" s="47">
        <f t="shared" si="4"/>
        <v>180</v>
      </c>
      <c r="B181" s="47" t="s">
        <v>7023</v>
      </c>
      <c r="C181" s="47" t="s">
        <v>7024</v>
      </c>
      <c r="D181" s="47" t="s">
        <v>7025</v>
      </c>
      <c r="E181" s="47" t="s">
        <v>7026</v>
      </c>
      <c r="F181" s="47" t="s">
        <v>119</v>
      </c>
      <c r="G181" s="47" t="s">
        <v>174</v>
      </c>
      <c r="H181" s="47" t="str">
        <f t="shared" si="6"/>
        <v>BARAMULLA</v>
      </c>
      <c r="I181" s="47" t="s">
        <v>7029</v>
      </c>
      <c r="J181" s="48">
        <v>46002</v>
      </c>
      <c r="K181" s="47">
        <v>8082636745</v>
      </c>
      <c r="L181" s="47" t="s">
        <v>43</v>
      </c>
      <c r="M181" s="49"/>
      <c r="N181" s="48"/>
      <c r="O181" s="47" t="s">
        <v>23</v>
      </c>
      <c r="P181" s="50">
        <v>46003</v>
      </c>
      <c r="Q181" s="47" t="s">
        <v>6461</v>
      </c>
      <c r="R181" s="47"/>
    </row>
    <row r="182" spans="1:18" x14ac:dyDescent="0.25">
      <c r="A182" s="47">
        <f t="shared" si="4"/>
        <v>181</v>
      </c>
      <c r="B182" s="47" t="s">
        <v>7044</v>
      </c>
      <c r="C182" s="47" t="s">
        <v>7041</v>
      </c>
      <c r="D182" s="47" t="s">
        <v>7042</v>
      </c>
      <c r="E182" s="47" t="s">
        <v>7043</v>
      </c>
      <c r="F182" s="47" t="s">
        <v>238</v>
      </c>
      <c r="G182" s="47" t="s">
        <v>181</v>
      </c>
      <c r="H182" s="47" t="str">
        <f t="shared" si="6"/>
        <v>SRINAGAR</v>
      </c>
      <c r="I182" s="47" t="s">
        <v>7064</v>
      </c>
      <c r="J182" s="48">
        <v>46003</v>
      </c>
      <c r="K182" s="47">
        <v>9419015767</v>
      </c>
      <c r="L182" s="47" t="s">
        <v>48</v>
      </c>
      <c r="M182" s="49"/>
      <c r="N182" s="48"/>
      <c r="O182" s="47" t="s">
        <v>23</v>
      </c>
      <c r="P182" s="50">
        <v>46003</v>
      </c>
      <c r="Q182" s="47" t="s">
        <v>6461</v>
      </c>
      <c r="R182" s="47"/>
    </row>
    <row r="183" spans="1:18" x14ac:dyDescent="0.25">
      <c r="A183" s="47">
        <f t="shared" si="4"/>
        <v>182</v>
      </c>
      <c r="B183" s="47" t="s">
        <v>7045</v>
      </c>
      <c r="C183" s="47" t="s">
        <v>7046</v>
      </c>
      <c r="D183" s="47" t="s">
        <v>7047</v>
      </c>
      <c r="E183" s="47" t="s">
        <v>7048</v>
      </c>
      <c r="F183" s="47" t="s">
        <v>119</v>
      </c>
      <c r="G183" s="47" t="s">
        <v>200</v>
      </c>
      <c r="H183" s="47" t="str">
        <f t="shared" si="6"/>
        <v>BUDGAM</v>
      </c>
      <c r="I183" s="47" t="s">
        <v>7066</v>
      </c>
      <c r="J183" s="48">
        <v>46003</v>
      </c>
      <c r="K183" s="47">
        <v>9622901567</v>
      </c>
      <c r="L183" s="47" t="s">
        <v>26</v>
      </c>
      <c r="M183" s="49"/>
      <c r="N183" s="48"/>
      <c r="O183" s="47" t="s">
        <v>23</v>
      </c>
      <c r="P183" s="50">
        <v>46003</v>
      </c>
      <c r="Q183" s="47" t="s">
        <v>6461</v>
      </c>
      <c r="R183" s="47"/>
    </row>
    <row r="184" spans="1:18" x14ac:dyDescent="0.25">
      <c r="A184" s="47">
        <f t="shared" si="4"/>
        <v>183</v>
      </c>
      <c r="B184" s="47" t="s">
        <v>7050</v>
      </c>
      <c r="C184" s="47" t="s">
        <v>7051</v>
      </c>
      <c r="D184" s="47" t="s">
        <v>7052</v>
      </c>
      <c r="E184" s="47" t="s">
        <v>7053</v>
      </c>
      <c r="F184" s="47" t="s">
        <v>31</v>
      </c>
      <c r="G184" s="47" t="s">
        <v>221</v>
      </c>
      <c r="H184" s="47" t="str">
        <f t="shared" si="6"/>
        <v>SRINAGAR</v>
      </c>
      <c r="I184" s="47" t="s">
        <v>7063</v>
      </c>
      <c r="J184" s="48">
        <v>46003</v>
      </c>
      <c r="K184" s="47">
        <v>7006646319</v>
      </c>
      <c r="L184" s="47" t="s">
        <v>6522</v>
      </c>
      <c r="M184" s="49"/>
      <c r="N184" s="48"/>
      <c r="O184" s="47"/>
      <c r="P184" s="50"/>
      <c r="Q184" s="47"/>
      <c r="R184" s="47"/>
    </row>
    <row r="185" spans="1:18" x14ac:dyDescent="0.25">
      <c r="A185" s="47">
        <f t="shared" si="4"/>
        <v>184</v>
      </c>
      <c r="B185" s="47" t="s">
        <v>7054</v>
      </c>
      <c r="C185" s="47" t="s">
        <v>7055</v>
      </c>
      <c r="D185" s="47" t="s">
        <v>7056</v>
      </c>
      <c r="E185" s="47" t="s">
        <v>7057</v>
      </c>
      <c r="F185" s="47" t="s">
        <v>3130</v>
      </c>
      <c r="G185" s="47" t="s">
        <v>6476</v>
      </c>
      <c r="H185" s="47" t="str">
        <f t="shared" si="6"/>
        <v>SRINAGAR</v>
      </c>
      <c r="I185" s="47" t="s">
        <v>7065</v>
      </c>
      <c r="J185" s="48">
        <v>46003</v>
      </c>
      <c r="K185" s="47">
        <v>6006485825</v>
      </c>
      <c r="L185" s="47" t="s">
        <v>7058</v>
      </c>
      <c r="M185" s="49"/>
      <c r="N185" s="48"/>
      <c r="O185" s="54" t="s">
        <v>7085</v>
      </c>
      <c r="P185" s="50"/>
      <c r="Q185" s="47"/>
      <c r="R185" s="47"/>
    </row>
    <row r="186" spans="1:18" x14ac:dyDescent="0.25">
      <c r="A186" s="47">
        <f t="shared" si="4"/>
        <v>185</v>
      </c>
      <c r="B186" s="47" t="s">
        <v>7059</v>
      </c>
      <c r="C186" s="47" t="s">
        <v>7060</v>
      </c>
      <c r="D186" s="47" t="s">
        <v>7061</v>
      </c>
      <c r="E186" s="47" t="s">
        <v>7062</v>
      </c>
      <c r="F186" s="47" t="s">
        <v>119</v>
      </c>
      <c r="G186" s="47" t="s">
        <v>200</v>
      </c>
      <c r="H186" s="47" t="str">
        <f t="shared" si="6"/>
        <v>PULWAMA</v>
      </c>
      <c r="I186" s="47" t="s">
        <v>7077</v>
      </c>
      <c r="J186" s="48">
        <v>46003</v>
      </c>
      <c r="K186" s="47">
        <v>9682101195</v>
      </c>
      <c r="L186" s="47" t="s">
        <v>70</v>
      </c>
      <c r="M186" s="49"/>
      <c r="N186" s="48"/>
      <c r="O186" s="47" t="s">
        <v>23</v>
      </c>
      <c r="P186" s="50">
        <v>46003</v>
      </c>
      <c r="Q186" s="47" t="s">
        <v>6461</v>
      </c>
      <c r="R186" s="47"/>
    </row>
    <row r="187" spans="1:18" x14ac:dyDescent="0.25">
      <c r="A187" s="47">
        <f t="shared" si="4"/>
        <v>186</v>
      </c>
      <c r="B187" s="47" t="s">
        <v>7067</v>
      </c>
      <c r="C187" s="47" t="s">
        <v>7068</v>
      </c>
      <c r="D187" s="47" t="s">
        <v>7069</v>
      </c>
      <c r="E187" s="47" t="s">
        <v>7070</v>
      </c>
      <c r="F187" s="47" t="s">
        <v>193</v>
      </c>
      <c r="G187" s="47" t="s">
        <v>200</v>
      </c>
      <c r="H187" s="47" t="str">
        <f t="shared" si="6"/>
        <v>PULWAMA</v>
      </c>
      <c r="I187" s="47" t="s">
        <v>7078</v>
      </c>
      <c r="J187" s="48">
        <v>46003</v>
      </c>
      <c r="K187" s="47">
        <v>9797499942</v>
      </c>
      <c r="L187" s="47" t="s">
        <v>7071</v>
      </c>
      <c r="M187" s="49"/>
      <c r="N187" s="48"/>
      <c r="O187" s="47"/>
      <c r="P187" s="50"/>
      <c r="Q187" s="47"/>
      <c r="R187" s="47"/>
    </row>
    <row r="188" spans="1:18" x14ac:dyDescent="0.25">
      <c r="A188" s="47">
        <f t="shared" si="4"/>
        <v>187</v>
      </c>
      <c r="B188" s="47" t="s">
        <v>7072</v>
      </c>
      <c r="C188" s="47" t="s">
        <v>7073</v>
      </c>
      <c r="D188" s="47" t="s">
        <v>7074</v>
      </c>
      <c r="E188" s="47" t="s">
        <v>7075</v>
      </c>
      <c r="F188" s="47" t="s">
        <v>3130</v>
      </c>
      <c r="G188" s="47" t="s">
        <v>6476</v>
      </c>
      <c r="H188" s="47" t="str">
        <f t="shared" si="6"/>
        <v>SRINAGAR</v>
      </c>
      <c r="I188" s="47" t="s">
        <v>7076</v>
      </c>
      <c r="J188" s="48">
        <v>46003</v>
      </c>
      <c r="K188" s="47">
        <v>9419705595</v>
      </c>
      <c r="L188" s="47" t="s">
        <v>70</v>
      </c>
      <c r="M188" s="49"/>
      <c r="N188" s="48"/>
      <c r="O188" s="47" t="s">
        <v>23</v>
      </c>
      <c r="P188" s="50">
        <v>46003</v>
      </c>
      <c r="Q188" s="47" t="s">
        <v>6461</v>
      </c>
      <c r="R188" s="47"/>
    </row>
    <row r="189" spans="1:18" x14ac:dyDescent="0.25">
      <c r="A189" s="47">
        <f t="shared" si="4"/>
        <v>188</v>
      </c>
      <c r="B189" s="47" t="s">
        <v>7091</v>
      </c>
      <c r="C189" s="47" t="s">
        <v>7092</v>
      </c>
      <c r="D189" s="47" t="s">
        <v>7093</v>
      </c>
      <c r="E189" s="47" t="s">
        <v>7094</v>
      </c>
      <c r="F189" s="47" t="s">
        <v>125</v>
      </c>
      <c r="G189" s="47" t="s">
        <v>199</v>
      </c>
      <c r="H189" s="47" t="str">
        <f t="shared" si="6"/>
        <v>BUDGAM</v>
      </c>
      <c r="I189" s="47" t="s">
        <v>7095</v>
      </c>
      <c r="J189" s="48">
        <v>46004</v>
      </c>
      <c r="K189" s="47">
        <v>7006296665</v>
      </c>
      <c r="L189" s="47" t="s">
        <v>43</v>
      </c>
      <c r="M189" s="49"/>
      <c r="N189" s="48"/>
      <c r="O189" s="47" t="s">
        <v>23</v>
      </c>
      <c r="P189" s="50">
        <v>46004</v>
      </c>
      <c r="Q189" s="47" t="s">
        <v>6461</v>
      </c>
      <c r="R189" s="47"/>
    </row>
    <row r="190" spans="1:18" x14ac:dyDescent="0.25">
      <c r="A190" s="47">
        <f t="shared" si="4"/>
        <v>189</v>
      </c>
      <c r="B190" s="47" t="s">
        <v>7108</v>
      </c>
      <c r="C190" s="47" t="s">
        <v>7096</v>
      </c>
      <c r="D190" s="47" t="s">
        <v>7097</v>
      </c>
      <c r="E190" s="47" t="s">
        <v>7098</v>
      </c>
      <c r="F190" s="47" t="s">
        <v>31</v>
      </c>
      <c r="G190" s="47" t="s">
        <v>175</v>
      </c>
      <c r="H190" s="47" t="str">
        <f>IF(LEFT(I190,4)="JK13","PULWAMA",IF(LEFT(I190,4)="JK01","SRINAGAR",IF(LEFT(I190,4)="JK04","BUDGAM",IF(LEFT(I190,4)="JK02","JAMMU",IF(LEFT(I190,4)="JK03","ANANTNAG",IF(LEFT(I190,4)="JK05","BARAMULLA",IF(LEFT(I190,4)="25BH","BHARAT",IF(LEFT(I190,4)="JK12","POONCH",IF(LEFT(I190,4)="JK18","KULGAM",IF(LEFT(I190,4)="JK22","SHOPIAN",IF(LEFT(I190,4)="T102","TEMP",IF(LEFT(I190,4)="JK09","KUPWARA",IF(LEFT(I190,4)="JK15","BANDIPORA",IF(LEFT(I190,4)="T112","KARGIL","NEW"))))))))))))))</f>
        <v>JAMMU</v>
      </c>
      <c r="I190" s="47" t="s">
        <v>7109</v>
      </c>
      <c r="J190" s="48">
        <v>46004</v>
      </c>
      <c r="K190" s="47">
        <v>7006058332</v>
      </c>
      <c r="L190" s="47" t="s">
        <v>6763</v>
      </c>
      <c r="M190" s="49"/>
      <c r="N190" s="48"/>
      <c r="O190" s="47"/>
      <c r="P190" s="50"/>
      <c r="Q190" s="47"/>
      <c r="R190" s="47"/>
    </row>
    <row r="191" spans="1:18" x14ac:dyDescent="0.25">
      <c r="A191" s="47">
        <f t="shared" si="4"/>
        <v>190</v>
      </c>
      <c r="B191" s="47" t="s">
        <v>7099</v>
      </c>
      <c r="C191" s="47" t="s">
        <v>7104</v>
      </c>
      <c r="D191" s="47" t="s">
        <v>7105</v>
      </c>
      <c r="E191" s="47" t="s">
        <v>7106</v>
      </c>
      <c r="F191" s="47" t="s">
        <v>290</v>
      </c>
      <c r="G191" s="47" t="s">
        <v>175</v>
      </c>
      <c r="H191" s="47" t="str">
        <f t="shared" ref="H191:H204" si="7">IF(LEFT(I191,4)="JK13","PULWAMA",IF(LEFT(I191,4)="JK01","SRINAGAR",IF(LEFT(I191,4)="JK04","BUDGAM",IF(LEFT(I191,4)="JK02","JAMMU",IF(LEFT(I191,4)="JK03","ANANTNAG",IF(LEFT(I191,4)="JK05","BARAMULLA",IF(LEFT(I191,4)="25BH","BHARAT",IF(LEFT(I191,4)="JK12","POONCH",IF(LEFT(I191,4)="JK18","KULGAM",IF(LEFT(I191,4)="JK22","SHOPIAN",IF(LEFT(I191,4)="T102","TEMP",IF(LEFT(I191,4)="JK09","KUPWARA",IF(LEFT(I191,4)="JK15","BANDIPORA",IF(LEFT(I191,4)="T112","KARGIL","NEW"))))))))))))))</f>
        <v>SHOPIAN</v>
      </c>
      <c r="I191" s="47" t="s">
        <v>7107</v>
      </c>
      <c r="J191" s="48">
        <v>46004</v>
      </c>
      <c r="K191" s="47">
        <v>7006885644</v>
      </c>
      <c r="L191" s="47" t="s">
        <v>6581</v>
      </c>
      <c r="M191" s="49"/>
      <c r="N191" s="48"/>
      <c r="O191" s="47"/>
      <c r="P191" s="50"/>
      <c r="Q191" s="47"/>
      <c r="R191" s="47"/>
    </row>
    <row r="192" spans="1:18" x14ac:dyDescent="0.25">
      <c r="A192" s="47">
        <f t="shared" si="4"/>
        <v>191</v>
      </c>
      <c r="B192" s="47" t="s">
        <v>7100</v>
      </c>
      <c r="C192" s="47" t="s">
        <v>7101</v>
      </c>
      <c r="D192" s="47" t="s">
        <v>7102</v>
      </c>
      <c r="E192" s="47" t="s">
        <v>7103</v>
      </c>
      <c r="F192" s="47" t="s">
        <v>6831</v>
      </c>
      <c r="G192" s="47" t="s">
        <v>6441</v>
      </c>
      <c r="H192" s="47" t="str">
        <f t="shared" si="7"/>
        <v>SRINAGAR</v>
      </c>
      <c r="I192" s="47" t="s">
        <v>7110</v>
      </c>
      <c r="J192" s="48">
        <v>46004</v>
      </c>
      <c r="K192" s="47">
        <v>7006224132</v>
      </c>
      <c r="L192" s="47" t="s">
        <v>7113</v>
      </c>
      <c r="M192" s="49"/>
      <c r="N192" s="48"/>
      <c r="O192" s="47" t="s">
        <v>23</v>
      </c>
      <c r="P192" s="50">
        <v>46004</v>
      </c>
      <c r="Q192" s="47" t="s">
        <v>6461</v>
      </c>
      <c r="R192" s="47"/>
    </row>
    <row r="193" spans="1:18" x14ac:dyDescent="0.25">
      <c r="A193" s="47">
        <f t="shared" ref="A193:A204" si="8">ROW()-1</f>
        <v>192</v>
      </c>
      <c r="B193" s="47"/>
      <c r="C193" s="47"/>
      <c r="D193" s="47"/>
      <c r="E193" s="47"/>
      <c r="F193" s="47"/>
      <c r="G193" s="47"/>
      <c r="H193" s="47" t="str">
        <f t="shared" si="7"/>
        <v>NEW</v>
      </c>
      <c r="I193" s="47"/>
      <c r="J193" s="48"/>
      <c r="K193" s="47"/>
      <c r="L193" s="47"/>
      <c r="M193" s="49"/>
      <c r="N193" s="48"/>
      <c r="O193" s="47"/>
      <c r="P193" s="50"/>
      <c r="Q193" s="47"/>
      <c r="R193" s="47"/>
    </row>
    <row r="194" spans="1:18" x14ac:dyDescent="0.25">
      <c r="A194" s="47">
        <f t="shared" si="8"/>
        <v>193</v>
      </c>
      <c r="B194" s="47"/>
      <c r="C194" s="47"/>
      <c r="D194" s="47"/>
      <c r="E194" s="47"/>
      <c r="F194" s="47"/>
      <c r="G194" s="47"/>
      <c r="H194" s="47" t="str">
        <f t="shared" si="7"/>
        <v>NEW</v>
      </c>
      <c r="I194" s="47"/>
      <c r="J194" s="48"/>
      <c r="K194" s="47"/>
      <c r="L194" s="47"/>
      <c r="M194" s="49"/>
      <c r="N194" s="48"/>
      <c r="O194" s="47"/>
      <c r="P194" s="50"/>
      <c r="Q194" s="47"/>
      <c r="R194" s="47"/>
    </row>
    <row r="195" spans="1:18" x14ac:dyDescent="0.25">
      <c r="A195" s="47">
        <f t="shared" si="8"/>
        <v>194</v>
      </c>
      <c r="B195" s="47"/>
      <c r="C195" s="47"/>
      <c r="D195" s="47"/>
      <c r="E195" s="47"/>
      <c r="F195" s="47"/>
      <c r="G195" s="47"/>
      <c r="H195" s="47" t="str">
        <f t="shared" si="7"/>
        <v>NEW</v>
      </c>
      <c r="I195" s="47"/>
      <c r="J195" s="48"/>
      <c r="K195" s="47"/>
      <c r="L195" s="47"/>
      <c r="M195" s="49"/>
      <c r="N195" s="48"/>
      <c r="O195" s="47"/>
      <c r="P195" s="50"/>
      <c r="Q195" s="47"/>
      <c r="R195" s="47"/>
    </row>
    <row r="196" spans="1:18" x14ac:dyDescent="0.25">
      <c r="A196" s="47">
        <f t="shared" si="8"/>
        <v>195</v>
      </c>
      <c r="B196" s="47"/>
      <c r="C196" s="47"/>
      <c r="D196" s="47"/>
      <c r="E196" s="47"/>
      <c r="F196" s="47"/>
      <c r="G196" s="47"/>
      <c r="H196" s="47" t="str">
        <f t="shared" si="7"/>
        <v>NEW</v>
      </c>
      <c r="I196" s="47"/>
      <c r="J196" s="48"/>
      <c r="K196" s="47"/>
      <c r="L196" s="47"/>
      <c r="M196" s="49"/>
      <c r="N196" s="48"/>
      <c r="O196" s="47"/>
      <c r="P196" s="50"/>
      <c r="Q196" s="47"/>
      <c r="R196" s="47"/>
    </row>
    <row r="197" spans="1:18" x14ac:dyDescent="0.25">
      <c r="A197" s="47">
        <f t="shared" si="8"/>
        <v>196</v>
      </c>
      <c r="B197" s="47"/>
      <c r="C197" s="47"/>
      <c r="D197" s="47"/>
      <c r="E197" s="47"/>
      <c r="F197" s="47"/>
      <c r="G197" s="47"/>
      <c r="H197" s="47" t="str">
        <f t="shared" si="7"/>
        <v>NEW</v>
      </c>
      <c r="I197" s="47"/>
      <c r="J197" s="48"/>
      <c r="K197" s="47"/>
      <c r="L197" s="47"/>
      <c r="M197" s="49"/>
      <c r="N197" s="48"/>
      <c r="O197" s="47"/>
      <c r="P197" s="50"/>
      <c r="Q197" s="47"/>
      <c r="R197" s="47"/>
    </row>
    <row r="198" spans="1:18" x14ac:dyDescent="0.25">
      <c r="A198" s="47">
        <f t="shared" si="8"/>
        <v>197</v>
      </c>
      <c r="B198" s="47"/>
      <c r="C198" s="47"/>
      <c r="D198" s="47"/>
      <c r="E198" s="47"/>
      <c r="F198" s="47"/>
      <c r="G198" s="47"/>
      <c r="H198" s="47" t="str">
        <f t="shared" si="7"/>
        <v>NEW</v>
      </c>
      <c r="I198" s="47"/>
      <c r="J198" s="48"/>
      <c r="K198" s="47"/>
      <c r="L198" s="47"/>
      <c r="M198" s="49"/>
      <c r="N198" s="48"/>
      <c r="O198" s="47"/>
      <c r="P198" s="50"/>
      <c r="Q198" s="47"/>
      <c r="R198" s="47"/>
    </row>
    <row r="199" spans="1:18" x14ac:dyDescent="0.25">
      <c r="A199" s="47">
        <f t="shared" si="8"/>
        <v>198</v>
      </c>
      <c r="B199" s="47"/>
      <c r="C199" s="47"/>
      <c r="D199" s="47"/>
      <c r="E199" s="47"/>
      <c r="F199" s="47"/>
      <c r="G199" s="47"/>
      <c r="H199" s="47" t="str">
        <f t="shared" si="7"/>
        <v>NEW</v>
      </c>
      <c r="I199" s="47"/>
      <c r="J199" s="48"/>
      <c r="K199" s="47"/>
      <c r="L199" s="47"/>
      <c r="M199" s="49"/>
      <c r="N199" s="48"/>
      <c r="O199" s="47"/>
      <c r="P199" s="50"/>
      <c r="Q199" s="47"/>
      <c r="R199" s="47"/>
    </row>
    <row r="200" spans="1:18" x14ac:dyDescent="0.25">
      <c r="A200" s="47">
        <f t="shared" si="8"/>
        <v>199</v>
      </c>
      <c r="B200" s="47"/>
      <c r="C200" s="47"/>
      <c r="D200" s="47"/>
      <c r="E200" s="47"/>
      <c r="F200" s="47"/>
      <c r="G200" s="47"/>
      <c r="H200" s="47" t="str">
        <f t="shared" si="7"/>
        <v>NEW</v>
      </c>
      <c r="I200" s="47"/>
      <c r="J200" s="48"/>
      <c r="K200" s="47"/>
      <c r="L200" s="47"/>
      <c r="M200" s="49"/>
      <c r="N200" s="48"/>
      <c r="O200" s="47"/>
      <c r="P200" s="50"/>
      <c r="Q200" s="47"/>
      <c r="R200" s="47"/>
    </row>
    <row r="201" spans="1:18" x14ac:dyDescent="0.25">
      <c r="A201" s="47">
        <f t="shared" si="8"/>
        <v>200</v>
      </c>
      <c r="B201" s="47"/>
      <c r="C201" s="47"/>
      <c r="D201" s="47"/>
      <c r="E201" s="47"/>
      <c r="F201" s="47"/>
      <c r="G201" s="47"/>
      <c r="H201" s="47" t="str">
        <f t="shared" si="7"/>
        <v>NEW</v>
      </c>
      <c r="I201" s="47"/>
      <c r="J201" s="48"/>
      <c r="K201" s="47"/>
      <c r="L201" s="47"/>
      <c r="M201" s="49"/>
      <c r="N201" s="48"/>
      <c r="O201" s="47"/>
      <c r="P201" s="50"/>
      <c r="Q201" s="47"/>
      <c r="R201" s="47"/>
    </row>
    <row r="202" spans="1:18" x14ac:dyDescent="0.25">
      <c r="A202" s="47">
        <f t="shared" si="8"/>
        <v>201</v>
      </c>
      <c r="B202" s="47"/>
      <c r="C202" s="47"/>
      <c r="D202" s="47"/>
      <c r="E202" s="47"/>
      <c r="F202" s="47"/>
      <c r="G202" s="47"/>
      <c r="H202" s="47" t="str">
        <f t="shared" si="7"/>
        <v>NEW</v>
      </c>
      <c r="I202" s="47"/>
      <c r="J202" s="48"/>
      <c r="K202" s="47"/>
      <c r="L202" s="47"/>
      <c r="M202" s="49"/>
      <c r="N202" s="48"/>
      <c r="O202" s="47"/>
      <c r="P202" s="50"/>
      <c r="Q202" s="47"/>
      <c r="R202" s="47"/>
    </row>
    <row r="203" spans="1:18" x14ac:dyDescent="0.25">
      <c r="A203" s="47">
        <f t="shared" si="8"/>
        <v>202</v>
      </c>
      <c r="B203" s="47"/>
      <c r="C203" s="47"/>
      <c r="D203" s="47"/>
      <c r="E203" s="47"/>
      <c r="F203" s="47"/>
      <c r="G203" s="47"/>
      <c r="H203" s="47" t="str">
        <f t="shared" si="7"/>
        <v>NEW</v>
      </c>
      <c r="I203" s="47"/>
      <c r="J203" s="48"/>
      <c r="K203" s="47"/>
      <c r="L203" s="47"/>
      <c r="M203" s="49"/>
      <c r="N203" s="48"/>
      <c r="O203" s="47"/>
      <c r="P203" s="50"/>
      <c r="Q203" s="47"/>
      <c r="R203" s="47"/>
    </row>
    <row r="204" spans="1:18" x14ac:dyDescent="0.25">
      <c r="A204" s="47">
        <f t="shared" si="8"/>
        <v>203</v>
      </c>
      <c r="B204" s="47"/>
      <c r="C204" s="47"/>
      <c r="D204" s="47"/>
      <c r="E204" s="47"/>
      <c r="F204" s="47"/>
      <c r="G204" s="47"/>
      <c r="H204" s="47" t="str">
        <f t="shared" si="7"/>
        <v>NEW</v>
      </c>
      <c r="I204" s="47"/>
      <c r="J204" s="48"/>
      <c r="K204" s="47"/>
      <c r="L204" s="47"/>
      <c r="M204" s="49"/>
      <c r="N204" s="48"/>
      <c r="O204" s="47"/>
      <c r="P204" s="50"/>
      <c r="Q204" s="47"/>
      <c r="R204" s="47"/>
    </row>
    <row r="205" spans="1:18" ht="15.75" x14ac:dyDescent="0.25">
      <c r="C205" s="1"/>
      <c r="D205" s="1"/>
      <c r="E205" s="1"/>
      <c r="F205" s="1"/>
      <c r="G205" s="1"/>
      <c r="H205" s="1"/>
      <c r="I205" s="20"/>
      <c r="J205" s="19"/>
      <c r="K205" s="19"/>
      <c r="M205" t="s">
        <v>44</v>
      </c>
    </row>
    <row r="206" spans="1:18" ht="15.75" x14ac:dyDescent="0.25">
      <c r="C206" s="1"/>
      <c r="D206" s="1"/>
      <c r="E206" s="1"/>
      <c r="F206" s="1"/>
      <c r="G206" s="1"/>
      <c r="H206" s="1"/>
      <c r="I206" s="20"/>
      <c r="K206" s="19"/>
    </row>
    <row r="207" spans="1:18" ht="15.75" x14ac:dyDescent="0.25">
      <c r="C207" s="1"/>
      <c r="D207" s="1"/>
      <c r="E207" s="1"/>
      <c r="F207" s="1"/>
      <c r="G207" s="1"/>
      <c r="H207" s="1"/>
      <c r="I207" s="20"/>
      <c r="K207" s="19"/>
    </row>
    <row r="208" spans="1:18" ht="15.75" x14ac:dyDescent="0.25">
      <c r="C208" s="1"/>
      <c r="D208" s="1"/>
      <c r="E208" s="1"/>
      <c r="F208" s="1"/>
      <c r="G208" s="1"/>
      <c r="H208" s="1"/>
      <c r="I208" s="20"/>
      <c r="K208" s="19"/>
    </row>
    <row r="209" spans="1:17" ht="15.75" x14ac:dyDescent="0.25">
      <c r="C209" s="1"/>
      <c r="D209" s="1"/>
      <c r="E209" s="1"/>
      <c r="F209" s="1"/>
      <c r="G209" s="1"/>
      <c r="H209" s="1"/>
      <c r="I209" s="20"/>
      <c r="K209" s="19"/>
    </row>
    <row r="210" spans="1:17" ht="15.75" x14ac:dyDescent="0.25">
      <c r="A210" s="5"/>
      <c r="B210" s="6"/>
      <c r="C210" s="7"/>
      <c r="D210" s="7"/>
      <c r="E210" s="7"/>
      <c r="F210" s="7"/>
      <c r="G210" s="7"/>
      <c r="H210" s="7"/>
      <c r="I210" s="7"/>
      <c r="J210" s="7"/>
      <c r="K210" s="19"/>
      <c r="L210" s="7"/>
      <c r="M210" s="7"/>
      <c r="N210" s="7"/>
      <c r="O210" s="7"/>
      <c r="P210" s="7"/>
      <c r="Q210" s="7"/>
    </row>
    <row r="211" spans="1:17" ht="15.75" x14ac:dyDescent="0.25">
      <c r="A211" s="5"/>
      <c r="B211" s="6"/>
      <c r="C211" s="7"/>
      <c r="D211" s="7"/>
      <c r="E211" s="7"/>
      <c r="F211" s="7"/>
      <c r="G211" s="7"/>
      <c r="H211" s="7"/>
      <c r="I211" s="7"/>
      <c r="J211" s="7"/>
      <c r="K211" s="19"/>
      <c r="L211" s="7"/>
      <c r="M211" s="7"/>
      <c r="N211" s="7"/>
      <c r="O211" s="7"/>
      <c r="P211" s="7"/>
      <c r="Q211" s="7"/>
    </row>
    <row r="212" spans="1:17" ht="15.75" x14ac:dyDescent="0.25">
      <c r="K212" s="19"/>
    </row>
    <row r="213" spans="1:17" ht="15.75" x14ac:dyDescent="0.25">
      <c r="K213" s="19"/>
    </row>
    <row r="214" spans="1:17" ht="15.75" x14ac:dyDescent="0.25">
      <c r="K214" s="19"/>
    </row>
    <row r="215" spans="1:17" ht="15.75" x14ac:dyDescent="0.25">
      <c r="K215" s="19"/>
    </row>
    <row r="216" spans="1:17" ht="15.75" x14ac:dyDescent="0.25">
      <c r="K216" s="19"/>
    </row>
    <row r="217" spans="1:17" ht="15.75" x14ac:dyDescent="0.25">
      <c r="K217" s="19"/>
    </row>
    <row r="218" spans="1:17" ht="15.75" x14ac:dyDescent="0.25">
      <c r="K218" s="19"/>
    </row>
    <row r="219" spans="1:17" ht="15.75" x14ac:dyDescent="0.25">
      <c r="K219" s="19"/>
    </row>
    <row r="220" spans="1:17" ht="15.75" x14ac:dyDescent="0.25">
      <c r="K220" s="19"/>
    </row>
    <row r="221" spans="1:17" ht="15.75" x14ac:dyDescent="0.25">
      <c r="K221" s="19"/>
    </row>
    <row r="222" spans="1:17" ht="15.75" x14ac:dyDescent="0.25">
      <c r="K222" s="19"/>
    </row>
    <row r="223" spans="1:17" ht="15.75" x14ac:dyDescent="0.25">
      <c r="K223" s="19"/>
    </row>
    <row r="224" spans="1:17" ht="15.75" x14ac:dyDescent="0.25">
      <c r="K224" s="19"/>
    </row>
    <row r="225" spans="11:11" ht="15.75" x14ac:dyDescent="0.25">
      <c r="K225" s="19"/>
    </row>
    <row r="226" spans="11:11" ht="15.75" x14ac:dyDescent="0.25">
      <c r="K226" s="19"/>
    </row>
    <row r="227" spans="11:11" ht="15.75" x14ac:dyDescent="0.25">
      <c r="K227" s="19"/>
    </row>
    <row r="228" spans="11:11" ht="15.75" x14ac:dyDescent="0.25">
      <c r="K228" s="19"/>
    </row>
    <row r="229" spans="11:11" ht="15.75" x14ac:dyDescent="0.25">
      <c r="K229" s="19"/>
    </row>
    <row r="230" spans="11:11" ht="15.75" x14ac:dyDescent="0.25">
      <c r="K230" s="19"/>
    </row>
    <row r="231" spans="11:11" ht="15.75" x14ac:dyDescent="0.25">
      <c r="K231" s="19"/>
    </row>
    <row r="232" spans="11:11" ht="15.75" x14ac:dyDescent="0.25">
      <c r="K232" s="19"/>
    </row>
    <row r="233" spans="11:11" ht="15.75" x14ac:dyDescent="0.25">
      <c r="K233" s="19"/>
    </row>
    <row r="234" spans="11:11" ht="15.75" x14ac:dyDescent="0.25">
      <c r="K234" s="19"/>
    </row>
    <row r="235" spans="11:11" ht="15.75" x14ac:dyDescent="0.25">
      <c r="K235" s="19"/>
    </row>
    <row r="236" spans="11:11" ht="15.75" x14ac:dyDescent="0.25">
      <c r="K236" s="19"/>
    </row>
    <row r="237" spans="11:11" ht="15.75" x14ac:dyDescent="0.25">
      <c r="K237" s="19"/>
    </row>
    <row r="238" spans="11:11" ht="15.75" x14ac:dyDescent="0.25">
      <c r="K238" s="19"/>
    </row>
    <row r="239" spans="11:11" ht="15.75" x14ac:dyDescent="0.25">
      <c r="K239" s="19"/>
    </row>
    <row r="240" spans="11:11" ht="15.75" x14ac:dyDescent="0.25">
      <c r="K240" s="19"/>
    </row>
    <row r="241" spans="11:11" ht="15.75" x14ac:dyDescent="0.25">
      <c r="K241" s="19"/>
    </row>
    <row r="242" spans="11:11" ht="15.75" x14ac:dyDescent="0.25">
      <c r="K242" s="19"/>
    </row>
    <row r="243" spans="11:11" ht="15.75" x14ac:dyDescent="0.25">
      <c r="K243" s="19"/>
    </row>
    <row r="244" spans="11:11" ht="15.75" x14ac:dyDescent="0.25">
      <c r="K244" s="19"/>
    </row>
    <row r="245" spans="11:11" ht="15.75" x14ac:dyDescent="0.25">
      <c r="K245" s="19"/>
    </row>
    <row r="246" spans="11:11" ht="15.75" x14ac:dyDescent="0.25">
      <c r="K246" s="19"/>
    </row>
    <row r="247" spans="11:11" ht="15.75" x14ac:dyDescent="0.25">
      <c r="K247" s="19"/>
    </row>
    <row r="248" spans="11:11" ht="15.75" x14ac:dyDescent="0.25">
      <c r="K248" s="19"/>
    </row>
    <row r="249" spans="11:11" ht="15.75" x14ac:dyDescent="0.25">
      <c r="K249" s="19"/>
    </row>
    <row r="250" spans="11:11" ht="15.75" x14ac:dyDescent="0.25">
      <c r="K250" s="19"/>
    </row>
    <row r="251" spans="11:11" ht="15.75" x14ac:dyDescent="0.25">
      <c r="K251" s="19"/>
    </row>
    <row r="252" spans="11:11" ht="15.75" x14ac:dyDescent="0.25">
      <c r="K252" s="19"/>
    </row>
    <row r="253" spans="11:11" ht="15.75" x14ac:dyDescent="0.25">
      <c r="K253" s="19"/>
    </row>
    <row r="254" spans="11:11" ht="15.75" x14ac:dyDescent="0.25">
      <c r="K254" s="19"/>
    </row>
    <row r="255" spans="11:11" ht="15.75" x14ac:dyDescent="0.25">
      <c r="K255" s="19"/>
    </row>
    <row r="256" spans="11:11" ht="15.75" x14ac:dyDescent="0.25">
      <c r="K256" s="19"/>
    </row>
    <row r="257" spans="11:11" ht="15.75" x14ac:dyDescent="0.25">
      <c r="K257" s="19"/>
    </row>
    <row r="258" spans="11:11" ht="15.75" x14ac:dyDescent="0.25">
      <c r="K258" s="19"/>
    </row>
    <row r="259" spans="11:11" ht="15.75" x14ac:dyDescent="0.25">
      <c r="K259" s="19"/>
    </row>
    <row r="260" spans="11:11" ht="15.75" x14ac:dyDescent="0.25">
      <c r="K260" s="19"/>
    </row>
    <row r="261" spans="11:11" ht="15.75" x14ac:dyDescent="0.25">
      <c r="K261" s="19"/>
    </row>
    <row r="262" spans="11:11" ht="15.75" x14ac:dyDescent="0.25">
      <c r="K262" s="19"/>
    </row>
    <row r="263" spans="11:11" ht="15.75" x14ac:dyDescent="0.25">
      <c r="K263" s="19"/>
    </row>
    <row r="264" spans="11:11" ht="15.75" x14ac:dyDescent="0.25">
      <c r="K264" s="19"/>
    </row>
    <row r="265" spans="11:11" ht="15.75" x14ac:dyDescent="0.25">
      <c r="K265" s="19"/>
    </row>
    <row r="266" spans="11:11" ht="15.75" x14ac:dyDescent="0.25">
      <c r="K266" s="19"/>
    </row>
    <row r="267" spans="11:11" ht="15.75" x14ac:dyDescent="0.25">
      <c r="K267" s="19"/>
    </row>
    <row r="268" spans="11:11" ht="15.75" x14ac:dyDescent="0.25">
      <c r="K268" s="19"/>
    </row>
    <row r="269" spans="11:11" ht="15.75" x14ac:dyDescent="0.25">
      <c r="K269" s="19"/>
    </row>
    <row r="270" spans="11:11" ht="15.75" x14ac:dyDescent="0.25">
      <c r="K270" s="19"/>
    </row>
    <row r="271" spans="11:11" ht="15.75" x14ac:dyDescent="0.25">
      <c r="K271" s="19"/>
    </row>
    <row r="272" spans="11:11" ht="15.75" x14ac:dyDescent="0.25">
      <c r="K272" s="19"/>
    </row>
    <row r="273" spans="11:11" ht="15.75" x14ac:dyDescent="0.25">
      <c r="K273" s="19"/>
    </row>
    <row r="274" spans="11:11" ht="15.75" x14ac:dyDescent="0.25">
      <c r="K274" s="19"/>
    </row>
    <row r="275" spans="11:11" ht="15.75" x14ac:dyDescent="0.25">
      <c r="K275" s="19"/>
    </row>
    <row r="276" spans="11:11" ht="15.75" x14ac:dyDescent="0.25">
      <c r="K276" s="19"/>
    </row>
    <row r="277" spans="11:11" ht="15.75" x14ac:dyDescent="0.25">
      <c r="K277" s="19"/>
    </row>
    <row r="278" spans="11:11" ht="15.75" x14ac:dyDescent="0.25">
      <c r="K278" s="19"/>
    </row>
    <row r="279" spans="11:11" ht="15.75" x14ac:dyDescent="0.25">
      <c r="K279" s="19"/>
    </row>
    <row r="280" spans="11:11" ht="15.75" x14ac:dyDescent="0.25">
      <c r="K280" s="19"/>
    </row>
    <row r="281" spans="11:11" ht="15.75" x14ac:dyDescent="0.25">
      <c r="K281" s="19"/>
    </row>
    <row r="282" spans="11:11" ht="15.75" x14ac:dyDescent="0.25">
      <c r="K282" s="19"/>
    </row>
    <row r="283" spans="11:11" ht="15.75" x14ac:dyDescent="0.25">
      <c r="K283" s="19"/>
    </row>
    <row r="284" spans="11:11" ht="15.75" x14ac:dyDescent="0.25">
      <c r="K284" s="19"/>
    </row>
    <row r="285" spans="11:11" ht="15.75" x14ac:dyDescent="0.25">
      <c r="K285" s="19"/>
    </row>
    <row r="286" spans="11:11" ht="15.75" x14ac:dyDescent="0.25">
      <c r="K286" s="19"/>
    </row>
    <row r="287" spans="11:11" ht="15.75" x14ac:dyDescent="0.25">
      <c r="K287" s="19"/>
    </row>
    <row r="288" spans="11:11" ht="15.75" x14ac:dyDescent="0.25">
      <c r="K288" s="19"/>
    </row>
    <row r="289" spans="11:11" ht="15.75" x14ac:dyDescent="0.25">
      <c r="K289" s="19"/>
    </row>
    <row r="290" spans="11:11" ht="15.75" x14ac:dyDescent="0.25">
      <c r="K290" s="19"/>
    </row>
    <row r="291" spans="11:11" ht="15.75" x14ac:dyDescent="0.25">
      <c r="K291" s="19"/>
    </row>
    <row r="292" spans="11:11" ht="15.75" x14ac:dyDescent="0.25">
      <c r="K292" s="19"/>
    </row>
    <row r="293" spans="11:11" ht="15.75" x14ac:dyDescent="0.25">
      <c r="K293" s="19"/>
    </row>
    <row r="294" spans="11:11" ht="15.75" x14ac:dyDescent="0.25">
      <c r="K294" s="19"/>
    </row>
    <row r="295" spans="11:11" ht="15.75" x14ac:dyDescent="0.25">
      <c r="K295" s="19"/>
    </row>
    <row r="296" spans="11:11" ht="15.75" x14ac:dyDescent="0.25">
      <c r="K296" s="19"/>
    </row>
    <row r="297" spans="11:11" ht="15.75" x14ac:dyDescent="0.25">
      <c r="K297" s="19"/>
    </row>
    <row r="298" spans="11:11" ht="15.75" x14ac:dyDescent="0.25">
      <c r="K298" s="19"/>
    </row>
    <row r="299" spans="11:11" ht="15.75" x14ac:dyDescent="0.25">
      <c r="K299" s="19"/>
    </row>
    <row r="300" spans="11:11" ht="15.75" x14ac:dyDescent="0.25">
      <c r="K300" s="19"/>
    </row>
    <row r="301" spans="11:11" ht="15.75" x14ac:dyDescent="0.25">
      <c r="K301" s="19"/>
    </row>
    <row r="302" spans="11:11" ht="15.75" x14ac:dyDescent="0.25">
      <c r="K302" s="19"/>
    </row>
    <row r="303" spans="11:11" ht="15.75" x14ac:dyDescent="0.25">
      <c r="K303" s="19"/>
    </row>
    <row r="304" spans="11:11" ht="15.75" x14ac:dyDescent="0.25">
      <c r="K304" s="19"/>
    </row>
    <row r="305" spans="11:11" ht="15.75" x14ac:dyDescent="0.25">
      <c r="K305" s="19"/>
    </row>
    <row r="306" spans="11:11" ht="15.75" x14ac:dyDescent="0.25">
      <c r="K306" s="19"/>
    </row>
    <row r="307" spans="11:11" ht="15.75" x14ac:dyDescent="0.25">
      <c r="K307" s="19"/>
    </row>
    <row r="308" spans="11:11" ht="15.75" x14ac:dyDescent="0.25">
      <c r="K308" s="19"/>
    </row>
    <row r="309" spans="11:11" ht="15.75" x14ac:dyDescent="0.25">
      <c r="K309" s="19"/>
    </row>
    <row r="310" spans="11:11" ht="15.75" x14ac:dyDescent="0.25">
      <c r="K310" s="19"/>
    </row>
    <row r="311" spans="11:11" ht="15.75" x14ac:dyDescent="0.25">
      <c r="K311" s="19"/>
    </row>
    <row r="312" spans="11:11" ht="15.75" x14ac:dyDescent="0.25">
      <c r="K312" s="19"/>
    </row>
    <row r="313" spans="11:11" ht="15.75" x14ac:dyDescent="0.25">
      <c r="K313" s="19"/>
    </row>
    <row r="314" spans="11:11" ht="15.75" x14ac:dyDescent="0.25">
      <c r="K314" s="19"/>
    </row>
    <row r="315" spans="11:11" ht="15.75" x14ac:dyDescent="0.25">
      <c r="K315" s="19"/>
    </row>
    <row r="316" spans="11:11" ht="15.75" x14ac:dyDescent="0.25">
      <c r="K316" s="19"/>
    </row>
    <row r="317" spans="11:11" ht="15.75" x14ac:dyDescent="0.25">
      <c r="K317" s="19"/>
    </row>
    <row r="318" spans="11:11" ht="15.75" x14ac:dyDescent="0.25">
      <c r="K318" s="19"/>
    </row>
    <row r="319" spans="11:11" ht="15.75" x14ac:dyDescent="0.25">
      <c r="K319" s="19"/>
    </row>
    <row r="320" spans="11:11" ht="15.75" x14ac:dyDescent="0.25">
      <c r="K320" s="19"/>
    </row>
    <row r="321" spans="11:11" ht="15.75" x14ac:dyDescent="0.25">
      <c r="K321" s="19"/>
    </row>
    <row r="322" spans="11:11" ht="15.75" x14ac:dyDescent="0.25">
      <c r="K322" s="19"/>
    </row>
    <row r="323" spans="11:11" ht="15.75" x14ac:dyDescent="0.25">
      <c r="K323" s="19"/>
    </row>
    <row r="324" spans="11:11" ht="15.75" x14ac:dyDescent="0.25">
      <c r="K324" s="19"/>
    </row>
    <row r="325" spans="11:11" ht="15.75" x14ac:dyDescent="0.25">
      <c r="K325" s="19"/>
    </row>
    <row r="326" spans="11:11" ht="15.75" x14ac:dyDescent="0.25">
      <c r="K326" s="19"/>
    </row>
    <row r="327" spans="11:11" ht="15.75" x14ac:dyDescent="0.25">
      <c r="K327" s="19"/>
    </row>
    <row r="328" spans="11:11" ht="15.75" x14ac:dyDescent="0.25">
      <c r="K328" s="19"/>
    </row>
    <row r="329" spans="11:11" ht="15.75" x14ac:dyDescent="0.25">
      <c r="K329" s="19"/>
    </row>
    <row r="330" spans="11:11" ht="15.75" x14ac:dyDescent="0.25">
      <c r="K330" s="19"/>
    </row>
    <row r="331" spans="11:11" ht="15.75" x14ac:dyDescent="0.25">
      <c r="K331" s="19"/>
    </row>
    <row r="332" spans="11:11" ht="15.75" x14ac:dyDescent="0.25">
      <c r="K332" s="19"/>
    </row>
    <row r="333" spans="11:11" ht="15.75" x14ac:dyDescent="0.25">
      <c r="K333" s="19"/>
    </row>
    <row r="334" spans="11:11" ht="15.75" x14ac:dyDescent="0.25">
      <c r="K334" s="19"/>
    </row>
    <row r="335" spans="11:11" ht="15.75" x14ac:dyDescent="0.25">
      <c r="K335" s="19"/>
    </row>
    <row r="336" spans="11:11" ht="15.75" x14ac:dyDescent="0.25">
      <c r="K336" s="19"/>
    </row>
    <row r="337" spans="11:11" ht="15.75" x14ac:dyDescent="0.25">
      <c r="K337" s="19"/>
    </row>
    <row r="338" spans="11:11" ht="15.75" x14ac:dyDescent="0.25">
      <c r="K338" s="19"/>
    </row>
    <row r="339" spans="11:11" ht="15.75" x14ac:dyDescent="0.25">
      <c r="K339" s="19"/>
    </row>
    <row r="340" spans="11:11" ht="15.75" x14ac:dyDescent="0.25">
      <c r="K340" s="19"/>
    </row>
    <row r="341" spans="11:11" ht="15.75" x14ac:dyDescent="0.25">
      <c r="K341" s="19"/>
    </row>
    <row r="342" spans="11:11" ht="15.75" x14ac:dyDescent="0.25">
      <c r="K342" s="19"/>
    </row>
    <row r="343" spans="11:11" ht="15.75" x14ac:dyDescent="0.25">
      <c r="K343" s="19"/>
    </row>
    <row r="344" spans="11:11" x14ac:dyDescent="0.25">
      <c r="K344" s="44"/>
    </row>
    <row r="345" spans="11:11" ht="15.75" x14ac:dyDescent="0.25">
      <c r="K345" s="19"/>
    </row>
    <row r="346" spans="11:11" ht="15.75" x14ac:dyDescent="0.25">
      <c r="K346" s="19"/>
    </row>
    <row r="347" spans="11:11" ht="15.75" x14ac:dyDescent="0.25">
      <c r="K347" s="19"/>
    </row>
    <row r="348" spans="11:11" ht="15.75" x14ac:dyDescent="0.25">
      <c r="K348" s="19"/>
    </row>
    <row r="349" spans="11:11" ht="15.75" x14ac:dyDescent="0.25">
      <c r="K349" s="19"/>
    </row>
    <row r="350" spans="11:11" ht="15.75" x14ac:dyDescent="0.25">
      <c r="K350" s="19"/>
    </row>
    <row r="351" spans="11:11" ht="15.75" x14ac:dyDescent="0.25">
      <c r="K351" s="19"/>
    </row>
    <row r="352" spans="11:11" ht="15.75" x14ac:dyDescent="0.25">
      <c r="K352" s="19"/>
    </row>
    <row r="353" spans="11:11" ht="15.75" x14ac:dyDescent="0.25">
      <c r="K353" s="19"/>
    </row>
    <row r="354" spans="11:11" ht="15.75" x14ac:dyDescent="0.25">
      <c r="K354" s="19"/>
    </row>
    <row r="355" spans="11:11" ht="15.75" x14ac:dyDescent="0.25">
      <c r="K355" s="19"/>
    </row>
    <row r="356" spans="11:11" ht="15.75" x14ac:dyDescent="0.25">
      <c r="K356" s="19"/>
    </row>
    <row r="357" spans="11:11" ht="15.75" x14ac:dyDescent="0.25">
      <c r="K357" s="19"/>
    </row>
    <row r="358" spans="11:11" ht="15.75" x14ac:dyDescent="0.25">
      <c r="K358" s="19"/>
    </row>
    <row r="359" spans="11:11" ht="15.75" x14ac:dyDescent="0.25">
      <c r="K359" s="19"/>
    </row>
    <row r="360" spans="11:11" ht="15.75" x14ac:dyDescent="0.25">
      <c r="K360" s="19"/>
    </row>
    <row r="361" spans="11:11" ht="15.75" x14ac:dyDescent="0.25">
      <c r="K361" s="19"/>
    </row>
    <row r="362" spans="11:11" ht="15.75" x14ac:dyDescent="0.25">
      <c r="K362" s="19"/>
    </row>
    <row r="363" spans="11:11" ht="15.75" x14ac:dyDescent="0.25">
      <c r="K363" s="19"/>
    </row>
    <row r="364" spans="11:11" ht="15.75" x14ac:dyDescent="0.25">
      <c r="K364" s="19"/>
    </row>
    <row r="365" spans="11:11" ht="15.75" x14ac:dyDescent="0.25">
      <c r="K365" s="19"/>
    </row>
    <row r="366" spans="11:11" ht="15.75" x14ac:dyDescent="0.25">
      <c r="K366" s="19"/>
    </row>
    <row r="367" spans="11:11" ht="15.75" x14ac:dyDescent="0.25">
      <c r="K367" s="19"/>
    </row>
    <row r="368" spans="11:11" ht="15.75" x14ac:dyDescent="0.25">
      <c r="K368" s="19"/>
    </row>
    <row r="369" spans="11:11" ht="15.75" x14ac:dyDescent="0.25">
      <c r="K369" s="19"/>
    </row>
    <row r="370" spans="11:11" ht="15.75" x14ac:dyDescent="0.25">
      <c r="K370" s="19"/>
    </row>
    <row r="371" spans="11:11" ht="15.75" x14ac:dyDescent="0.25">
      <c r="K371" s="19"/>
    </row>
    <row r="372" spans="11:11" ht="15.75" x14ac:dyDescent="0.25">
      <c r="K372" s="19"/>
    </row>
    <row r="373" spans="11:11" ht="15.75" x14ac:dyDescent="0.25">
      <c r="K373" s="19"/>
    </row>
    <row r="374" spans="11:11" ht="15.75" x14ac:dyDescent="0.25">
      <c r="K374" s="19"/>
    </row>
    <row r="375" spans="11:11" ht="15.75" x14ac:dyDescent="0.25">
      <c r="K375" s="19"/>
    </row>
    <row r="376" spans="11:11" ht="15.75" x14ac:dyDescent="0.25">
      <c r="K376" s="19"/>
    </row>
    <row r="377" spans="11:11" ht="15.75" x14ac:dyDescent="0.25">
      <c r="K377" s="19"/>
    </row>
    <row r="378" spans="11:11" ht="15.75" x14ac:dyDescent="0.25">
      <c r="K378" s="19"/>
    </row>
    <row r="379" spans="11:11" ht="15.75" x14ac:dyDescent="0.25">
      <c r="K379" s="19"/>
    </row>
    <row r="380" spans="11:11" ht="15.75" x14ac:dyDescent="0.25">
      <c r="K380" s="19"/>
    </row>
    <row r="381" spans="11:11" ht="15.75" x14ac:dyDescent="0.25">
      <c r="K381" s="19"/>
    </row>
    <row r="382" spans="11:11" ht="15.75" x14ac:dyDescent="0.25">
      <c r="K382" s="19"/>
    </row>
  </sheetData>
  <conditionalFormatting sqref="K205:O216">
    <cfRule type="expression" dxfId="3" priority="9">
      <formula>ROW(M93)=HighlightRow</formula>
    </cfRule>
  </conditionalFormatting>
  <conditionalFormatting sqref="P205:Q216">
    <cfRule type="expression" dxfId="2" priority="13">
      <formula>ROW(S93)=HighlightRow</formula>
    </cfRule>
  </conditionalFormatting>
  <conditionalFormatting sqref="S105:XFD105">
    <cfRule type="expression" dxfId="1" priority="14">
      <formula>ROW(T94)=HighlightRow</formula>
    </cfRule>
  </conditionalFormatting>
  <conditionalFormatting sqref="S106:XFD114">
    <cfRule type="expression" dxfId="0" priority="11">
      <formula>ROW(T96)=HighlightRow</formula>
    </cfRule>
  </conditionalFormatting>
  <pageMargins left="0.7" right="0.7" top="0.75" bottom="0.75" header="0.3" footer="0.3"/>
  <pageSetup paperSize="9" scale="25" fitToHeight="0" orientation="portrait" horizontalDpi="0" verticalDpi="0" copies="2" r:id="rId1"/>
  <ignoredErrors>
    <ignoredError sqref="H2 H190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D1370" zoomScaleNormal="100" workbookViewId="0">
      <selection activeCell="H1383" sqref="H138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6451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5297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/>
      <c r="U795" s="36"/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6442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6451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6879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6451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6712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5070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5071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5072</v>
      </c>
      <c r="I1117" s="37" t="s">
        <v>5073</v>
      </c>
      <c r="J1117" s="37" t="s">
        <v>5074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5075</v>
      </c>
      <c r="I1118" s="37" t="s">
        <v>5076</v>
      </c>
      <c r="J1118" s="37" t="s">
        <v>5077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5078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5079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5080</v>
      </c>
      <c r="I1119" s="37" t="s">
        <v>5081</v>
      </c>
      <c r="J1119" s="37" t="s">
        <v>5082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5078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5083</v>
      </c>
      <c r="I1120" s="37" t="s">
        <v>5084</v>
      </c>
      <c r="J1120" s="37" t="s">
        <v>5085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5078</v>
      </c>
      <c r="P1120" s="37"/>
      <c r="Q1120" s="38">
        <v>252844711231</v>
      </c>
      <c r="R1120" s="37" t="s">
        <v>5086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5087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5088</v>
      </c>
      <c r="I1121" s="37" t="s">
        <v>5089</v>
      </c>
      <c r="J1121" s="37" t="s">
        <v>5090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5091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5092</v>
      </c>
      <c r="I1122" s="37" t="s">
        <v>5093</v>
      </c>
      <c r="J1122" s="37" t="s">
        <v>5094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5078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5095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5096</v>
      </c>
      <c r="I1123" s="37" t="s">
        <v>5097</v>
      </c>
      <c r="J1123" s="37" t="s">
        <v>5098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5099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5100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5101</v>
      </c>
      <c r="I1125" s="37" t="s">
        <v>5102</v>
      </c>
      <c r="J1125" s="37" t="s">
        <v>5103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5104</v>
      </c>
      <c r="D1126" s="37" t="s">
        <v>341</v>
      </c>
      <c r="E1126" s="37" t="s">
        <v>5105</v>
      </c>
      <c r="F1126" s="37" t="s">
        <v>391</v>
      </c>
      <c r="G1126" s="37" t="s">
        <v>343</v>
      </c>
      <c r="H1126" s="37" t="s">
        <v>5106</v>
      </c>
      <c r="I1126" s="37" t="s">
        <v>5107</v>
      </c>
      <c r="J1126" s="37" t="s">
        <v>5108</v>
      </c>
      <c r="K1126" s="37">
        <v>82084</v>
      </c>
      <c r="L1126" s="37">
        <v>600</v>
      </c>
      <c r="M1126" s="37" t="s">
        <v>432</v>
      </c>
      <c r="N1126" s="37"/>
      <c r="O1126" s="37" t="s">
        <v>5078</v>
      </c>
      <c r="P1126" s="37"/>
      <c r="Q1126" s="38">
        <v>252844713677</v>
      </c>
      <c r="R1126" s="37" t="s">
        <v>6498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5109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5110</v>
      </c>
      <c r="I1127" s="37" t="s">
        <v>5111</v>
      </c>
      <c r="J1127" s="37" t="s">
        <v>5112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5113</v>
      </c>
      <c r="I1128" s="37" t="s">
        <v>5114</v>
      </c>
      <c r="J1128" s="37" t="s">
        <v>5115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5116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5117</v>
      </c>
      <c r="I1129" s="37" t="s">
        <v>5118</v>
      </c>
      <c r="J1129" s="37" t="s">
        <v>5119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5120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5121</v>
      </c>
      <c r="I1130" s="37" t="s">
        <v>5122</v>
      </c>
      <c r="J1130" s="37" t="s">
        <v>5123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5124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5125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5126</v>
      </c>
      <c r="I1131" s="37" t="s">
        <v>5127</v>
      </c>
      <c r="J1131" s="37" t="s">
        <v>5128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5129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5130</v>
      </c>
      <c r="I1132" s="37" t="s">
        <v>5131</v>
      </c>
      <c r="J1132" s="37" t="s">
        <v>5132</v>
      </c>
      <c r="K1132" s="37"/>
      <c r="L1132" s="37">
        <v>600</v>
      </c>
      <c r="M1132" s="37" t="s">
        <v>432</v>
      </c>
      <c r="N1132" s="37"/>
      <c r="O1132" s="37" t="s">
        <v>5133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5134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5135</v>
      </c>
      <c r="I1133" s="37" t="s">
        <v>5136</v>
      </c>
      <c r="J1133" s="37" t="s">
        <v>5137</v>
      </c>
      <c r="K1133" s="37"/>
      <c r="L1133" s="37">
        <v>600</v>
      </c>
      <c r="M1133" s="37" t="s">
        <v>432</v>
      </c>
      <c r="N1133" s="37"/>
      <c r="O1133" s="37" t="s">
        <v>5133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5138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5139</v>
      </c>
      <c r="I1134" s="37" t="s">
        <v>5140</v>
      </c>
      <c r="J1134" s="37" t="s">
        <v>5141</v>
      </c>
      <c r="K1134" s="37"/>
      <c r="L1134" s="37">
        <v>600</v>
      </c>
      <c r="M1134" s="37" t="s">
        <v>432</v>
      </c>
      <c r="N1134" s="37"/>
      <c r="O1134" s="37" t="s">
        <v>5133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5142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5143</v>
      </c>
      <c r="I1135" s="37" t="s">
        <v>5144</v>
      </c>
      <c r="J1135" s="37" t="s">
        <v>5145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5146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5147</v>
      </c>
      <c r="I1136" s="37" t="s">
        <v>5148</v>
      </c>
      <c r="J1136" s="37" t="s">
        <v>5149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5150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5151</v>
      </c>
      <c r="I1137" s="37" t="s">
        <v>5152</v>
      </c>
      <c r="J1137" s="37" t="s">
        <v>5153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5154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5155</v>
      </c>
      <c r="I1138" s="37" t="s">
        <v>5156</v>
      </c>
      <c r="J1138" s="37" t="s">
        <v>5157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5158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5159</v>
      </c>
      <c r="I1139" s="37" t="s">
        <v>5160</v>
      </c>
      <c r="J1139" s="37" t="s">
        <v>5161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5162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5163</v>
      </c>
      <c r="I1140" s="37" t="s">
        <v>5164</v>
      </c>
      <c r="J1140" s="37" t="s">
        <v>5165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5166</v>
      </c>
      <c r="I1141" s="37" t="s">
        <v>5167</v>
      </c>
      <c r="J1141" s="37" t="s">
        <v>5168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5169</v>
      </c>
      <c r="D1142" s="37" t="s">
        <v>398</v>
      </c>
      <c r="E1142" s="37"/>
      <c r="F1142" s="37" t="s">
        <v>502</v>
      </c>
      <c r="G1142" s="37" t="s">
        <v>343</v>
      </c>
      <c r="H1142" s="37" t="s">
        <v>5170</v>
      </c>
      <c r="I1142" s="37" t="s">
        <v>5171</v>
      </c>
      <c r="J1142" s="37" t="s">
        <v>5172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5173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5174</v>
      </c>
      <c r="I1143" s="37" t="s">
        <v>5175</v>
      </c>
      <c r="J1143" s="37" t="s">
        <v>5176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5177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5178</v>
      </c>
      <c r="I1144" s="37" t="s">
        <v>5179</v>
      </c>
      <c r="J1144" s="37" t="s">
        <v>5180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5181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5182</v>
      </c>
      <c r="I1145" s="37" t="s">
        <v>5183</v>
      </c>
      <c r="J1145" s="37" t="s">
        <v>5184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5185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5186</v>
      </c>
      <c r="I1146" s="37" t="s">
        <v>5187</v>
      </c>
      <c r="J1146" s="37" t="s">
        <v>5188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5189</v>
      </c>
      <c r="D1147" s="37" t="s">
        <v>398</v>
      </c>
      <c r="E1147" s="37"/>
      <c r="F1147" s="37" t="s">
        <v>358</v>
      </c>
      <c r="G1147" s="37" t="s">
        <v>343</v>
      </c>
      <c r="H1147" s="37" t="s">
        <v>5190</v>
      </c>
      <c r="I1147" s="37" t="s">
        <v>5191</v>
      </c>
      <c r="J1147" s="37" t="s">
        <v>5192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5193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5194</v>
      </c>
      <c r="I1148" s="37" t="s">
        <v>5195</v>
      </c>
      <c r="J1148" s="37" t="s">
        <v>5196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5197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5198</v>
      </c>
      <c r="I1149" s="37" t="s">
        <v>5199</v>
      </c>
      <c r="J1149" s="37" t="s">
        <v>5200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5201</v>
      </c>
      <c r="I1150" s="37" t="s">
        <v>5202</v>
      </c>
      <c r="J1150" s="37" t="s">
        <v>5203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5204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5205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5206</v>
      </c>
      <c r="I1151" s="37" t="s">
        <v>5207</v>
      </c>
      <c r="J1151" s="37" t="s">
        <v>5208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5209</v>
      </c>
      <c r="D1152" s="37" t="s">
        <v>398</v>
      </c>
      <c r="E1152" s="37"/>
      <c r="F1152" s="37" t="s">
        <v>358</v>
      </c>
      <c r="G1152" s="37" t="s">
        <v>343</v>
      </c>
      <c r="H1152" s="37" t="s">
        <v>5210</v>
      </c>
      <c r="I1152" s="37" t="s">
        <v>5211</v>
      </c>
      <c r="J1152" s="37" t="s">
        <v>5212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5213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5214</v>
      </c>
      <c r="I1153" s="37" t="s">
        <v>5215</v>
      </c>
      <c r="J1153" s="37" t="s">
        <v>5216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5217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5218</v>
      </c>
      <c r="I1154" s="37" t="s">
        <v>5219</v>
      </c>
      <c r="J1154" s="37" t="s">
        <v>5220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5221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5222</v>
      </c>
      <c r="I1155" s="37" t="s">
        <v>5223</v>
      </c>
      <c r="J1155" s="37" t="s">
        <v>5224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5225</v>
      </c>
      <c r="G1156" s="37" t="s">
        <v>1385</v>
      </c>
      <c r="H1156" s="37" t="s">
        <v>5226</v>
      </c>
      <c r="I1156" s="37" t="s">
        <v>5227</v>
      </c>
      <c r="J1156" s="37" t="s">
        <v>5228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5229</v>
      </c>
      <c r="I1157" s="37" t="s">
        <v>5230</v>
      </c>
      <c r="J1157" s="37" t="s">
        <v>5231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5232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5233</v>
      </c>
      <c r="I1158" s="37" t="s">
        <v>5234</v>
      </c>
      <c r="J1158" s="37" t="s">
        <v>5235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5236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5237</v>
      </c>
      <c r="I1159" s="37" t="s">
        <v>5238</v>
      </c>
      <c r="J1159" s="37" t="s">
        <v>5239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5240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5241</v>
      </c>
      <c r="I1160" s="37" t="s">
        <v>5242</v>
      </c>
      <c r="J1160" s="37" t="s">
        <v>5243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5244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5245</v>
      </c>
      <c r="I1161" s="37" t="s">
        <v>5246</v>
      </c>
      <c r="J1161" s="37" t="s">
        <v>5247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5248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5249</v>
      </c>
      <c r="I1162" s="37" t="s">
        <v>5250</v>
      </c>
      <c r="J1162" s="37" t="s">
        <v>5251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5252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5253</v>
      </c>
      <c r="I1163" s="37" t="s">
        <v>5254</v>
      </c>
      <c r="J1163" s="37" t="s">
        <v>5255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5256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5257</v>
      </c>
      <c r="I1164" s="37" t="s">
        <v>5258</v>
      </c>
      <c r="J1164" s="37" t="s">
        <v>5259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5260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5261</v>
      </c>
      <c r="I1165" s="37" t="s">
        <v>5262</v>
      </c>
      <c r="J1165" s="37" t="s">
        <v>5263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5264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5265</v>
      </c>
      <c r="I1166" s="37" t="s">
        <v>5266</v>
      </c>
      <c r="J1166" s="37" t="s">
        <v>5267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5268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5269</v>
      </c>
      <c r="I1167" s="37" t="s">
        <v>5270</v>
      </c>
      <c r="J1167" s="37" t="s">
        <v>5271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5272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5273</v>
      </c>
      <c r="I1168" s="37" t="s">
        <v>5274</v>
      </c>
      <c r="J1168" s="37" t="s">
        <v>5275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5276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5277</v>
      </c>
      <c r="I1169" s="37" t="s">
        <v>5278</v>
      </c>
      <c r="J1169" s="37" t="s">
        <v>5279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5280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5281</v>
      </c>
      <c r="I1170" s="37" t="s">
        <v>5282</v>
      </c>
      <c r="J1170" s="37" t="s">
        <v>5283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5284</v>
      </c>
      <c r="I1171" s="37" t="s">
        <v>5285</v>
      </c>
      <c r="J1171" s="37" t="s">
        <v>5286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6442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5287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5288</v>
      </c>
      <c r="I1172" s="37" t="s">
        <v>5289</v>
      </c>
      <c r="J1172" s="37" t="s">
        <v>5290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5291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5292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5293</v>
      </c>
      <c r="I1173" s="37" t="s">
        <v>5294</v>
      </c>
      <c r="J1173" s="37" t="s">
        <v>5295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5296</v>
      </c>
      <c r="K1174" s="37">
        <v>59543</v>
      </c>
      <c r="L1174" s="37">
        <v>600</v>
      </c>
      <c r="M1174" s="37" t="s">
        <v>432</v>
      </c>
      <c r="N1174" s="37" t="s">
        <v>6452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5298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5299</v>
      </c>
      <c r="I1175" s="37" t="s">
        <v>5300</v>
      </c>
      <c r="J1175" s="37" t="s">
        <v>5301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5302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5303</v>
      </c>
      <c r="I1176" s="37" t="s">
        <v>5304</v>
      </c>
      <c r="J1176" s="37" t="s">
        <v>5305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5306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5307</v>
      </c>
      <c r="I1177" s="37" t="s">
        <v>5308</v>
      </c>
      <c r="J1177" s="37" t="s">
        <v>5309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5310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5311</v>
      </c>
      <c r="I1178" s="37" t="s">
        <v>5312</v>
      </c>
      <c r="J1178" s="37" t="s">
        <v>5313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5314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5315</v>
      </c>
      <c r="I1179" s="37" t="s">
        <v>5316</v>
      </c>
      <c r="J1179" s="37" t="s">
        <v>5317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5318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5319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5320</v>
      </c>
      <c r="I1180" s="37" t="s">
        <v>5321</v>
      </c>
      <c r="J1180" s="37" t="s">
        <v>5322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5323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5324</v>
      </c>
      <c r="I1181" s="37" t="s">
        <v>5325</v>
      </c>
      <c r="J1181" s="37" t="s">
        <v>5326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5327</v>
      </c>
      <c r="I1182" s="37" t="s">
        <v>5328</v>
      </c>
      <c r="J1182" s="37" t="s">
        <v>5329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5330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5331</v>
      </c>
      <c r="I1183" s="37" t="s">
        <v>5332</v>
      </c>
      <c r="J1183" s="37" t="s">
        <v>5333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5334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5335</v>
      </c>
      <c r="I1184" s="37" t="s">
        <v>5336</v>
      </c>
      <c r="J1184" s="37" t="s">
        <v>5337</v>
      </c>
      <c r="K1184" s="37">
        <v>70654</v>
      </c>
      <c r="L1184" s="37">
        <v>600</v>
      </c>
      <c r="M1184" s="37" t="s">
        <v>432</v>
      </c>
      <c r="N1184" s="37" t="s">
        <v>6452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5338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5339</v>
      </c>
      <c r="I1185" s="37" t="s">
        <v>5340</v>
      </c>
      <c r="J1185" s="37" t="s">
        <v>5341</v>
      </c>
      <c r="K1185" s="37">
        <v>71438</v>
      </c>
      <c r="L1185" s="37">
        <v>600</v>
      </c>
      <c r="M1185" s="37" t="s">
        <v>432</v>
      </c>
      <c r="N1185" s="37" t="s">
        <v>6452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5342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5343</v>
      </c>
      <c r="I1186" s="37" t="s">
        <v>5344</v>
      </c>
      <c r="J1186" s="37" t="s">
        <v>5345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5346</v>
      </c>
      <c r="I1187" s="37" t="s">
        <v>5347</v>
      </c>
      <c r="J1187" s="37" t="s">
        <v>5348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5349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5350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5351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5352</v>
      </c>
      <c r="I1189" s="37" t="s">
        <v>5353</v>
      </c>
      <c r="J1189" s="37" t="s">
        <v>5354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5355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5356</v>
      </c>
      <c r="I1190" s="37" t="s">
        <v>5357</v>
      </c>
      <c r="J1190" s="37" t="s">
        <v>5358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5359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5360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5361</v>
      </c>
      <c r="I1191" s="37" t="s">
        <v>5362</v>
      </c>
      <c r="J1191" s="37" t="s">
        <v>5363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5364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5365</v>
      </c>
      <c r="I1192" s="37" t="s">
        <v>5366</v>
      </c>
      <c r="J1192" s="37" t="s">
        <v>5367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5368</v>
      </c>
      <c r="I1193" s="37" t="s">
        <v>5369</v>
      </c>
      <c r="J1193" s="37" t="s">
        <v>5370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5371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5372</v>
      </c>
      <c r="I1194" s="37" t="s">
        <v>5373</v>
      </c>
      <c r="J1194" s="37" t="s">
        <v>5374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5375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5376</v>
      </c>
      <c r="I1195" s="37" t="s">
        <v>5375</v>
      </c>
      <c r="J1195" s="37" t="s">
        <v>5377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5378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5379</v>
      </c>
      <c r="I1196" s="37" t="s">
        <v>5380</v>
      </c>
      <c r="J1196" s="37" t="s">
        <v>5381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5382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5383</v>
      </c>
      <c r="I1197" s="37" t="s">
        <v>5384</v>
      </c>
      <c r="J1197" s="37" t="s">
        <v>5385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5386</v>
      </c>
      <c r="I1198" s="37" t="s">
        <v>5387</v>
      </c>
      <c r="J1198" s="37" t="s">
        <v>5388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5389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5390</v>
      </c>
      <c r="I1199" s="37" t="s">
        <v>5391</v>
      </c>
      <c r="J1199" s="37" t="s">
        <v>5392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5393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5394</v>
      </c>
      <c r="I1200" s="37" t="s">
        <v>5395</v>
      </c>
      <c r="J1200" s="37" t="s">
        <v>5396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5397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5398</v>
      </c>
      <c r="I1201" s="37" t="s">
        <v>5399</v>
      </c>
      <c r="J1201" s="37" t="s">
        <v>5400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5401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5402</v>
      </c>
      <c r="I1202" s="37" t="s">
        <v>5403</v>
      </c>
      <c r="J1202" s="37" t="s">
        <v>5402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5404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5405</v>
      </c>
      <c r="I1203" s="37" t="s">
        <v>5406</v>
      </c>
      <c r="J1203" s="37" t="s">
        <v>5407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5408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5409</v>
      </c>
      <c r="I1204" s="37" t="s">
        <v>5410</v>
      </c>
      <c r="J1204" s="37" t="s">
        <v>5411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5412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5413</v>
      </c>
      <c r="I1205" s="37" t="s">
        <v>5414</v>
      </c>
      <c r="J1205" s="37" t="s">
        <v>5413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5415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5416</v>
      </c>
      <c r="I1206" s="37" t="s">
        <v>5417</v>
      </c>
      <c r="J1206" s="37" t="s">
        <v>5416</v>
      </c>
      <c r="K1206" s="37">
        <v>63788</v>
      </c>
      <c r="L1206" s="37">
        <v>600</v>
      </c>
      <c r="M1206" s="37" t="s">
        <v>432</v>
      </c>
      <c r="N1206" s="37" t="s">
        <v>6452</v>
      </c>
      <c r="O1206" s="37" t="s">
        <v>349</v>
      </c>
      <c r="P1206" s="37"/>
      <c r="Q1206" s="38">
        <v>252885641288</v>
      </c>
      <c r="R1206" s="37" t="s">
        <v>126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5418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5419</v>
      </c>
      <c r="I1207" s="37" t="s">
        <v>5420</v>
      </c>
      <c r="J1207" s="37" t="s">
        <v>5421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5422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5423</v>
      </c>
      <c r="I1208" s="37" t="s">
        <v>5424</v>
      </c>
      <c r="J1208" s="37" t="s">
        <v>5425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5318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5426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5427</v>
      </c>
      <c r="I1209" s="37" t="s">
        <v>5428</v>
      </c>
      <c r="J1209" s="37" t="s">
        <v>5429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5430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5431</v>
      </c>
      <c r="I1210" s="37" t="s">
        <v>5432</v>
      </c>
      <c r="J1210" s="37" t="s">
        <v>5433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5434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5435</v>
      </c>
      <c r="I1211" s="37" t="s">
        <v>5436</v>
      </c>
      <c r="J1211" s="37" t="s">
        <v>5437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5438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5439</v>
      </c>
      <c r="I1212" s="37" t="s">
        <v>5440</v>
      </c>
      <c r="J1212" s="37" t="s">
        <v>5441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5442</v>
      </c>
      <c r="I1213" s="37" t="s">
        <v>5443</v>
      </c>
      <c r="J1213" s="37" t="s">
        <v>5444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5445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5446</v>
      </c>
      <c r="I1214" s="37" t="s">
        <v>5447</v>
      </c>
      <c r="J1214" s="37" t="s">
        <v>5447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5448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5449</v>
      </c>
      <c r="I1215" s="37" t="s">
        <v>5450</v>
      </c>
      <c r="J1215" s="37" t="s">
        <v>5451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5452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5453</v>
      </c>
      <c r="I1216" s="37" t="s">
        <v>5454</v>
      </c>
      <c r="J1216" s="37" t="s">
        <v>5455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5456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5457</v>
      </c>
      <c r="I1217" s="37" t="s">
        <v>5458</v>
      </c>
      <c r="J1217" s="37" t="s">
        <v>5459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5460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5461</v>
      </c>
      <c r="I1218" s="37" t="s">
        <v>5462</v>
      </c>
      <c r="J1218" s="37" t="s">
        <v>5463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5464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5465</v>
      </c>
      <c r="I1219" s="37" t="s">
        <v>5466</v>
      </c>
      <c r="J1219" s="37" t="s">
        <v>5467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5468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5469</v>
      </c>
      <c r="I1220" s="37" t="s">
        <v>5470</v>
      </c>
      <c r="J1220" s="37" t="s">
        <v>5471</v>
      </c>
      <c r="K1220" s="37">
        <v>63338</v>
      </c>
      <c r="L1220" s="37">
        <v>600</v>
      </c>
      <c r="M1220" s="37" t="s">
        <v>432</v>
      </c>
      <c r="N1220" s="37" t="s">
        <v>5472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5473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5474</v>
      </c>
      <c r="I1221" s="37" t="s">
        <v>5475</v>
      </c>
      <c r="J1221" s="37" t="s">
        <v>5475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5476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5477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5478</v>
      </c>
      <c r="I1222" s="37" t="s">
        <v>5479</v>
      </c>
      <c r="J1222" s="37" t="s">
        <v>5480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5481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5482</v>
      </c>
      <c r="I1223" s="37" t="s">
        <v>5483</v>
      </c>
      <c r="J1223" s="37" t="s">
        <v>5484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5485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5486</v>
      </c>
      <c r="I1224" s="37" t="s">
        <v>5487</v>
      </c>
      <c r="J1224" s="37" t="s">
        <v>5488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5489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5490</v>
      </c>
      <c r="I1225" s="37" t="s">
        <v>5491</v>
      </c>
      <c r="J1225" s="37" t="s">
        <v>5492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5493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5494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5495</v>
      </c>
      <c r="I1226" s="37" t="s">
        <v>5496</v>
      </c>
      <c r="J1226" s="37" t="s">
        <v>5497</v>
      </c>
      <c r="K1226" s="37">
        <v>74552</v>
      </c>
      <c r="L1226" s="37">
        <v>600</v>
      </c>
      <c r="M1226" s="37" t="s">
        <v>432</v>
      </c>
      <c r="N1226" s="37" t="s">
        <v>5498</v>
      </c>
      <c r="O1226" s="37" t="s">
        <v>349</v>
      </c>
      <c r="P1226" s="37"/>
      <c r="Q1226" s="38">
        <v>252895843528</v>
      </c>
      <c r="R1226" s="37" t="s">
        <v>5499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5500</v>
      </c>
      <c r="K1227" s="37">
        <v>74552</v>
      </c>
      <c r="L1227" s="37">
        <v>600</v>
      </c>
      <c r="M1227" s="37" t="s">
        <v>432</v>
      </c>
      <c r="N1227" s="37" t="s">
        <v>5501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5502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5503</v>
      </c>
      <c r="I1228" s="37" t="s">
        <v>5504</v>
      </c>
      <c r="J1228" s="37" t="s">
        <v>5505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5506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5507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5508</v>
      </c>
      <c r="I1229" s="37" t="s">
        <v>5509</v>
      </c>
      <c r="J1229" s="37" t="s">
        <v>5510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5511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5512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5513</v>
      </c>
      <c r="I1231" s="37" t="s">
        <v>5514</v>
      </c>
      <c r="J1231" s="37" t="s">
        <v>5515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5516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5517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5518</v>
      </c>
      <c r="I1232" s="37" t="s">
        <v>5519</v>
      </c>
      <c r="J1232" s="37" t="s">
        <v>5520</v>
      </c>
      <c r="K1232" s="37">
        <v>99031</v>
      </c>
      <c r="L1232" s="37">
        <v>600</v>
      </c>
      <c r="M1232" s="37" t="s">
        <v>432</v>
      </c>
      <c r="N1232" s="37" t="s">
        <v>6452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5521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5522</v>
      </c>
      <c r="I1233" s="37" t="s">
        <v>5523</v>
      </c>
      <c r="J1233" s="37" t="s">
        <v>5524</v>
      </c>
      <c r="K1233" s="37" t="s">
        <v>5522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5525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5526</v>
      </c>
      <c r="I1234" s="37" t="s">
        <v>5527</v>
      </c>
      <c r="J1234" s="37" t="s">
        <v>5528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5529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5530</v>
      </c>
      <c r="I1235" s="37" t="s">
        <v>5531</v>
      </c>
      <c r="J1235" s="37" t="s">
        <v>5532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5533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5534</v>
      </c>
      <c r="I1236" s="37" t="s">
        <v>5535</v>
      </c>
      <c r="J1236" s="37" t="s">
        <v>5536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5537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5538</v>
      </c>
      <c r="I1237" s="37" t="s">
        <v>5539</v>
      </c>
      <c r="J1237" s="37" t="s">
        <v>5540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5541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5542</v>
      </c>
      <c r="I1238" s="37" t="s">
        <v>5543</v>
      </c>
      <c r="J1238" s="37" t="s">
        <v>5544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5545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5546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5547</v>
      </c>
      <c r="I1239" s="37" t="s">
        <v>5548</v>
      </c>
      <c r="J1239" s="37" t="s">
        <v>5549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5550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5551</v>
      </c>
      <c r="I1240" s="37" t="s">
        <v>5552</v>
      </c>
      <c r="J1240" s="37" t="s">
        <v>5553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5554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5555</v>
      </c>
      <c r="I1241" s="37" t="s">
        <v>5556</v>
      </c>
      <c r="J1241" s="37" t="s">
        <v>5557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6451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5558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5559</v>
      </c>
      <c r="I1242" s="37" t="s">
        <v>5560</v>
      </c>
      <c r="J1242" s="37" t="s">
        <v>5561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5562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5563</v>
      </c>
      <c r="I1243" s="37" t="s">
        <v>5564</v>
      </c>
      <c r="J1243" s="37" t="s">
        <v>5565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5566</v>
      </c>
      <c r="I1244" s="37" t="s">
        <v>5567</v>
      </c>
      <c r="J1244" s="37" t="s">
        <v>5568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5569</v>
      </c>
      <c r="I1245" s="37" t="s">
        <v>5570</v>
      </c>
      <c r="J1245" s="37" t="s">
        <v>5571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5572</v>
      </c>
      <c r="D1246" s="37" t="s">
        <v>398</v>
      </c>
      <c r="E1246" s="37" t="s">
        <v>5573</v>
      </c>
      <c r="F1246" s="37" t="s">
        <v>502</v>
      </c>
      <c r="G1246" s="37" t="s">
        <v>343</v>
      </c>
      <c r="H1246" s="37" t="s">
        <v>5574</v>
      </c>
      <c r="I1246" s="37" t="s">
        <v>5575</v>
      </c>
      <c r="J1246" s="37" t="s">
        <v>5576</v>
      </c>
      <c r="K1246" s="37"/>
      <c r="L1246" s="37">
        <v>600</v>
      </c>
      <c r="M1246" s="37" t="s">
        <v>432</v>
      </c>
      <c r="N1246" s="37" t="s">
        <v>5577</v>
      </c>
      <c r="O1246" s="37" t="s">
        <v>349</v>
      </c>
      <c r="P1246" s="37"/>
      <c r="Q1246" s="38"/>
      <c r="R1246" s="37" t="s">
        <v>5578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5579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5580</v>
      </c>
      <c r="I1247" s="37" t="s">
        <v>5581</v>
      </c>
      <c r="J1247" s="37" t="s">
        <v>5582</v>
      </c>
      <c r="K1247" s="37"/>
      <c r="L1247" s="37">
        <v>600</v>
      </c>
      <c r="M1247" s="37" t="s">
        <v>432</v>
      </c>
      <c r="N1247" s="37"/>
      <c r="O1247" s="37" t="s">
        <v>5133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5583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5584</v>
      </c>
      <c r="I1248" s="37" t="s">
        <v>5585</v>
      </c>
      <c r="J1248" s="37" t="s">
        <v>5586</v>
      </c>
      <c r="K1248" s="37"/>
      <c r="L1248" s="37">
        <v>600</v>
      </c>
      <c r="M1248" s="37" t="s">
        <v>432</v>
      </c>
      <c r="N1248" s="37"/>
      <c r="O1248" s="37" t="s">
        <v>5133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5587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5588</v>
      </c>
      <c r="I1249" s="37" t="s">
        <v>5589</v>
      </c>
      <c r="J1249" s="37" t="s">
        <v>5590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5591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5592</v>
      </c>
      <c r="I1250" s="37" t="s">
        <v>5593</v>
      </c>
      <c r="J1250" s="37" t="s">
        <v>5594</v>
      </c>
      <c r="K1250" s="37"/>
      <c r="L1250" s="37">
        <v>600</v>
      </c>
      <c r="M1250" s="37" t="s">
        <v>432</v>
      </c>
      <c r="N1250" s="37"/>
      <c r="O1250" s="37" t="s">
        <v>5133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5595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5596</v>
      </c>
      <c r="I1251" s="37" t="s">
        <v>5597</v>
      </c>
      <c r="J1251" s="37" t="s">
        <v>5598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5599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5600</v>
      </c>
      <c r="I1252" s="37" t="s">
        <v>5601</v>
      </c>
      <c r="J1252" s="37" t="s">
        <v>5602</v>
      </c>
      <c r="K1252" s="37"/>
      <c r="L1252" s="37">
        <v>600</v>
      </c>
      <c r="M1252" s="37" t="s">
        <v>432</v>
      </c>
      <c r="N1252" s="37"/>
      <c r="O1252" s="37" t="s">
        <v>5133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5603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5604</v>
      </c>
      <c r="I1253" s="37" t="s">
        <v>5605</v>
      </c>
      <c r="J1253" s="37" t="s">
        <v>5606</v>
      </c>
      <c r="K1253" s="37"/>
      <c r="L1253" s="37">
        <v>600</v>
      </c>
      <c r="M1253" s="37" t="s">
        <v>432</v>
      </c>
      <c r="N1253" s="37"/>
      <c r="O1253" s="37" t="s">
        <v>5133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5607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5608</v>
      </c>
      <c r="I1254" s="37" t="s">
        <v>5609</v>
      </c>
      <c r="J1254" s="37" t="s">
        <v>5610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5611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5612</v>
      </c>
      <c r="I1255" s="37" t="s">
        <v>5613</v>
      </c>
      <c r="J1255" s="37" t="s">
        <v>5614</v>
      </c>
      <c r="K1255" s="37"/>
      <c r="L1255" s="37">
        <v>600</v>
      </c>
      <c r="M1255" s="37" t="s">
        <v>432</v>
      </c>
      <c r="N1255" s="37"/>
      <c r="O1255" s="37" t="s">
        <v>5133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5615</v>
      </c>
      <c r="I1256" s="37" t="s">
        <v>5616</v>
      </c>
      <c r="J1256" s="37" t="s">
        <v>5617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5618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5619</v>
      </c>
      <c r="I1257" s="37" t="s">
        <v>5620</v>
      </c>
      <c r="J1257" s="37" t="s">
        <v>5621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5622</v>
      </c>
      <c r="I1258" s="37" t="s">
        <v>5623</v>
      </c>
      <c r="J1258" s="37" t="s">
        <v>5624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5625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5626</v>
      </c>
      <c r="I1259" s="37" t="s">
        <v>5627</v>
      </c>
      <c r="J1259" s="37" t="s">
        <v>5628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5629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5630</v>
      </c>
      <c r="I1260" s="37" t="s">
        <v>5631</v>
      </c>
      <c r="J1260" s="37" t="s">
        <v>5632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5633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5634</v>
      </c>
      <c r="I1261" s="37" t="s">
        <v>5635</v>
      </c>
      <c r="J1261" s="37" t="s">
        <v>5636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5637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5638</v>
      </c>
      <c r="I1262" s="37" t="s">
        <v>5639</v>
      </c>
      <c r="J1262" s="37" t="s">
        <v>5640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5641</v>
      </c>
      <c r="I1263" s="37" t="s">
        <v>5642</v>
      </c>
      <c r="J1263" s="37" t="s">
        <v>5643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5644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5645</v>
      </c>
      <c r="I1264" s="37" t="s">
        <v>5646</v>
      </c>
      <c r="J1264" s="37" t="s">
        <v>5647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5648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5649</v>
      </c>
      <c r="I1265" s="37" t="s">
        <v>5650</v>
      </c>
      <c r="J1265" s="37" t="s">
        <v>5651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5652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5653</v>
      </c>
      <c r="I1266" s="37" t="s">
        <v>5654</v>
      </c>
      <c r="J1266" s="37" t="s">
        <v>5655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5656</v>
      </c>
      <c r="I1267" s="37" t="s">
        <v>5657</v>
      </c>
      <c r="J1267" s="37" t="s">
        <v>5658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5659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5660</v>
      </c>
      <c r="I1268" s="37" t="s">
        <v>5661</v>
      </c>
      <c r="J1268" s="37" t="s">
        <v>5662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5663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5664</v>
      </c>
      <c r="I1269" s="37" t="s">
        <v>5665</v>
      </c>
      <c r="J1269" s="37" t="s">
        <v>5666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5667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5668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5669</v>
      </c>
      <c r="I1270" s="37" t="s">
        <v>5670</v>
      </c>
      <c r="J1270" s="37" t="s">
        <v>5671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5672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5673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5674</v>
      </c>
      <c r="I1272" s="37" t="s">
        <v>5675</v>
      </c>
      <c r="J1272" s="37" t="s">
        <v>5676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5677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5678</v>
      </c>
      <c r="I1273" s="37" t="s">
        <v>5679</v>
      </c>
      <c r="J1273" s="37" t="s">
        <v>5680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5681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5682</v>
      </c>
      <c r="I1274" s="37" t="s">
        <v>5683</v>
      </c>
      <c r="J1274" s="37" t="s">
        <v>5684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5685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5686</v>
      </c>
      <c r="I1275" s="37" t="s">
        <v>5687</v>
      </c>
      <c r="J1275" s="37" t="s">
        <v>5688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5689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5690</v>
      </c>
      <c r="I1276" s="37" t="s">
        <v>5691</v>
      </c>
      <c r="J1276" s="37" t="s">
        <v>5692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5693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5694</v>
      </c>
      <c r="I1277" s="37" t="s">
        <v>5695</v>
      </c>
      <c r="J1277" s="37" t="s">
        <v>5696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5697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5698</v>
      </c>
      <c r="I1278" s="37" t="s">
        <v>5699</v>
      </c>
      <c r="J1278" s="37" t="s">
        <v>5700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5701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5702</v>
      </c>
      <c r="I1279" s="37" t="s">
        <v>5703</v>
      </c>
      <c r="J1279" s="37" t="s">
        <v>5704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5705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5706</v>
      </c>
      <c r="I1280" s="37" t="s">
        <v>5707</v>
      </c>
      <c r="J1280" s="37" t="s">
        <v>5708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5709</v>
      </c>
      <c r="I1281" s="37" t="s">
        <v>5710</v>
      </c>
      <c r="J1281" s="37" t="s">
        <v>5711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5712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5713</v>
      </c>
      <c r="I1282" s="37" t="s">
        <v>5714</v>
      </c>
      <c r="J1282" s="37" t="s">
        <v>5715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5716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5717</v>
      </c>
      <c r="I1283" s="37" t="s">
        <v>5718</v>
      </c>
      <c r="J1283" s="37" t="s">
        <v>5719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5720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5721</v>
      </c>
      <c r="I1284" s="37" t="s">
        <v>5722</v>
      </c>
      <c r="J1284" s="37" t="s">
        <v>5723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5724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5725</v>
      </c>
      <c r="I1285" s="37" t="s">
        <v>5726</v>
      </c>
      <c r="J1285" s="37" t="s">
        <v>5727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5728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5729</v>
      </c>
      <c r="I1286" s="37" t="s">
        <v>5730</v>
      </c>
      <c r="J1286" s="37" t="s">
        <v>5731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5732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5733</v>
      </c>
      <c r="I1287" s="37" t="s">
        <v>5734</v>
      </c>
      <c r="J1287" s="37" t="s">
        <v>5735</v>
      </c>
      <c r="K1287" s="37">
        <v>56048</v>
      </c>
      <c r="L1287" s="37">
        <v>600</v>
      </c>
      <c r="M1287" s="37" t="s">
        <v>432</v>
      </c>
      <c r="N1287" s="37" t="s">
        <v>5472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5177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5736</v>
      </c>
      <c r="I1288" s="37" t="s">
        <v>5737</v>
      </c>
      <c r="J1288" s="37" t="s">
        <v>5738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5739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5740</v>
      </c>
      <c r="I1290" s="37" t="s">
        <v>5741</v>
      </c>
      <c r="J1290" s="37" t="s">
        <v>5742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5743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5744</v>
      </c>
      <c r="I1291" s="37" t="s">
        <v>5745</v>
      </c>
      <c r="J1291" s="37" t="s">
        <v>5746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5747</v>
      </c>
      <c r="I1292" s="37" t="s">
        <v>5748</v>
      </c>
      <c r="J1292" s="37" t="s">
        <v>5749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5750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5751</v>
      </c>
      <c r="I1293" s="37" t="s">
        <v>5752</v>
      </c>
      <c r="J1293" s="37" t="s">
        <v>5753</v>
      </c>
      <c r="K1293" s="37">
        <v>74552</v>
      </c>
      <c r="L1293" s="37">
        <v>600</v>
      </c>
      <c r="M1293" s="37" t="s">
        <v>432</v>
      </c>
      <c r="N1293" s="37" t="s">
        <v>5472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5754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5755</v>
      </c>
      <c r="I1294" s="37" t="s">
        <v>5756</v>
      </c>
      <c r="J1294" s="37" t="s">
        <v>5757</v>
      </c>
      <c r="K1294" s="37"/>
      <c r="L1294" s="37">
        <v>600</v>
      </c>
      <c r="M1294" s="37" t="s">
        <v>432</v>
      </c>
      <c r="N1294" s="37"/>
      <c r="O1294" s="37" t="s">
        <v>5133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5758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5759</v>
      </c>
      <c r="I1295" s="37" t="s">
        <v>5760</v>
      </c>
      <c r="J1295" s="37" t="s">
        <v>5761</v>
      </c>
      <c r="K1295" s="37"/>
      <c r="L1295" s="37">
        <v>600</v>
      </c>
      <c r="M1295" s="37" t="s">
        <v>432</v>
      </c>
      <c r="N1295" s="37"/>
      <c r="O1295" s="37" t="s">
        <v>5133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5762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5763</v>
      </c>
      <c r="I1296" s="37" t="s">
        <v>5764</v>
      </c>
      <c r="J1296" s="37" t="s">
        <v>5765</v>
      </c>
      <c r="K1296" s="37"/>
      <c r="L1296" s="37">
        <v>600</v>
      </c>
      <c r="M1296" s="37" t="s">
        <v>432</v>
      </c>
      <c r="N1296" s="37"/>
      <c r="O1296" s="37" t="s">
        <v>5133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5766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5767</v>
      </c>
      <c r="I1297" s="37" t="s">
        <v>5768</v>
      </c>
      <c r="J1297" s="37" t="s">
        <v>5769</v>
      </c>
      <c r="K1297" s="37">
        <v>74552</v>
      </c>
      <c r="L1297" s="37">
        <v>600</v>
      </c>
      <c r="M1297" s="37" t="s">
        <v>432</v>
      </c>
      <c r="N1297" s="37" t="s">
        <v>5472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5770</v>
      </c>
      <c r="I1298" s="37" t="s">
        <v>5771</v>
      </c>
      <c r="J1298" s="37" t="s">
        <v>5772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5773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5774</v>
      </c>
      <c r="I1299" s="37" t="s">
        <v>5775</v>
      </c>
      <c r="J1299" s="37" t="s">
        <v>5776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5777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5778</v>
      </c>
      <c r="I1300" s="37" t="s">
        <v>5779</v>
      </c>
      <c r="J1300" s="37" t="s">
        <v>5780</v>
      </c>
      <c r="K1300" s="37"/>
      <c r="L1300" s="37">
        <v>600</v>
      </c>
      <c r="M1300" s="37" t="s">
        <v>432</v>
      </c>
      <c r="N1300" s="37"/>
      <c r="O1300" s="37" t="s">
        <v>5133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5781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5782</v>
      </c>
      <c r="I1301" s="37" t="s">
        <v>5783</v>
      </c>
      <c r="J1301" s="37" t="s">
        <v>5784</v>
      </c>
      <c r="K1301" s="37"/>
      <c r="L1301" s="37">
        <v>600</v>
      </c>
      <c r="M1301" s="37" t="s">
        <v>432</v>
      </c>
      <c r="N1301" s="37"/>
      <c r="O1301" s="37" t="s">
        <v>5133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5785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5786</v>
      </c>
      <c r="I1302" s="37" t="s">
        <v>5787</v>
      </c>
      <c r="J1302" s="37" t="s">
        <v>5788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5789</v>
      </c>
      <c r="D1303" s="37" t="s">
        <v>398</v>
      </c>
      <c r="E1303" s="37" t="s">
        <v>5790</v>
      </c>
      <c r="F1303" s="37" t="s">
        <v>391</v>
      </c>
      <c r="G1303" s="37" t="s">
        <v>343</v>
      </c>
      <c r="H1303" s="37" t="s">
        <v>5791</v>
      </c>
      <c r="I1303" s="37" t="s">
        <v>5792</v>
      </c>
      <c r="J1303" s="37" t="s">
        <v>5793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5794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5795</v>
      </c>
      <c r="I1304" s="37" t="s">
        <v>5796</v>
      </c>
      <c r="J1304" s="37" t="s">
        <v>5797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5798</v>
      </c>
      <c r="I1305" s="37" t="s">
        <v>5799</v>
      </c>
      <c r="J1305" s="37" t="s">
        <v>5800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5801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5802</v>
      </c>
      <c r="I1306" s="37" t="s">
        <v>5803</v>
      </c>
      <c r="J1306" s="37" t="s">
        <v>5804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5805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5806</v>
      </c>
      <c r="I1307" s="37" t="s">
        <v>5807</v>
      </c>
      <c r="J1307" s="37" t="s">
        <v>5808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5809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5810</v>
      </c>
      <c r="I1308" s="37" t="s">
        <v>5811</v>
      </c>
      <c r="J1308" s="37" t="s">
        <v>5812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5813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5814</v>
      </c>
      <c r="I1309" s="37" t="s">
        <v>5815</v>
      </c>
      <c r="J1309" s="37" t="s">
        <v>5816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5817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5818</v>
      </c>
      <c r="I1310" s="37" t="s">
        <v>5819</v>
      </c>
      <c r="J1310" s="37" t="s">
        <v>5820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5821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5822</v>
      </c>
      <c r="I1311" s="37" t="s">
        <v>5823</v>
      </c>
      <c r="J1311" s="37" t="s">
        <v>5824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5825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5826</v>
      </c>
      <c r="I1312" s="37" t="s">
        <v>5827</v>
      </c>
      <c r="J1312" s="37" t="s">
        <v>5828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5829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5830</v>
      </c>
      <c r="I1313" s="37" t="s">
        <v>5831</v>
      </c>
      <c r="J1313" s="37" t="s">
        <v>5832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5833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5834</v>
      </c>
      <c r="I1314" s="37" t="s">
        <v>5835</v>
      </c>
      <c r="J1314" s="37" t="s">
        <v>5836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5837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5838</v>
      </c>
      <c r="I1315" s="37" t="s">
        <v>5839</v>
      </c>
      <c r="J1315" s="37" t="s">
        <v>5840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5841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5842</v>
      </c>
      <c r="I1316" s="37" t="s">
        <v>5843</v>
      </c>
      <c r="J1316" s="37" t="s">
        <v>5844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5845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5846</v>
      </c>
      <c r="I1317" s="37" t="s">
        <v>5847</v>
      </c>
      <c r="J1317" s="37" t="s">
        <v>5848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5849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5850</v>
      </c>
      <c r="I1318" s="37" t="s">
        <v>5851</v>
      </c>
      <c r="J1318" s="37" t="s">
        <v>5852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5853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5854</v>
      </c>
      <c r="I1319" s="37" t="s">
        <v>5855</v>
      </c>
      <c r="J1319" s="37" t="s">
        <v>5856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5857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5858</v>
      </c>
      <c r="I1320" s="37" t="s">
        <v>5859</v>
      </c>
      <c r="J1320" s="37" t="s">
        <v>5860</v>
      </c>
      <c r="K1320" s="37">
        <v>54773</v>
      </c>
      <c r="L1320" s="37">
        <v>600</v>
      </c>
      <c r="M1320" s="37" t="s">
        <v>432</v>
      </c>
      <c r="N1320" s="37" t="s">
        <v>5472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5861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5862</v>
      </c>
      <c r="I1321" s="37" t="s">
        <v>5863</v>
      </c>
      <c r="J1321" s="37" t="s">
        <v>5864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5865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5866</v>
      </c>
      <c r="I1322" s="37" t="s">
        <v>5867</v>
      </c>
      <c r="J1322" s="37" t="s">
        <v>5868</v>
      </c>
      <c r="K1322" s="37">
        <v>56048</v>
      </c>
      <c r="L1322" s="37">
        <v>600</v>
      </c>
      <c r="M1322" s="37" t="s">
        <v>432</v>
      </c>
      <c r="N1322" s="37" t="s">
        <v>5869</v>
      </c>
      <c r="O1322" s="37" t="s">
        <v>349</v>
      </c>
      <c r="P1322" s="37"/>
      <c r="Q1322" s="38">
        <v>252956783103</v>
      </c>
      <c r="R1322" s="37" t="s">
        <v>5870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5871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5872</v>
      </c>
      <c r="I1323" s="37" t="s">
        <v>5873</v>
      </c>
      <c r="J1323" s="37" t="s">
        <v>5874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5875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5876</v>
      </c>
      <c r="I1324" s="37" t="s">
        <v>5877</v>
      </c>
      <c r="J1324" s="37" t="s">
        <v>5878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5879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5880</v>
      </c>
      <c r="I1325" s="37" t="s">
        <v>5881</v>
      </c>
      <c r="J1325" s="37" t="s">
        <v>5882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5883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5884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5885</v>
      </c>
      <c r="I1326" s="37" t="s">
        <v>5886</v>
      </c>
      <c r="J1326" s="37" t="s">
        <v>5887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6621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5888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5889</v>
      </c>
      <c r="I1327" s="37" t="s">
        <v>5890</v>
      </c>
      <c r="J1327" s="37" t="s">
        <v>5891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5892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5893</v>
      </c>
      <c r="I1328" s="37" t="s">
        <v>5894</v>
      </c>
      <c r="J1328" s="37" t="s">
        <v>5895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5896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5897</v>
      </c>
      <c r="I1329" s="37" t="s">
        <v>5898</v>
      </c>
      <c r="J1329" s="37" t="s">
        <v>5899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5900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5901</v>
      </c>
      <c r="I1330" s="37" t="s">
        <v>5902</v>
      </c>
      <c r="J1330" s="37" t="s">
        <v>5903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5904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5905</v>
      </c>
      <c r="I1331" s="37" t="s">
        <v>5906</v>
      </c>
      <c r="J1331" s="37" t="s">
        <v>5907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5908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5909</v>
      </c>
      <c r="I1332" s="37" t="s">
        <v>5910</v>
      </c>
      <c r="J1332" s="37" t="s">
        <v>5911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5912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5913</v>
      </c>
      <c r="I1333" s="37" t="s">
        <v>5914</v>
      </c>
      <c r="J1333" s="37" t="s">
        <v>5915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5916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5917</v>
      </c>
      <c r="I1334" s="37" t="s">
        <v>5918</v>
      </c>
      <c r="J1334" s="37" t="s">
        <v>5919</v>
      </c>
      <c r="K1334" s="37">
        <v>47154</v>
      </c>
      <c r="L1334" s="37">
        <v>600</v>
      </c>
      <c r="M1334" s="37" t="s">
        <v>432</v>
      </c>
      <c r="N1334" s="37"/>
      <c r="O1334" s="37" t="s">
        <v>5133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5920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5921</v>
      </c>
      <c r="I1335" s="37" t="s">
        <v>5922</v>
      </c>
      <c r="J1335" s="37" t="s">
        <v>5923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5924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5925</v>
      </c>
      <c r="I1336" s="37" t="s">
        <v>5926</v>
      </c>
      <c r="J1336" s="37" t="s">
        <v>5927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5928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5929</v>
      </c>
      <c r="I1337" s="37" t="s">
        <v>5930</v>
      </c>
      <c r="J1337" s="37" t="s">
        <v>5931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5932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5933</v>
      </c>
      <c r="I1338" s="37" t="s">
        <v>5934</v>
      </c>
      <c r="J1338" s="37" t="s">
        <v>5935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5936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5937</v>
      </c>
      <c r="I1339" s="37" t="s">
        <v>5938</v>
      </c>
      <c r="J1339" s="37" t="s">
        <v>5939</v>
      </c>
      <c r="K1339" s="37">
        <v>63788</v>
      </c>
      <c r="L1339" s="37">
        <v>600</v>
      </c>
      <c r="M1339" s="37" t="s">
        <v>432</v>
      </c>
      <c r="N1339" s="37" t="s">
        <v>5472</v>
      </c>
      <c r="O1339" s="37" t="s">
        <v>349</v>
      </c>
      <c r="P1339" s="37"/>
      <c r="Q1339" s="38">
        <v>252966933421</v>
      </c>
      <c r="R1339" s="37" t="s">
        <v>5940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5941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5942</v>
      </c>
      <c r="I1340" s="37" t="s">
        <v>5943</v>
      </c>
      <c r="J1340" s="37" t="s">
        <v>5944</v>
      </c>
      <c r="K1340" s="37">
        <v>63788</v>
      </c>
      <c r="L1340" s="37">
        <v>600</v>
      </c>
      <c r="M1340" s="37" t="s">
        <v>432</v>
      </c>
      <c r="N1340" s="37" t="s">
        <v>5472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5945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5946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5947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5948</v>
      </c>
      <c r="I1343" s="37" t="s">
        <v>5949</v>
      </c>
      <c r="J1343" s="37" t="s">
        <v>5950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5951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5952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5953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5954</v>
      </c>
      <c r="I1345" s="37" t="s">
        <v>5955</v>
      </c>
      <c r="J1345" s="37" t="s">
        <v>5956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5957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5958</v>
      </c>
      <c r="I1346" s="37" t="s">
        <v>5959</v>
      </c>
      <c r="J1346" s="37" t="s">
        <v>5960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5961</v>
      </c>
      <c r="I1347" s="37" t="s">
        <v>5962</v>
      </c>
      <c r="J1347" s="37" t="s">
        <v>5963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5964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5965</v>
      </c>
      <c r="I1348" s="37" t="s">
        <v>5966</v>
      </c>
      <c r="J1348" s="37" t="s">
        <v>5967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5968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5969</v>
      </c>
      <c r="I1349" s="37" t="s">
        <v>5970</v>
      </c>
      <c r="J1349" s="37" t="s">
        <v>5971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5972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5973</v>
      </c>
      <c r="I1350" s="37" t="s">
        <v>5974</v>
      </c>
      <c r="J1350" s="37" t="s">
        <v>5975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5976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5977</v>
      </c>
      <c r="I1351" s="37" t="s">
        <v>5978</v>
      </c>
      <c r="J1351" s="37" t="s">
        <v>5979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5980</v>
      </c>
      <c r="I1352" s="37" t="s">
        <v>5981</v>
      </c>
      <c r="J1352" s="37" t="s">
        <v>5982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5983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5984</v>
      </c>
      <c r="I1353" s="37" t="s">
        <v>5985</v>
      </c>
      <c r="J1353" s="37" t="s">
        <v>5986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5987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5988</v>
      </c>
      <c r="I1354" s="37" t="s">
        <v>5989</v>
      </c>
      <c r="J1354" s="37" t="s">
        <v>5990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5991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5992</v>
      </c>
      <c r="I1355" s="37" t="s">
        <v>5993</v>
      </c>
      <c r="J1355" s="37" t="s">
        <v>5994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6431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5995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5996</v>
      </c>
      <c r="I1356" s="37" t="s">
        <v>5997</v>
      </c>
      <c r="J1356" s="37" t="s">
        <v>5998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5999</v>
      </c>
      <c r="K1357" s="37">
        <v>74552</v>
      </c>
      <c r="L1357" s="37">
        <v>600</v>
      </c>
      <c r="M1357" s="37" t="s">
        <v>432</v>
      </c>
      <c r="N1357" s="37" t="s">
        <v>6452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6000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6001</v>
      </c>
      <c r="I1358" s="37" t="s">
        <v>6002</v>
      </c>
      <c r="J1358" s="37" t="s">
        <v>6003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6004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6005</v>
      </c>
      <c r="I1359" s="37" t="s">
        <v>6006</v>
      </c>
      <c r="J1359" s="37" t="s">
        <v>6007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6008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6009</v>
      </c>
      <c r="I1360" s="37" t="s">
        <v>6010</v>
      </c>
      <c r="J1360" s="37" t="s">
        <v>6011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6012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6013</v>
      </c>
      <c r="I1361" s="37" t="s">
        <v>6014</v>
      </c>
      <c r="J1361" s="37" t="s">
        <v>6015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6016</v>
      </c>
      <c r="D1362" s="37" t="s">
        <v>341</v>
      </c>
      <c r="E1362" s="37" t="s">
        <v>6017</v>
      </c>
      <c r="F1362" s="37" t="s">
        <v>678</v>
      </c>
      <c r="G1362" s="37" t="s">
        <v>343</v>
      </c>
      <c r="H1362" s="37" t="s">
        <v>6018</v>
      </c>
      <c r="I1362" s="37" t="s">
        <v>6019</v>
      </c>
      <c r="J1362" s="37" t="s">
        <v>6020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6021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6022</v>
      </c>
      <c r="I1363" s="37" t="s">
        <v>6023</v>
      </c>
      <c r="J1363" s="37" t="s">
        <v>6024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6025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6026</v>
      </c>
      <c r="I1364" s="37" t="s">
        <v>6027</v>
      </c>
      <c r="J1364" s="37" t="s">
        <v>6028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6029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6030</v>
      </c>
      <c r="I1365" s="37" t="s">
        <v>6031</v>
      </c>
      <c r="J1365" s="37" t="s">
        <v>6032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6033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6034</v>
      </c>
      <c r="I1366" s="37" t="s">
        <v>6035</v>
      </c>
      <c r="J1366" s="37" t="s">
        <v>6036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6037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6038</v>
      </c>
      <c r="I1367" s="37" t="s">
        <v>6039</v>
      </c>
      <c r="J1367" s="37" t="s">
        <v>6040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6041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6042</v>
      </c>
      <c r="I1368" s="37" t="s">
        <v>6043</v>
      </c>
      <c r="J1368" s="37" t="s">
        <v>6044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6045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6046</v>
      </c>
      <c r="I1369" s="37" t="s">
        <v>6047</v>
      </c>
      <c r="J1369" s="37" t="s">
        <v>6048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6049</v>
      </c>
      <c r="I1370" s="37" t="s">
        <v>6050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6051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6052</v>
      </c>
      <c r="I1371" s="37" t="s">
        <v>6053</v>
      </c>
      <c r="J1371" s="37" t="s">
        <v>6054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6055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6056</v>
      </c>
      <c r="I1372" s="37" t="s">
        <v>6057</v>
      </c>
      <c r="J1372" s="37" t="s">
        <v>6058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6059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6060</v>
      </c>
      <c r="I1373" s="37" t="s">
        <v>6061</v>
      </c>
      <c r="J1373" s="37" t="s">
        <v>6062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6063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6064</v>
      </c>
      <c r="I1374" s="37" t="s">
        <v>6065</v>
      </c>
      <c r="J1374" s="37" t="s">
        <v>6066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5790</v>
      </c>
      <c r="F1375" s="37" t="s">
        <v>391</v>
      </c>
      <c r="G1375" s="37" t="s">
        <v>343</v>
      </c>
      <c r="H1375" s="37" t="s">
        <v>6067</v>
      </c>
      <c r="I1375" s="37" t="s">
        <v>6068</v>
      </c>
      <c r="J1375" s="37" t="s">
        <v>6069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6070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6071</v>
      </c>
      <c r="I1376" s="37" t="s">
        <v>6072</v>
      </c>
      <c r="J1376" s="37" t="s">
        <v>6073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6074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6075</v>
      </c>
      <c r="I1377" s="37" t="s">
        <v>6076</v>
      </c>
      <c r="J1377" s="37" t="s">
        <v>6077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6078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6079</v>
      </c>
      <c r="I1378" s="37" t="s">
        <v>6080</v>
      </c>
      <c r="J1378" s="37" t="s">
        <v>6081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6082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6083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6084</v>
      </c>
      <c r="I1379" s="37" t="s">
        <v>6085</v>
      </c>
      <c r="J1379" s="37" t="s">
        <v>6086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6087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6088</v>
      </c>
      <c r="I1380" s="37" t="s">
        <v>6089</v>
      </c>
      <c r="J1380" s="37" t="s">
        <v>6090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6091</v>
      </c>
      <c r="I1381" s="37" t="s">
        <v>6092</v>
      </c>
      <c r="J1381" s="37" t="s">
        <v>6093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6094</v>
      </c>
      <c r="I1382" s="37" t="s">
        <v>6095</v>
      </c>
      <c r="J1382" s="37" t="s">
        <v>6096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6097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6984</v>
      </c>
      <c r="I1383" s="37" t="s">
        <v>6098</v>
      </c>
      <c r="J1383" s="37" t="s">
        <v>6099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6100</v>
      </c>
      <c r="P1383" s="37"/>
      <c r="Q1383" s="38"/>
      <c r="R1383" s="37" t="s">
        <v>7114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6101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6102</v>
      </c>
      <c r="I1384" s="37" t="s">
        <v>6103</v>
      </c>
      <c r="J1384" s="37" t="s">
        <v>6104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6105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6106</v>
      </c>
      <c r="I1385" s="37" t="s">
        <v>6107</v>
      </c>
      <c r="J1385" s="37" t="s">
        <v>6108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6109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6110</v>
      </c>
      <c r="I1386" s="37" t="s">
        <v>6111</v>
      </c>
      <c r="J1386" s="37" t="s">
        <v>6112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6113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6114</v>
      </c>
      <c r="I1387" s="37" t="s">
        <v>6115</v>
      </c>
      <c r="J1387" s="37" t="s">
        <v>6116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6117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6118</v>
      </c>
      <c r="I1388" s="37" t="s">
        <v>6119</v>
      </c>
      <c r="J1388" s="37" t="s">
        <v>6120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6121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6122</v>
      </c>
      <c r="I1389" s="37" t="s">
        <v>6123</v>
      </c>
      <c r="J1389" s="37" t="s">
        <v>6124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6125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6126</v>
      </c>
      <c r="I1390" s="37" t="s">
        <v>6127</v>
      </c>
      <c r="J1390" s="37" t="s">
        <v>6128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6129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6130</v>
      </c>
      <c r="I1391" s="37" t="s">
        <v>6131</v>
      </c>
      <c r="J1391" s="37" t="s">
        <v>6132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6133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6134</v>
      </c>
      <c r="I1392" s="37" t="s">
        <v>6135</v>
      </c>
      <c r="J1392" s="37" t="s">
        <v>6136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6137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6138</v>
      </c>
      <c r="I1393" s="37" t="s">
        <v>6139</v>
      </c>
      <c r="J1393" s="37" t="s">
        <v>6140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6141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6142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6143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6144</v>
      </c>
      <c r="I1395" s="37" t="s">
        <v>6145</v>
      </c>
      <c r="J1395" s="37" t="s">
        <v>6146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6147</v>
      </c>
      <c r="I1396" s="37" t="s">
        <v>6148</v>
      </c>
      <c r="J1396" s="37" t="s">
        <v>6149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6150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6151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6152</v>
      </c>
      <c r="I1398" s="37" t="s">
        <v>6153</v>
      </c>
      <c r="J1398" s="37" t="s">
        <v>6154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6155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6156</v>
      </c>
      <c r="I1399" s="37" t="s">
        <v>6157</v>
      </c>
      <c r="J1399" s="37" t="s">
        <v>6158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6159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6160</v>
      </c>
      <c r="I1400" s="37" t="s">
        <v>6161</v>
      </c>
      <c r="J1400" s="37" t="s">
        <v>6162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6163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6164</v>
      </c>
      <c r="I1401" s="37" t="s">
        <v>6165</v>
      </c>
      <c r="J1401" s="37" t="s">
        <v>6166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6167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6168</v>
      </c>
      <c r="I1402" s="37" t="s">
        <v>6169</v>
      </c>
      <c r="J1402" s="37" t="s">
        <v>6170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6171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6172</v>
      </c>
      <c r="I1403" s="37" t="s">
        <v>6173</v>
      </c>
      <c r="J1403" s="37" t="s">
        <v>6174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6175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6176</v>
      </c>
      <c r="I1404" s="37" t="s">
        <v>6177</v>
      </c>
      <c r="J1404" s="37" t="s">
        <v>6178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6179</v>
      </c>
      <c r="U1404" s="36"/>
    </row>
    <row r="1405" spans="1:21" x14ac:dyDescent="0.25">
      <c r="A1405" s="35">
        <v>1404</v>
      </c>
      <c r="B1405" s="36">
        <v>45959</v>
      </c>
      <c r="C1405" s="19" t="s">
        <v>6180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6181</v>
      </c>
      <c r="I1405" s="37" t="s">
        <v>6182</v>
      </c>
      <c r="J1405" s="37" t="s">
        <v>6183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6184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6185</v>
      </c>
      <c r="I1406" s="37" t="s">
        <v>6186</v>
      </c>
      <c r="J1406" s="37" t="s">
        <v>6187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6188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6189</v>
      </c>
      <c r="I1407" s="37" t="s">
        <v>6190</v>
      </c>
      <c r="J1407" s="37" t="s">
        <v>6191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6192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6193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6194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6195</v>
      </c>
      <c r="I1409" s="37" t="s">
        <v>6196</v>
      </c>
      <c r="J1409" s="37" t="s">
        <v>6197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6198</v>
      </c>
      <c r="D1410" s="37" t="s">
        <v>398</v>
      </c>
      <c r="E1410" s="37" t="s">
        <v>5573</v>
      </c>
      <c r="F1410" s="37" t="s">
        <v>358</v>
      </c>
      <c r="G1410" s="37" t="s">
        <v>343</v>
      </c>
      <c r="H1410" s="37" t="s">
        <v>6199</v>
      </c>
      <c r="I1410" s="37" t="s">
        <v>6200</v>
      </c>
      <c r="J1410" s="37" t="s">
        <v>6201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6202</v>
      </c>
      <c r="I1411" s="37" t="s">
        <v>6203</v>
      </c>
      <c r="J1411" s="37" t="s">
        <v>6204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6205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6206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6207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6208</v>
      </c>
      <c r="I1414" s="37" t="s">
        <v>6209</v>
      </c>
      <c r="J1414" s="37" t="s">
        <v>6210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6211</v>
      </c>
      <c r="D1415" s="37" t="s">
        <v>398</v>
      </c>
      <c r="E1415" s="37" t="s">
        <v>5573</v>
      </c>
      <c r="F1415" s="37" t="s">
        <v>391</v>
      </c>
      <c r="G1415" s="37" t="s">
        <v>343</v>
      </c>
      <c r="H1415" s="37" t="s">
        <v>6212</v>
      </c>
      <c r="I1415" s="37" t="s">
        <v>6213</v>
      </c>
      <c r="J1415" s="37" t="s">
        <v>6214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6215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6216</v>
      </c>
      <c r="I1416" s="37" t="s">
        <v>6217</v>
      </c>
      <c r="J1416" s="37" t="s">
        <v>6218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6219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6220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6221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6222</v>
      </c>
      <c r="I1418" s="37" t="s">
        <v>6223</v>
      </c>
      <c r="J1418" s="37" t="s">
        <v>6224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6225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6226</v>
      </c>
      <c r="I1419" s="37" t="s">
        <v>6227</v>
      </c>
      <c r="J1419" s="37" t="s">
        <v>6228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6229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6230</v>
      </c>
      <c r="I1420" s="37" t="s">
        <v>6231</v>
      </c>
      <c r="J1420" s="37" t="s">
        <v>6232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6233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6234</v>
      </c>
      <c r="I1421" s="37" t="s">
        <v>6235</v>
      </c>
      <c r="J1421" s="37" t="s">
        <v>6236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6237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6238</v>
      </c>
      <c r="I1422" s="37" t="s">
        <v>6239</v>
      </c>
      <c r="J1422" s="37" t="s">
        <v>6240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6241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6242</v>
      </c>
      <c r="I1423" s="37" t="s">
        <v>6243</v>
      </c>
      <c r="J1423" s="37" t="s">
        <v>6244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6245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6246</v>
      </c>
      <c r="I1424" s="37" t="s">
        <v>6247</v>
      </c>
      <c r="J1424" s="37" t="s">
        <v>6248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6249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6250</v>
      </c>
      <c r="I1425" s="37" t="s">
        <v>6251</v>
      </c>
      <c r="J1425" s="37" t="s">
        <v>6252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6253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6254</v>
      </c>
      <c r="I1426" s="37" t="s">
        <v>6255</v>
      </c>
      <c r="J1426" s="37" t="s">
        <v>6256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6257</v>
      </c>
      <c r="D1427" s="37" t="s">
        <v>398</v>
      </c>
      <c r="E1427" s="37" t="s">
        <v>3237</v>
      </c>
      <c r="F1427" s="37" t="s">
        <v>6258</v>
      </c>
      <c r="G1427" s="37" t="s">
        <v>343</v>
      </c>
      <c r="H1427" s="37" t="s">
        <v>6259</v>
      </c>
      <c r="I1427" s="37" t="s">
        <v>6260</v>
      </c>
      <c r="J1427" s="37" t="s">
        <v>6261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6262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6263</v>
      </c>
      <c r="I1428" s="37" t="s">
        <v>6264</v>
      </c>
      <c r="J1428" s="37" t="s">
        <v>6265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6266</v>
      </c>
      <c r="D1429" s="37" t="s">
        <v>398</v>
      </c>
      <c r="E1429" s="37" t="s">
        <v>476</v>
      </c>
      <c r="F1429" s="37" t="s">
        <v>6267</v>
      </c>
      <c r="G1429" s="37" t="s">
        <v>343</v>
      </c>
      <c r="H1429" s="37" t="s">
        <v>6268</v>
      </c>
      <c r="I1429" s="37" t="s">
        <v>6269</v>
      </c>
      <c r="J1429" s="37" t="s">
        <v>6270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6271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6272</v>
      </c>
      <c r="I1430" s="37" t="s">
        <v>6273</v>
      </c>
      <c r="J1430" s="37" t="s">
        <v>6274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6275</v>
      </c>
      <c r="D1431" s="37" t="s">
        <v>398</v>
      </c>
      <c r="E1431" s="37" t="s">
        <v>476</v>
      </c>
      <c r="F1431" s="37" t="s">
        <v>6276</v>
      </c>
      <c r="G1431" s="37" t="s">
        <v>343</v>
      </c>
      <c r="H1431" s="37" t="s">
        <v>6277</v>
      </c>
      <c r="I1431" s="37" t="s">
        <v>6278</v>
      </c>
      <c r="J1431" s="37" t="s">
        <v>6279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6280</v>
      </c>
      <c r="D1432" s="37" t="s">
        <v>398</v>
      </c>
      <c r="E1432" s="37" t="s">
        <v>528</v>
      </c>
      <c r="F1432" s="37" t="s">
        <v>6276</v>
      </c>
      <c r="G1432" s="37" t="s">
        <v>343</v>
      </c>
      <c r="H1432" s="37" t="s">
        <v>6281</v>
      </c>
      <c r="I1432" s="37" t="s">
        <v>6282</v>
      </c>
      <c r="J1432" s="37" t="s">
        <v>6283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6284</v>
      </c>
      <c r="D1433" s="37" t="s">
        <v>398</v>
      </c>
      <c r="E1433" s="37" t="s">
        <v>528</v>
      </c>
      <c r="F1433" s="37" t="s">
        <v>6285</v>
      </c>
      <c r="G1433" s="37" t="s">
        <v>343</v>
      </c>
      <c r="H1433" s="37" t="s">
        <v>6286</v>
      </c>
      <c r="I1433" s="37" t="s">
        <v>6287</v>
      </c>
      <c r="J1433" s="37" t="s">
        <v>6288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6289</v>
      </c>
      <c r="D1434" s="37" t="s">
        <v>398</v>
      </c>
      <c r="E1434" s="37" t="s">
        <v>476</v>
      </c>
      <c r="F1434" s="37" t="s">
        <v>6290</v>
      </c>
      <c r="G1434" s="37" t="s">
        <v>343</v>
      </c>
      <c r="H1434" s="37" t="s">
        <v>6291</v>
      </c>
      <c r="I1434" s="37" t="s">
        <v>6292</v>
      </c>
      <c r="J1434" s="37" t="s">
        <v>6293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6294</v>
      </c>
      <c r="D1435" s="37" t="s">
        <v>398</v>
      </c>
      <c r="E1435" s="37" t="s">
        <v>528</v>
      </c>
      <c r="F1435" s="37" t="s">
        <v>6295</v>
      </c>
      <c r="G1435" s="37" t="s">
        <v>343</v>
      </c>
      <c r="H1435" s="37" t="s">
        <v>6296</v>
      </c>
      <c r="I1435" s="37" t="s">
        <v>6297</v>
      </c>
      <c r="J1435" s="37" t="s">
        <v>6298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6299</v>
      </c>
      <c r="D1436" s="37" t="s">
        <v>398</v>
      </c>
      <c r="E1436" s="37" t="s">
        <v>496</v>
      </c>
      <c r="F1436" s="37" t="s">
        <v>6295</v>
      </c>
      <c r="G1436" s="37" t="s">
        <v>343</v>
      </c>
      <c r="H1436" s="37" t="s">
        <v>6300</v>
      </c>
      <c r="I1436" s="37" t="s">
        <v>6301</v>
      </c>
      <c r="J1436" s="37" t="s">
        <v>6302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6303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6304</v>
      </c>
      <c r="I1437" s="37" t="s">
        <v>6305</v>
      </c>
      <c r="J1437" s="37" t="s">
        <v>6306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6307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6308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6267</v>
      </c>
      <c r="G1440" s="37" t="s">
        <v>343</v>
      </c>
      <c r="H1440" s="37" t="s">
        <v>38</v>
      </c>
      <c r="I1440" s="37" t="s">
        <v>35</v>
      </c>
      <c r="J1440" s="37" t="s">
        <v>6309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6310</v>
      </c>
      <c r="G1441" s="37" t="s">
        <v>343</v>
      </c>
      <c r="H1441" s="37" t="s">
        <v>54</v>
      </c>
      <c r="I1441" s="37" t="s">
        <v>55</v>
      </c>
      <c r="J1441" s="37" t="s">
        <v>6311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6295</v>
      </c>
      <c r="G1442" s="37" t="s">
        <v>343</v>
      </c>
      <c r="H1442" s="37" t="s">
        <v>146</v>
      </c>
      <c r="I1442" s="37" t="s">
        <v>143</v>
      </c>
      <c r="J1442" s="37" t="s">
        <v>6312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6295</v>
      </c>
      <c r="G1443" s="37" t="s">
        <v>343</v>
      </c>
      <c r="H1443" s="37" t="s">
        <v>71</v>
      </c>
      <c r="I1443" s="37" t="s">
        <v>68</v>
      </c>
      <c r="J1443" s="37" t="s">
        <v>6313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6314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6315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6316</v>
      </c>
      <c r="D1446" s="37" t="s">
        <v>398</v>
      </c>
      <c r="E1446" s="37" t="s">
        <v>476</v>
      </c>
      <c r="F1446" s="37" t="s">
        <v>6267</v>
      </c>
      <c r="G1446" s="37" t="s">
        <v>343</v>
      </c>
      <c r="H1446" s="37" t="s">
        <v>6317</v>
      </c>
      <c r="I1446" s="37" t="s">
        <v>6318</v>
      </c>
      <c r="J1446" s="37" t="s">
        <v>6319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6320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6321</v>
      </c>
      <c r="I1447" s="37" t="s">
        <v>6322</v>
      </c>
      <c r="J1447" s="37" t="s">
        <v>6323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6324</v>
      </c>
      <c r="D1448" s="37" t="s">
        <v>341</v>
      </c>
      <c r="E1448" s="37" t="s">
        <v>6324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6325</v>
      </c>
      <c r="K1448" s="37">
        <v>53273</v>
      </c>
      <c r="L1448" s="37">
        <v>600</v>
      </c>
      <c r="M1448" s="37" t="s">
        <v>432</v>
      </c>
      <c r="N1448" s="37" t="s">
        <v>6452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6326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6327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6328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6329</v>
      </c>
      <c r="I1451" s="37" t="s">
        <v>6330</v>
      </c>
      <c r="J1451" s="37" t="s">
        <v>6331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6332</v>
      </c>
      <c r="D1452" s="37" t="s">
        <v>398</v>
      </c>
      <c r="E1452" s="37" t="s">
        <v>6333</v>
      </c>
      <c r="F1452" s="37" t="s">
        <v>6334</v>
      </c>
      <c r="G1452" s="37" t="s">
        <v>343</v>
      </c>
      <c r="H1452" s="37" t="s">
        <v>6335</v>
      </c>
      <c r="I1452" s="37" t="s">
        <v>6336</v>
      </c>
      <c r="J1452" s="37" t="s">
        <v>6337</v>
      </c>
      <c r="K1452" s="37">
        <v>9471</v>
      </c>
      <c r="L1452" s="37">
        <v>600</v>
      </c>
      <c r="M1452" s="37" t="s">
        <v>432</v>
      </c>
      <c r="N1452" s="37" t="s">
        <v>6338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6339</v>
      </c>
      <c r="D1453" s="37" t="s">
        <v>398</v>
      </c>
      <c r="E1453" s="37" t="s">
        <v>6340</v>
      </c>
      <c r="F1453" s="37" t="s">
        <v>391</v>
      </c>
      <c r="G1453" s="37" t="s">
        <v>343</v>
      </c>
      <c r="H1453" s="37" t="s">
        <v>6341</v>
      </c>
      <c r="I1453" s="37" t="s">
        <v>6342</v>
      </c>
      <c r="J1453" s="37" t="s">
        <v>6343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6339</v>
      </c>
      <c r="D1454" s="37" t="s">
        <v>398</v>
      </c>
      <c r="E1454" s="37" t="s">
        <v>6344</v>
      </c>
      <c r="F1454" s="37" t="s">
        <v>391</v>
      </c>
      <c r="G1454" s="37" t="s">
        <v>343</v>
      </c>
      <c r="H1454" s="37" t="s">
        <v>6345</v>
      </c>
      <c r="I1454" s="37" t="s">
        <v>6346</v>
      </c>
      <c r="J1454" s="37" t="s">
        <v>6347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6348</v>
      </c>
      <c r="D1455" s="37" t="s">
        <v>398</v>
      </c>
      <c r="E1455" s="37" t="s">
        <v>528</v>
      </c>
      <c r="F1455" s="37" t="s">
        <v>6267</v>
      </c>
      <c r="G1455" s="37" t="s">
        <v>343</v>
      </c>
      <c r="H1455" s="37" t="s">
        <v>6349</v>
      </c>
      <c r="I1455" s="37" t="s">
        <v>6350</v>
      </c>
      <c r="J1455" s="37" t="s">
        <v>6351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6352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6353</v>
      </c>
      <c r="I1456" s="37" t="s">
        <v>6354</v>
      </c>
      <c r="J1456" s="37" t="s">
        <v>6355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6356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6357</v>
      </c>
      <c r="I1457" s="37" t="s">
        <v>6358</v>
      </c>
      <c r="J1457" s="37" t="s">
        <v>6359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6360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6361</v>
      </c>
      <c r="I1458" s="37" t="s">
        <v>6362</v>
      </c>
      <c r="J1458" s="37" t="s">
        <v>6363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6364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6365</v>
      </c>
      <c r="I1459" s="37" t="s">
        <v>6366</v>
      </c>
      <c r="J1459" s="37" t="s">
        <v>6367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6368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6369</v>
      </c>
      <c r="I1460" s="37" t="s">
        <v>6370</v>
      </c>
      <c r="J1460" s="37" t="s">
        <v>6371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6372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6373</v>
      </c>
      <c r="I1461" s="37" t="s">
        <v>6374</v>
      </c>
      <c r="J1461" s="37" t="s">
        <v>6375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6376</v>
      </c>
      <c r="D1462" s="37" t="s">
        <v>398</v>
      </c>
      <c r="E1462" s="37" t="s">
        <v>6377</v>
      </c>
      <c r="F1462" s="37" t="s">
        <v>391</v>
      </c>
      <c r="G1462" s="37" t="s">
        <v>343</v>
      </c>
      <c r="H1462" s="37" t="s">
        <v>6378</v>
      </c>
      <c r="I1462" s="37" t="s">
        <v>6379</v>
      </c>
      <c r="J1462" s="37" t="s">
        <v>6380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6381</v>
      </c>
      <c r="K1463" s="37">
        <v>56048</v>
      </c>
      <c r="L1463" s="37">
        <v>600</v>
      </c>
      <c r="M1463" s="37" t="s">
        <v>432</v>
      </c>
      <c r="N1463" s="37" t="s">
        <v>6452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6382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6383</v>
      </c>
      <c r="K1465" s="37">
        <v>79204</v>
      </c>
      <c r="L1465" s="37">
        <v>600</v>
      </c>
      <c r="M1465" s="37" t="s">
        <v>432</v>
      </c>
      <c r="N1465" s="37" t="s">
        <v>6452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6384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6385</v>
      </c>
      <c r="I1466" s="37" t="s">
        <v>6386</v>
      </c>
      <c r="J1466" s="37" t="s">
        <v>6387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6388</v>
      </c>
      <c r="D1467" s="37" t="s">
        <v>398</v>
      </c>
      <c r="E1467" s="37" t="s">
        <v>6389</v>
      </c>
      <c r="F1467" s="37" t="s">
        <v>352</v>
      </c>
      <c r="G1467" s="37" t="s">
        <v>343</v>
      </c>
      <c r="H1467" s="37" t="s">
        <v>6389</v>
      </c>
      <c r="I1467" s="37" t="s">
        <v>6390</v>
      </c>
      <c r="J1467" s="37" t="s">
        <v>6391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6392</v>
      </c>
      <c r="D1468" s="37" t="s">
        <v>398</v>
      </c>
      <c r="E1468" s="37" t="s">
        <v>6393</v>
      </c>
      <c r="F1468" s="37" t="s">
        <v>358</v>
      </c>
      <c r="G1468" s="37" t="s">
        <v>343</v>
      </c>
      <c r="H1468" s="37" t="s">
        <v>6394</v>
      </c>
      <c r="I1468" s="37" t="s">
        <v>6395</v>
      </c>
      <c r="J1468" s="37" t="s">
        <v>6396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6397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6398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6399</v>
      </c>
      <c r="I1469" s="37" t="s">
        <v>6400</v>
      </c>
      <c r="J1469" s="37" t="s">
        <v>6401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5133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6402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6403</v>
      </c>
      <c r="I1470" s="37" t="s">
        <v>6404</v>
      </c>
      <c r="J1470" s="37" t="s">
        <v>6405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6397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6406</v>
      </c>
      <c r="D1471" s="37" t="s">
        <v>398</v>
      </c>
      <c r="E1471" s="37" t="s">
        <v>570</v>
      </c>
      <c r="F1471" s="37" t="s">
        <v>6310</v>
      </c>
      <c r="G1471" s="37" t="s">
        <v>343</v>
      </c>
      <c r="H1471" s="37"/>
      <c r="I1471" s="37" t="s">
        <v>6407</v>
      </c>
      <c r="J1471" s="37" t="s">
        <v>6408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5133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6409</v>
      </c>
      <c r="D1472" s="37" t="s">
        <v>398</v>
      </c>
      <c r="E1472" s="37" t="s">
        <v>5573</v>
      </c>
      <c r="F1472" s="37" t="s">
        <v>6295</v>
      </c>
      <c r="G1472" s="37" t="s">
        <v>343</v>
      </c>
      <c r="H1472" s="37"/>
      <c r="I1472" s="37" t="s">
        <v>6410</v>
      </c>
      <c r="J1472" s="37" t="s">
        <v>6411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5133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6412</v>
      </c>
      <c r="D1473" s="37" t="s">
        <v>398</v>
      </c>
      <c r="E1473" s="37" t="s">
        <v>476</v>
      </c>
      <c r="F1473" s="37" t="s">
        <v>6413</v>
      </c>
      <c r="G1473" s="37" t="s">
        <v>343</v>
      </c>
      <c r="H1473" s="37"/>
      <c r="I1473" s="37" t="s">
        <v>6414</v>
      </c>
      <c r="J1473" s="37" t="s">
        <v>6415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5133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dimension ref="A1:N58"/>
  <sheetViews>
    <sheetView tabSelected="1" topLeftCell="A44" zoomScale="85" zoomScaleNormal="85" workbookViewId="0">
      <selection activeCell="G54" sqref="G54:H55"/>
    </sheetView>
  </sheetViews>
  <sheetFormatPr defaultRowHeight="15" x14ac:dyDescent="0.25"/>
  <cols>
    <col min="2" max="2" width="31.285156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1.85546875" bestFit="1" customWidth="1"/>
  </cols>
  <sheetData>
    <row r="1" spans="1:8" ht="33.75" x14ac:dyDescent="0.5">
      <c r="A1" s="55" t="s">
        <v>6655</v>
      </c>
      <c r="B1" s="55"/>
      <c r="C1" s="55"/>
      <c r="D1" s="55"/>
      <c r="E1" s="55"/>
      <c r="F1" s="55"/>
      <c r="G1" s="55"/>
      <c r="H1" s="55"/>
    </row>
    <row r="2" spans="1:8" ht="15.75" x14ac:dyDescent="0.25">
      <c r="A2" s="19" t="s">
        <v>6656</v>
      </c>
      <c r="B2" s="19" t="s">
        <v>6658</v>
      </c>
      <c r="C2" s="19" t="s">
        <v>6659</v>
      </c>
      <c r="D2" s="19" t="s">
        <v>6657</v>
      </c>
      <c r="E2" s="21" t="s">
        <v>6661</v>
      </c>
      <c r="F2" s="21" t="s">
        <v>6660</v>
      </c>
      <c r="G2" s="21" t="s">
        <v>6662</v>
      </c>
      <c r="H2" s="19" t="s">
        <v>6663</v>
      </c>
    </row>
    <row r="3" spans="1:8" ht="15.75" x14ac:dyDescent="0.25">
      <c r="A3" s="19">
        <f t="shared" ref="A3:A45" si="0">ROW()-2</f>
        <v>1</v>
      </c>
      <c r="B3" s="19" t="s">
        <v>6676</v>
      </c>
      <c r="C3" s="19">
        <v>6005348991</v>
      </c>
      <c r="D3" s="19" t="s">
        <v>6664</v>
      </c>
      <c r="E3" s="19" t="s">
        <v>6665</v>
      </c>
      <c r="F3" s="21">
        <v>45988.500694444447</v>
      </c>
      <c r="G3" s="19" t="s">
        <v>398</v>
      </c>
      <c r="H3" s="19" t="s">
        <v>6666</v>
      </c>
    </row>
    <row r="4" spans="1:8" ht="15.75" x14ac:dyDescent="0.25">
      <c r="A4" s="19">
        <f t="shared" si="0"/>
        <v>2</v>
      </c>
      <c r="B4" s="19" t="s">
        <v>6677</v>
      </c>
      <c r="C4" s="19">
        <v>9149776065</v>
      </c>
      <c r="D4" s="19" t="s">
        <v>6667</v>
      </c>
      <c r="E4" s="19" t="s">
        <v>6647</v>
      </c>
      <c r="F4" s="21">
        <v>45988</v>
      </c>
      <c r="G4" s="21" t="s">
        <v>341</v>
      </c>
      <c r="H4" s="19" t="s">
        <v>6666</v>
      </c>
    </row>
    <row r="5" spans="1:8" ht="15.75" x14ac:dyDescent="0.25">
      <c r="A5" s="19">
        <f t="shared" si="0"/>
        <v>3</v>
      </c>
      <c r="B5" s="19" t="s">
        <v>6679</v>
      </c>
      <c r="C5" s="19">
        <v>9541678338</v>
      </c>
      <c r="D5" s="19" t="s">
        <v>6668</v>
      </c>
      <c r="E5" s="19" t="s">
        <v>6648</v>
      </c>
      <c r="F5" s="21">
        <v>45988</v>
      </c>
      <c r="G5" s="21" t="s">
        <v>341</v>
      </c>
      <c r="H5" s="19" t="s">
        <v>6666</v>
      </c>
    </row>
    <row r="6" spans="1:8" ht="15.75" x14ac:dyDescent="0.25">
      <c r="A6" s="19">
        <f t="shared" si="0"/>
        <v>4</v>
      </c>
      <c r="B6" s="19" t="s">
        <v>6678</v>
      </c>
      <c r="C6" s="19">
        <v>7889419489</v>
      </c>
      <c r="D6" s="19" t="s">
        <v>6673</v>
      </c>
      <c r="E6" s="19" t="s">
        <v>6636</v>
      </c>
      <c r="F6" s="21">
        <v>45988</v>
      </c>
      <c r="G6" s="21" t="s">
        <v>341</v>
      </c>
      <c r="H6" s="19" t="s">
        <v>6666</v>
      </c>
    </row>
    <row r="7" spans="1:8" ht="15.75" x14ac:dyDescent="0.25">
      <c r="A7" s="19">
        <f t="shared" si="0"/>
        <v>5</v>
      </c>
      <c r="B7" s="19" t="s">
        <v>6674</v>
      </c>
      <c r="C7" s="19">
        <v>8492026116</v>
      </c>
      <c r="D7" s="19" t="s">
        <v>6675</v>
      </c>
      <c r="E7" s="19" t="s">
        <v>6649</v>
      </c>
      <c r="F7" s="21">
        <v>45988</v>
      </c>
      <c r="G7" s="21" t="s">
        <v>341</v>
      </c>
      <c r="H7" s="19" t="s">
        <v>6666</v>
      </c>
    </row>
    <row r="8" spans="1:8" ht="15.75" x14ac:dyDescent="0.25">
      <c r="A8" s="19">
        <f t="shared" si="0"/>
        <v>6</v>
      </c>
      <c r="B8" s="19" t="s">
        <v>6613</v>
      </c>
      <c r="C8" s="19">
        <v>9906619090</v>
      </c>
      <c r="D8" s="19" t="s">
        <v>6694</v>
      </c>
      <c r="E8" s="19" t="s">
        <v>6614</v>
      </c>
      <c r="F8" s="21">
        <v>45989</v>
      </c>
      <c r="G8" s="21" t="s">
        <v>341</v>
      </c>
      <c r="H8" s="19" t="s">
        <v>6666</v>
      </c>
    </row>
    <row r="9" spans="1:8" ht="15.75" x14ac:dyDescent="0.25">
      <c r="A9" s="19">
        <f t="shared" si="0"/>
        <v>7</v>
      </c>
      <c r="B9" s="19" t="s">
        <v>1627</v>
      </c>
      <c r="C9" s="19">
        <v>8803773117</v>
      </c>
      <c r="D9" s="19" t="s">
        <v>6701</v>
      </c>
      <c r="E9" s="19" t="s">
        <v>6700</v>
      </c>
      <c r="F9" s="21">
        <v>45990</v>
      </c>
      <c r="G9" s="21" t="s">
        <v>341</v>
      </c>
      <c r="H9" s="19" t="s">
        <v>6666</v>
      </c>
    </row>
    <row r="10" spans="1:8" ht="15.75" x14ac:dyDescent="0.25">
      <c r="A10" s="19">
        <f t="shared" si="0"/>
        <v>8</v>
      </c>
      <c r="B10" s="19" t="s">
        <v>6596</v>
      </c>
      <c r="C10" s="19">
        <v>7006164327</v>
      </c>
      <c r="D10" s="19" t="s">
        <v>6707</v>
      </c>
      <c r="E10" s="19" t="s">
        <v>6602</v>
      </c>
      <c r="F10" s="21">
        <v>45990</v>
      </c>
      <c r="G10" s="21" t="s">
        <v>342</v>
      </c>
      <c r="H10" s="19" t="s">
        <v>6666</v>
      </c>
    </row>
    <row r="11" spans="1:8" ht="15.75" x14ac:dyDescent="0.25">
      <c r="A11" s="19">
        <f t="shared" si="0"/>
        <v>9</v>
      </c>
      <c r="B11" s="19" t="s">
        <v>6706</v>
      </c>
      <c r="C11" s="19">
        <v>8825050044</v>
      </c>
      <c r="D11" s="19" t="s">
        <v>6708</v>
      </c>
      <c r="E11" s="19" t="s">
        <v>6603</v>
      </c>
      <c r="F11" s="21">
        <v>45990</v>
      </c>
      <c r="G11" s="21" t="s">
        <v>342</v>
      </c>
      <c r="H11" s="21" t="s">
        <v>6666</v>
      </c>
    </row>
    <row r="12" spans="1:8" ht="15.75" x14ac:dyDescent="0.25">
      <c r="A12" s="19">
        <f t="shared" si="0"/>
        <v>10</v>
      </c>
      <c r="B12" s="19" t="s">
        <v>6580</v>
      </c>
      <c r="C12" s="19">
        <v>8825052137</v>
      </c>
      <c r="D12" s="19" t="s">
        <v>6710</v>
      </c>
      <c r="E12" s="19" t="s">
        <v>6584</v>
      </c>
      <c r="F12" s="21">
        <v>45992</v>
      </c>
      <c r="G12" s="21" t="s">
        <v>342</v>
      </c>
      <c r="H12" s="21" t="s">
        <v>6666</v>
      </c>
    </row>
    <row r="13" spans="1:8" ht="15.75" x14ac:dyDescent="0.25">
      <c r="A13" s="19">
        <f t="shared" si="0"/>
        <v>11</v>
      </c>
      <c r="B13" s="19" t="s">
        <v>6564</v>
      </c>
      <c r="C13" s="19">
        <v>9906463872</v>
      </c>
      <c r="D13" s="19" t="s">
        <v>6709</v>
      </c>
      <c r="E13" s="19" t="s">
        <v>6567</v>
      </c>
      <c r="F13" s="21">
        <v>45990</v>
      </c>
      <c r="G13" s="21" t="s">
        <v>342</v>
      </c>
      <c r="H13" s="21" t="s">
        <v>6666</v>
      </c>
    </row>
    <row r="14" spans="1:8" ht="15.75" x14ac:dyDescent="0.25">
      <c r="A14" s="19">
        <f t="shared" si="0"/>
        <v>12</v>
      </c>
      <c r="B14" s="19" t="s">
        <v>6704</v>
      </c>
      <c r="C14" s="19">
        <v>9682522876</v>
      </c>
      <c r="D14" s="19" t="s">
        <v>6715</v>
      </c>
      <c r="E14" s="19" t="s">
        <v>6716</v>
      </c>
      <c r="F14" s="21">
        <v>45992</v>
      </c>
      <c r="G14" s="21" t="s">
        <v>341</v>
      </c>
      <c r="H14" s="21" t="s">
        <v>6666</v>
      </c>
    </row>
    <row r="15" spans="1:8" ht="15.75" x14ac:dyDescent="0.25">
      <c r="A15" s="19">
        <f t="shared" si="0"/>
        <v>13</v>
      </c>
      <c r="B15" s="19" t="s">
        <v>6713</v>
      </c>
      <c r="C15" s="19">
        <v>9796997678</v>
      </c>
      <c r="D15" s="19" t="s">
        <v>6714</v>
      </c>
      <c r="E15" s="19" t="s">
        <v>4845</v>
      </c>
      <c r="F15" s="21">
        <v>45994</v>
      </c>
      <c r="G15" s="21" t="s">
        <v>341</v>
      </c>
      <c r="H15" s="21" t="s">
        <v>6666</v>
      </c>
    </row>
    <row r="16" spans="1:8" ht="15.75" x14ac:dyDescent="0.25">
      <c r="A16" s="19">
        <f t="shared" si="0"/>
        <v>14</v>
      </c>
      <c r="B16" s="19" t="s">
        <v>6726</v>
      </c>
      <c r="C16" s="19">
        <v>6005447751</v>
      </c>
      <c r="D16" s="19" t="s">
        <v>6727</v>
      </c>
      <c r="E16" s="19" t="s">
        <v>6456</v>
      </c>
      <c r="F16" s="21">
        <v>45994</v>
      </c>
      <c r="G16" s="21" t="s">
        <v>342</v>
      </c>
      <c r="H16" s="21" t="s">
        <v>6666</v>
      </c>
    </row>
    <row r="17" spans="1:13" ht="15.75" x14ac:dyDescent="0.25">
      <c r="A17" s="19">
        <f t="shared" si="0"/>
        <v>15</v>
      </c>
      <c r="B17" s="19" t="s">
        <v>4399</v>
      </c>
      <c r="C17" s="19">
        <v>9622609564</v>
      </c>
      <c r="D17" s="19" t="s">
        <v>6749</v>
      </c>
      <c r="E17" s="19" t="s">
        <v>6729</v>
      </c>
      <c r="F17" s="21">
        <v>45994</v>
      </c>
      <c r="G17" s="21" t="s">
        <v>341</v>
      </c>
      <c r="H17" s="21" t="s">
        <v>6666</v>
      </c>
    </row>
    <row r="18" spans="1:13" ht="15.75" x14ac:dyDescent="0.25">
      <c r="A18" s="19">
        <f t="shared" si="0"/>
        <v>16</v>
      </c>
      <c r="B18" s="19" t="s">
        <v>6738</v>
      </c>
      <c r="C18" s="19">
        <v>9906892680</v>
      </c>
      <c r="D18" s="19" t="s">
        <v>6747</v>
      </c>
      <c r="E18" s="19" t="s">
        <v>6735</v>
      </c>
      <c r="F18" s="21">
        <v>45994</v>
      </c>
      <c r="G18" s="21" t="s">
        <v>341</v>
      </c>
      <c r="H18" s="21" t="s">
        <v>6666</v>
      </c>
    </row>
    <row r="19" spans="1:13" ht="15.75" x14ac:dyDescent="0.25">
      <c r="A19" s="19">
        <f t="shared" si="0"/>
        <v>17</v>
      </c>
      <c r="B19" s="19" t="s">
        <v>6731</v>
      </c>
      <c r="C19" s="19">
        <v>9622839355</v>
      </c>
      <c r="D19" s="19" t="s">
        <v>6746</v>
      </c>
      <c r="E19" s="19" t="s">
        <v>6742</v>
      </c>
      <c r="F19" s="21">
        <v>45994</v>
      </c>
      <c r="G19" s="21" t="s">
        <v>341</v>
      </c>
      <c r="H19" s="21" t="s">
        <v>6666</v>
      </c>
    </row>
    <row r="20" spans="1:13" ht="15.75" x14ac:dyDescent="0.25">
      <c r="A20" s="19">
        <f t="shared" si="0"/>
        <v>18</v>
      </c>
      <c r="B20" s="19" t="s">
        <v>6627</v>
      </c>
      <c r="C20" s="19">
        <v>9906454751</v>
      </c>
      <c r="D20" s="19" t="s">
        <v>6748</v>
      </c>
      <c r="E20" s="19" t="s">
        <v>6741</v>
      </c>
      <c r="F20" s="21">
        <v>45994</v>
      </c>
      <c r="G20" s="21" t="s">
        <v>341</v>
      </c>
      <c r="H20" s="21" t="s">
        <v>6666</v>
      </c>
    </row>
    <row r="21" spans="1:13" ht="15.75" x14ac:dyDescent="0.25">
      <c r="A21" s="19">
        <f t="shared" si="0"/>
        <v>19</v>
      </c>
      <c r="B21" s="19" t="s">
        <v>6778</v>
      </c>
      <c r="C21" s="19">
        <v>7780824558</v>
      </c>
      <c r="D21" s="19" t="s">
        <v>6779</v>
      </c>
      <c r="E21" s="19" t="s">
        <v>6765</v>
      </c>
      <c r="F21" s="21">
        <v>45995</v>
      </c>
      <c r="G21" s="21" t="s">
        <v>342</v>
      </c>
      <c r="H21" s="19" t="s">
        <v>6666</v>
      </c>
    </row>
    <row r="22" spans="1:13" ht="15.75" x14ac:dyDescent="0.25">
      <c r="A22" s="19">
        <f t="shared" si="0"/>
        <v>20</v>
      </c>
      <c r="B22" s="19" t="s">
        <v>6757</v>
      </c>
      <c r="C22" s="19">
        <v>8899778092</v>
      </c>
      <c r="D22" s="19" t="s">
        <v>6777</v>
      </c>
      <c r="E22" s="19" t="s">
        <v>6764</v>
      </c>
      <c r="F22" s="21">
        <v>45995</v>
      </c>
      <c r="G22" s="21" t="s">
        <v>358</v>
      </c>
      <c r="H22" s="19" t="s">
        <v>6666</v>
      </c>
    </row>
    <row r="23" spans="1:13" ht="15.75" x14ac:dyDescent="0.25">
      <c r="A23" s="19">
        <f t="shared" si="0"/>
        <v>21</v>
      </c>
      <c r="B23" s="19" t="s">
        <v>6780</v>
      </c>
      <c r="C23" s="19">
        <v>9906337730</v>
      </c>
      <c r="D23" s="19" t="s">
        <v>6781</v>
      </c>
      <c r="E23" s="19" t="s">
        <v>6766</v>
      </c>
      <c r="F23" s="21">
        <v>45995</v>
      </c>
      <c r="G23" s="21" t="s">
        <v>341</v>
      </c>
      <c r="H23" s="19" t="s">
        <v>6666</v>
      </c>
      <c r="L23" s="34"/>
      <c r="M23" s="34"/>
    </row>
    <row r="24" spans="1:13" ht="15.75" x14ac:dyDescent="0.25">
      <c r="A24" s="19">
        <f t="shared" si="0"/>
        <v>22</v>
      </c>
      <c r="B24" s="19" t="s">
        <v>6770</v>
      </c>
      <c r="C24" s="19">
        <v>9606595001</v>
      </c>
      <c r="D24" s="19" t="s">
        <v>6782</v>
      </c>
      <c r="E24" s="19" t="s">
        <v>6771</v>
      </c>
      <c r="F24" s="21">
        <v>45995</v>
      </c>
      <c r="G24" s="21" t="s">
        <v>341</v>
      </c>
      <c r="H24" s="19" t="s">
        <v>6666</v>
      </c>
      <c r="L24" s="33"/>
      <c r="M24" s="33"/>
    </row>
    <row r="25" spans="1:13" ht="15.75" x14ac:dyDescent="0.25">
      <c r="A25" s="19">
        <f t="shared" si="0"/>
        <v>23</v>
      </c>
      <c r="B25" s="43" t="s">
        <v>6793</v>
      </c>
      <c r="C25" s="43">
        <v>7006748463</v>
      </c>
      <c r="D25" s="43" t="s">
        <v>6797</v>
      </c>
      <c r="E25" s="43" t="s">
        <v>6796</v>
      </c>
      <c r="F25" s="21">
        <v>45996</v>
      </c>
      <c r="G25" s="21" t="s">
        <v>341</v>
      </c>
      <c r="H25" s="19" t="s">
        <v>6666</v>
      </c>
    </row>
    <row r="26" spans="1:13" ht="15.75" x14ac:dyDescent="0.25">
      <c r="A26" s="19">
        <f t="shared" si="0"/>
        <v>24</v>
      </c>
      <c r="B26" s="43" t="s">
        <v>3590</v>
      </c>
      <c r="C26" s="43">
        <v>9797971835</v>
      </c>
      <c r="D26" s="43" t="s">
        <v>6798</v>
      </c>
      <c r="E26" s="43" t="s">
        <v>6790</v>
      </c>
      <c r="F26" s="21">
        <v>45996</v>
      </c>
      <c r="G26" s="21" t="s">
        <v>341</v>
      </c>
      <c r="H26" s="19" t="s">
        <v>6666</v>
      </c>
    </row>
    <row r="27" spans="1:13" ht="15.75" x14ac:dyDescent="0.25">
      <c r="A27" s="19">
        <f t="shared" si="0"/>
        <v>25</v>
      </c>
      <c r="B27" s="43" t="s">
        <v>6805</v>
      </c>
      <c r="C27" s="43">
        <v>7006009589</v>
      </c>
      <c r="D27" s="43" t="s">
        <v>6838</v>
      </c>
      <c r="E27" s="43" t="s">
        <v>6822</v>
      </c>
      <c r="F27" s="21">
        <v>45999</v>
      </c>
      <c r="G27" s="21" t="s">
        <v>341</v>
      </c>
      <c r="H27" s="19" t="s">
        <v>6666</v>
      </c>
    </row>
    <row r="28" spans="1:13" ht="15.75" x14ac:dyDescent="0.25">
      <c r="A28" s="19">
        <f t="shared" si="0"/>
        <v>26</v>
      </c>
      <c r="B28" s="43" t="s">
        <v>6830</v>
      </c>
      <c r="C28" s="43">
        <v>7006154383</v>
      </c>
      <c r="D28" s="43" t="s">
        <v>6881</v>
      </c>
      <c r="E28" s="43" t="s">
        <v>6843</v>
      </c>
      <c r="F28" s="21">
        <v>45999</v>
      </c>
      <c r="G28" s="21" t="s">
        <v>341</v>
      </c>
      <c r="H28" s="19" t="s">
        <v>6666</v>
      </c>
    </row>
    <row r="29" spans="1:13" ht="15.75" x14ac:dyDescent="0.25">
      <c r="A29" s="19">
        <f t="shared" si="0"/>
        <v>27</v>
      </c>
      <c r="B29" s="43" t="s">
        <v>6818</v>
      </c>
      <c r="C29" s="43">
        <v>8493043123</v>
      </c>
      <c r="D29" s="43" t="s">
        <v>6880</v>
      </c>
      <c r="E29" s="43" t="s">
        <v>6823</v>
      </c>
      <c r="F29" s="21">
        <v>45999</v>
      </c>
      <c r="G29" s="21" t="s">
        <v>341</v>
      </c>
      <c r="H29" s="19" t="s">
        <v>6666</v>
      </c>
    </row>
    <row r="30" spans="1:13" ht="15.75" x14ac:dyDescent="0.25">
      <c r="A30" s="19">
        <f t="shared" si="0"/>
        <v>28</v>
      </c>
      <c r="B30" s="43" t="s">
        <v>6888</v>
      </c>
      <c r="C30" s="43">
        <v>9149984428</v>
      </c>
      <c r="D30" s="43" t="s">
        <v>6889</v>
      </c>
      <c r="E30" s="43" t="s">
        <v>6890</v>
      </c>
      <c r="F30" s="21">
        <v>45999</v>
      </c>
      <c r="G30" s="21" t="s">
        <v>341</v>
      </c>
      <c r="H30" s="19" t="s">
        <v>6666</v>
      </c>
    </row>
    <row r="31" spans="1:13" ht="15.75" x14ac:dyDescent="0.25">
      <c r="A31" s="19">
        <f t="shared" si="0"/>
        <v>29</v>
      </c>
      <c r="B31" s="43" t="s">
        <v>6833</v>
      </c>
      <c r="C31" s="43">
        <v>9797004941</v>
      </c>
      <c r="D31" s="43" t="s">
        <v>6891</v>
      </c>
      <c r="E31" s="43" t="s">
        <v>6850</v>
      </c>
      <c r="F31" s="21">
        <v>45999</v>
      </c>
      <c r="G31" s="21" t="s">
        <v>341</v>
      </c>
      <c r="H31" s="19" t="s">
        <v>6666</v>
      </c>
    </row>
    <row r="32" spans="1:13" ht="15.75" x14ac:dyDescent="0.25">
      <c r="A32" s="19">
        <f t="shared" si="0"/>
        <v>30</v>
      </c>
      <c r="B32" s="43" t="s">
        <v>6529</v>
      </c>
      <c r="C32" s="43">
        <v>7006565560</v>
      </c>
      <c r="D32" s="43" t="s">
        <v>6937</v>
      </c>
      <c r="E32" s="43" t="s">
        <v>6534</v>
      </c>
      <c r="F32" s="21">
        <v>46000</v>
      </c>
      <c r="G32" s="21" t="s">
        <v>341</v>
      </c>
      <c r="H32" s="19" t="s">
        <v>6666</v>
      </c>
    </row>
    <row r="33" spans="1:14" ht="15.75" x14ac:dyDescent="0.25">
      <c r="A33" s="19">
        <f t="shared" si="0"/>
        <v>31</v>
      </c>
      <c r="B33" s="43" t="s">
        <v>6899</v>
      </c>
      <c r="C33" s="43">
        <v>9906488569</v>
      </c>
      <c r="D33" s="43" t="s">
        <v>6948</v>
      </c>
      <c r="E33" s="43" t="s">
        <v>6900</v>
      </c>
      <c r="F33" s="21">
        <v>46000</v>
      </c>
      <c r="G33" s="21" t="s">
        <v>341</v>
      </c>
      <c r="H33" s="19" t="s">
        <v>6666</v>
      </c>
    </row>
    <row r="34" spans="1:14" ht="15.75" x14ac:dyDescent="0.25">
      <c r="A34" s="19">
        <f t="shared" si="0"/>
        <v>32</v>
      </c>
      <c r="B34" s="43" t="s">
        <v>4930</v>
      </c>
      <c r="C34" s="43">
        <v>9622687856</v>
      </c>
      <c r="D34" s="43" t="s">
        <v>6950</v>
      </c>
      <c r="E34" s="43" t="s">
        <v>6942</v>
      </c>
      <c r="F34" s="21">
        <v>46000</v>
      </c>
      <c r="G34" s="21" t="s">
        <v>341</v>
      </c>
      <c r="H34" s="19" t="s">
        <v>6666</v>
      </c>
    </row>
    <row r="35" spans="1:14" ht="15.75" x14ac:dyDescent="0.25">
      <c r="A35" s="19">
        <f t="shared" si="0"/>
        <v>33</v>
      </c>
      <c r="B35" s="43" t="s">
        <v>6933</v>
      </c>
      <c r="C35" s="43">
        <v>9419052455</v>
      </c>
      <c r="D35" s="43" t="s">
        <v>6951</v>
      </c>
      <c r="E35" s="43" t="s">
        <v>6938</v>
      </c>
      <c r="F35" s="21">
        <v>46000</v>
      </c>
      <c r="G35" s="21" t="s">
        <v>341</v>
      </c>
      <c r="H35" s="19" t="s">
        <v>6666</v>
      </c>
    </row>
    <row r="36" spans="1:14" ht="15.75" x14ac:dyDescent="0.25">
      <c r="A36" s="19">
        <f t="shared" si="0"/>
        <v>34</v>
      </c>
      <c r="B36" s="43" t="s">
        <v>6841</v>
      </c>
      <c r="C36" s="43">
        <v>9682362746</v>
      </c>
      <c r="D36" s="43" t="s">
        <v>6958</v>
      </c>
      <c r="E36" s="43" t="s">
        <v>6849</v>
      </c>
      <c r="F36" s="21">
        <v>46001</v>
      </c>
      <c r="G36" s="21" t="s">
        <v>341</v>
      </c>
      <c r="H36" s="19" t="s">
        <v>6666</v>
      </c>
    </row>
    <row r="37" spans="1:14" ht="15.75" x14ac:dyDescent="0.25">
      <c r="A37" s="19">
        <f t="shared" si="0"/>
        <v>35</v>
      </c>
      <c r="B37" s="43" t="s">
        <v>6959</v>
      </c>
      <c r="C37" s="43">
        <v>7889471670</v>
      </c>
      <c r="D37" s="43" t="s">
        <v>6960</v>
      </c>
      <c r="E37" s="43" t="s">
        <v>6947</v>
      </c>
      <c r="F37" s="21">
        <v>46001</v>
      </c>
      <c r="G37" s="21" t="s">
        <v>341</v>
      </c>
      <c r="H37" s="19" t="s">
        <v>6666</v>
      </c>
    </row>
    <row r="38" spans="1:14" ht="15.75" x14ac:dyDescent="0.25">
      <c r="A38" s="19">
        <f t="shared" si="0"/>
        <v>36</v>
      </c>
      <c r="B38" s="43" t="s">
        <v>6967</v>
      </c>
      <c r="C38" s="43">
        <v>7889467793</v>
      </c>
      <c r="D38" s="43" t="s">
        <v>6979</v>
      </c>
      <c r="E38" s="43" t="s">
        <v>6975</v>
      </c>
      <c r="F38" s="21">
        <v>46001</v>
      </c>
      <c r="G38" s="21" t="s">
        <v>341</v>
      </c>
      <c r="H38" s="19" t="s">
        <v>6666</v>
      </c>
    </row>
    <row r="39" spans="1:14" ht="15.75" x14ac:dyDescent="0.25">
      <c r="A39" s="19">
        <f t="shared" si="0"/>
        <v>37</v>
      </c>
      <c r="B39" s="43" t="s">
        <v>3089</v>
      </c>
      <c r="C39" s="43">
        <v>9419381680</v>
      </c>
      <c r="D39" s="43" t="s">
        <v>6978</v>
      </c>
      <c r="E39" s="43" t="s">
        <v>6974</v>
      </c>
      <c r="F39" s="21">
        <v>46001</v>
      </c>
      <c r="G39" s="21" t="s">
        <v>341</v>
      </c>
      <c r="H39" s="19" t="s">
        <v>6666</v>
      </c>
    </row>
    <row r="40" spans="1:14" ht="15.75" x14ac:dyDescent="0.25">
      <c r="A40" s="19">
        <f t="shared" si="0"/>
        <v>38</v>
      </c>
      <c r="B40" s="43" t="s">
        <v>6963</v>
      </c>
      <c r="C40" s="43">
        <v>9103172002</v>
      </c>
      <c r="D40" s="43" t="s">
        <v>6977</v>
      </c>
      <c r="E40" s="43" t="s">
        <v>6973</v>
      </c>
      <c r="F40" s="21">
        <v>46001</v>
      </c>
      <c r="G40" s="21" t="s">
        <v>341</v>
      </c>
      <c r="H40" s="19" t="s">
        <v>6666</v>
      </c>
    </row>
    <row r="41" spans="1:14" ht="15.75" x14ac:dyDescent="0.25">
      <c r="A41" s="19">
        <f t="shared" si="0"/>
        <v>39</v>
      </c>
      <c r="B41" s="43" t="s">
        <v>6982</v>
      </c>
      <c r="C41" s="43">
        <v>9797126573</v>
      </c>
      <c r="D41" s="43" t="s">
        <v>6992</v>
      </c>
      <c r="E41" s="43" t="s">
        <v>6986</v>
      </c>
      <c r="F41" s="21">
        <v>46001</v>
      </c>
      <c r="G41" s="21" t="s">
        <v>341</v>
      </c>
      <c r="H41" s="19" t="s">
        <v>6666</v>
      </c>
    </row>
    <row r="42" spans="1:14" ht="15.75" x14ac:dyDescent="0.25">
      <c r="A42" s="19">
        <f t="shared" si="0"/>
        <v>40</v>
      </c>
      <c r="B42" s="43" t="s">
        <v>7031</v>
      </c>
      <c r="C42" s="43">
        <v>8082636745</v>
      </c>
      <c r="D42" s="43" t="s">
        <v>7035</v>
      </c>
      <c r="E42" s="43" t="s">
        <v>7029</v>
      </c>
      <c r="F42" s="21">
        <v>46003</v>
      </c>
      <c r="G42" s="21" t="s">
        <v>341</v>
      </c>
      <c r="H42" s="19" t="s">
        <v>6666</v>
      </c>
    </row>
    <row r="43" spans="1:14" ht="15.75" x14ac:dyDescent="0.25">
      <c r="A43" s="19">
        <f t="shared" si="0"/>
        <v>41</v>
      </c>
      <c r="B43" s="43" t="s">
        <v>7030</v>
      </c>
      <c r="C43" s="43">
        <v>9541537572</v>
      </c>
      <c r="D43" s="43" t="s">
        <v>7034</v>
      </c>
      <c r="E43" s="43" t="s">
        <v>7010</v>
      </c>
      <c r="F43" s="21">
        <v>46003</v>
      </c>
      <c r="G43" s="21" t="s">
        <v>341</v>
      </c>
      <c r="H43" s="19" t="s">
        <v>6666</v>
      </c>
    </row>
    <row r="44" spans="1:14" ht="15.75" x14ac:dyDescent="0.25">
      <c r="A44" s="19">
        <f t="shared" si="0"/>
        <v>42</v>
      </c>
      <c r="B44" s="43" t="s">
        <v>4399</v>
      </c>
      <c r="C44" s="43">
        <v>6006763182</v>
      </c>
      <c r="D44" s="43" t="s">
        <v>7033</v>
      </c>
      <c r="E44" s="43" t="s">
        <v>7027</v>
      </c>
      <c r="F44" s="21">
        <v>46003</v>
      </c>
      <c r="G44" s="21" t="s">
        <v>341</v>
      </c>
      <c r="H44" s="19" t="s">
        <v>6666</v>
      </c>
    </row>
    <row r="45" spans="1:14" ht="15.75" x14ac:dyDescent="0.25">
      <c r="A45" s="19">
        <f t="shared" si="0"/>
        <v>43</v>
      </c>
      <c r="B45" s="43" t="s">
        <v>7005</v>
      </c>
      <c r="C45" s="43">
        <v>9149852485</v>
      </c>
      <c r="D45" s="43" t="s">
        <v>7032</v>
      </c>
      <c r="E45" s="43" t="s">
        <v>7028</v>
      </c>
      <c r="F45" s="21">
        <v>46003</v>
      </c>
      <c r="G45" s="21" t="s">
        <v>341</v>
      </c>
      <c r="H45" s="19" t="s">
        <v>6666</v>
      </c>
      <c r="I45" s="34"/>
      <c r="J45" s="34"/>
      <c r="K45" s="34"/>
      <c r="L45" s="34"/>
      <c r="M45" s="34"/>
      <c r="N45" s="33"/>
    </row>
    <row r="46" spans="1:14" ht="15.75" x14ac:dyDescent="0.25">
      <c r="A46" s="19">
        <f t="shared" ref="A46:A58" si="1">ROW()-2</f>
        <v>44</v>
      </c>
      <c r="B46" s="43" t="s">
        <v>7037</v>
      </c>
      <c r="C46" s="43">
        <v>9469001234</v>
      </c>
      <c r="D46" s="43" t="s">
        <v>7038</v>
      </c>
      <c r="E46" s="43" t="s">
        <v>7039</v>
      </c>
      <c r="F46" s="21">
        <v>46003</v>
      </c>
      <c r="G46" s="21" t="s">
        <v>341</v>
      </c>
      <c r="H46" s="19" t="s">
        <v>6666</v>
      </c>
      <c r="I46" s="45"/>
      <c r="J46" s="46"/>
      <c r="K46" s="45"/>
      <c r="L46" s="45"/>
      <c r="M46" s="45"/>
    </row>
    <row r="47" spans="1:14" ht="15.75" x14ac:dyDescent="0.25">
      <c r="A47" s="19">
        <f t="shared" si="1"/>
        <v>45</v>
      </c>
      <c r="B47" s="43" t="s">
        <v>7048</v>
      </c>
      <c r="C47" s="43">
        <v>9622901567</v>
      </c>
      <c r="D47" s="43" t="s">
        <v>7079</v>
      </c>
      <c r="E47" s="43" t="s">
        <v>7066</v>
      </c>
      <c r="F47" s="21">
        <v>46003</v>
      </c>
      <c r="G47" s="21" t="s">
        <v>341</v>
      </c>
      <c r="H47" s="19" t="s">
        <v>6666</v>
      </c>
      <c r="I47" s="33"/>
      <c r="J47" s="33"/>
      <c r="K47" s="33"/>
      <c r="L47" s="33"/>
      <c r="M47" s="33"/>
    </row>
    <row r="48" spans="1:14" ht="15.75" x14ac:dyDescent="0.25">
      <c r="A48" s="19">
        <f t="shared" si="1"/>
        <v>46</v>
      </c>
      <c r="B48" s="43" t="s">
        <v>7080</v>
      </c>
      <c r="C48" s="43">
        <v>9419015767</v>
      </c>
      <c r="D48" s="43" t="s">
        <v>7081</v>
      </c>
      <c r="E48" s="43" t="s">
        <v>7064</v>
      </c>
      <c r="F48" s="21">
        <v>46003</v>
      </c>
      <c r="G48" s="21" t="s">
        <v>341</v>
      </c>
      <c r="H48" s="19" t="s">
        <v>6666</v>
      </c>
    </row>
    <row r="49" spans="1:8" ht="15.75" x14ac:dyDescent="0.25">
      <c r="A49" s="19">
        <f t="shared" si="1"/>
        <v>47</v>
      </c>
      <c r="B49" s="43" t="s">
        <v>7082</v>
      </c>
      <c r="C49" s="43">
        <v>9419705595</v>
      </c>
      <c r="D49" s="43" t="s">
        <v>7083</v>
      </c>
      <c r="E49" s="43" t="s">
        <v>7076</v>
      </c>
      <c r="F49" s="21">
        <v>46003</v>
      </c>
      <c r="G49" s="21" t="s">
        <v>341</v>
      </c>
      <c r="H49" s="19" t="s">
        <v>6666</v>
      </c>
    </row>
    <row r="50" spans="1:8" ht="15.75" x14ac:dyDescent="0.25">
      <c r="A50" s="19">
        <f t="shared" si="1"/>
        <v>48</v>
      </c>
      <c r="B50" s="43" t="s">
        <v>7062</v>
      </c>
      <c r="C50" s="43">
        <v>9682101195</v>
      </c>
      <c r="D50" s="43" t="s">
        <v>7084</v>
      </c>
      <c r="E50" s="43" t="s">
        <v>7077</v>
      </c>
      <c r="F50" s="21">
        <v>46003</v>
      </c>
      <c r="G50" s="21" t="s">
        <v>341</v>
      </c>
      <c r="H50" s="19" t="s">
        <v>6666</v>
      </c>
    </row>
    <row r="51" spans="1:8" ht="15.75" x14ac:dyDescent="0.25">
      <c r="A51" s="19">
        <f t="shared" si="1"/>
        <v>49</v>
      </c>
      <c r="B51" s="43" t="s">
        <v>173</v>
      </c>
      <c r="C51" s="43">
        <v>9469888011</v>
      </c>
      <c r="D51" s="43" t="s">
        <v>7088</v>
      </c>
      <c r="E51" s="43" t="s">
        <v>178</v>
      </c>
      <c r="F51" s="21">
        <v>46004</v>
      </c>
      <c r="G51" s="21" t="s">
        <v>341</v>
      </c>
      <c r="H51" s="19" t="s">
        <v>6666</v>
      </c>
    </row>
    <row r="52" spans="1:8" ht="15.75" x14ac:dyDescent="0.25">
      <c r="A52" s="19">
        <f t="shared" si="1"/>
        <v>50</v>
      </c>
      <c r="B52" s="43" t="s">
        <v>1971</v>
      </c>
      <c r="C52" s="43">
        <v>9797764631</v>
      </c>
      <c r="D52" s="43" t="s">
        <v>7089</v>
      </c>
      <c r="E52" s="43" t="s">
        <v>1972</v>
      </c>
      <c r="F52" s="21">
        <v>46004</v>
      </c>
      <c r="G52" s="21" t="s">
        <v>341</v>
      </c>
      <c r="H52" s="19" t="s">
        <v>6666</v>
      </c>
    </row>
    <row r="53" spans="1:8" ht="15.75" x14ac:dyDescent="0.25">
      <c r="A53" s="19">
        <f t="shared" si="1"/>
        <v>51</v>
      </c>
      <c r="B53" s="43" t="s">
        <v>7103</v>
      </c>
      <c r="C53" s="43">
        <v>7006224132</v>
      </c>
      <c r="D53" s="43" t="s">
        <v>7111</v>
      </c>
      <c r="E53" s="43" t="s">
        <v>7110</v>
      </c>
      <c r="F53" s="21">
        <v>46004</v>
      </c>
      <c r="G53" s="21" t="s">
        <v>341</v>
      </c>
      <c r="H53" s="19" t="s">
        <v>6666</v>
      </c>
    </row>
    <row r="54" spans="1:8" ht="15.75" x14ac:dyDescent="0.25">
      <c r="A54" s="19">
        <f t="shared" si="1"/>
        <v>52</v>
      </c>
      <c r="B54" s="43" t="s">
        <v>7094</v>
      </c>
      <c r="C54" s="43">
        <v>7006296665</v>
      </c>
      <c r="D54" s="43" t="s">
        <v>7112</v>
      </c>
      <c r="E54" s="43" t="s">
        <v>7095</v>
      </c>
      <c r="F54" s="21">
        <v>46004</v>
      </c>
      <c r="G54" s="21" t="s">
        <v>341</v>
      </c>
      <c r="H54" s="19" t="s">
        <v>6666</v>
      </c>
    </row>
    <row r="55" spans="1:8" ht="15.75" x14ac:dyDescent="0.25">
      <c r="A55" s="19">
        <f t="shared" si="1"/>
        <v>53</v>
      </c>
      <c r="B55" s="19" t="s">
        <v>6097</v>
      </c>
      <c r="C55" s="43">
        <v>7006205953</v>
      </c>
      <c r="D55" s="43" t="s">
        <v>7117</v>
      </c>
      <c r="E55" s="37" t="s">
        <v>6984</v>
      </c>
      <c r="F55" s="21">
        <v>46006</v>
      </c>
      <c r="G55" s="21" t="s">
        <v>341</v>
      </c>
      <c r="H55" s="19" t="s">
        <v>6666</v>
      </c>
    </row>
    <row r="56" spans="1:8" ht="15.75" x14ac:dyDescent="0.25">
      <c r="A56" s="19">
        <f t="shared" si="1"/>
        <v>54</v>
      </c>
      <c r="B56" s="19"/>
      <c r="C56" s="19"/>
      <c r="D56" s="19"/>
      <c r="E56" s="19"/>
      <c r="F56" s="21"/>
      <c r="G56" s="21"/>
      <c r="H56" s="19"/>
    </row>
    <row r="57" spans="1:8" ht="15.75" x14ac:dyDescent="0.25">
      <c r="A57" s="19">
        <f t="shared" si="1"/>
        <v>55</v>
      </c>
      <c r="B57" s="19"/>
      <c r="C57" s="19"/>
      <c r="D57" s="19"/>
      <c r="E57" s="19"/>
      <c r="F57" s="21"/>
      <c r="G57" s="21"/>
      <c r="H57" s="19"/>
    </row>
    <row r="58" spans="1:8" ht="15.75" x14ac:dyDescent="0.25">
      <c r="A58" s="19">
        <f t="shared" si="1"/>
        <v>56</v>
      </c>
      <c r="B58" s="19"/>
      <c r="C58" s="19"/>
      <c r="D58" s="19"/>
      <c r="E58" s="19"/>
      <c r="F58" s="21"/>
      <c r="G58" s="21"/>
      <c r="H58" s="19"/>
    </row>
  </sheetData>
  <mergeCells count="1">
    <mergeCell ref="A1:H1"/>
  </mergeCells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dimension ref="A1:K33"/>
  <sheetViews>
    <sheetView workbookViewId="0">
      <selection activeCell="A7" sqref="A7:XFD7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6450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6381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6451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6451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6451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6451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6451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6417</v>
      </c>
      <c r="I8" s="18">
        <v>45972</v>
      </c>
      <c r="J8" s="17" t="s">
        <v>306</v>
      </c>
      <c r="K8" s="17" t="s">
        <v>6451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6451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6451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6451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6451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6451</v>
      </c>
    </row>
    <row r="14" spans="1:11" hidden="1" x14ac:dyDescent="0.25">
      <c r="A14" s="16">
        <v>17</v>
      </c>
      <c r="B14" s="16" t="s">
        <v>5520</v>
      </c>
      <c r="C14" s="16" t="s">
        <v>5519</v>
      </c>
      <c r="D14" s="16" t="s">
        <v>5517</v>
      </c>
      <c r="E14" s="16" t="s">
        <v>3130</v>
      </c>
      <c r="F14" s="16"/>
      <c r="G14" s="16" t="s">
        <v>391</v>
      </c>
      <c r="H14" s="16" t="s">
        <v>5518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5557</v>
      </c>
      <c r="C15" s="16" t="s">
        <v>5556</v>
      </c>
      <c r="D15" s="16" t="s">
        <v>5554</v>
      </c>
      <c r="E15" s="16" t="s">
        <v>12</v>
      </c>
      <c r="F15" s="16"/>
      <c r="G15" s="16" t="s">
        <v>352</v>
      </c>
      <c r="H15" s="16" t="s">
        <v>5555</v>
      </c>
      <c r="I15" s="18">
        <v>45947</v>
      </c>
      <c r="J15" s="17" t="s">
        <v>438</v>
      </c>
      <c r="K15" s="17" t="s">
        <v>6451</v>
      </c>
    </row>
    <row r="16" spans="1:11" hidden="1" x14ac:dyDescent="0.25">
      <c r="A16" s="16">
        <v>19</v>
      </c>
      <c r="B16" s="16" t="s">
        <v>6325</v>
      </c>
      <c r="C16" s="16" t="s">
        <v>29</v>
      </c>
      <c r="D16" s="16" t="s">
        <v>6324</v>
      </c>
      <c r="E16" s="16" t="s">
        <v>6324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6454</v>
      </c>
    </row>
    <row r="17" spans="1:11" hidden="1" x14ac:dyDescent="0.25">
      <c r="A17" s="16">
        <v>20</v>
      </c>
      <c r="B17" s="16" t="s">
        <v>6383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6452</v>
      </c>
      <c r="K17" s="17" t="s">
        <v>6454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5335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5416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5518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2025-12-15T06:45:48Z</dcterms:modified>
</cp:coreProperties>
</file>