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31FC567-8A64-49B8-A49E-44E5BA8FD1B1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Sheet1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96" i="7" l="1"/>
  <c r="A497" i="7"/>
  <c r="A498" i="7"/>
  <c r="A499" i="7"/>
  <c r="A500" i="7"/>
  <c r="A501" i="7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H773" i="4" l="1"/>
  <c r="H771" i="4"/>
  <c r="H772" i="4"/>
  <c r="H774" i="4"/>
  <c r="H775" i="4"/>
  <c r="H776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4" i="4"/>
  <c r="A775" i="4"/>
  <c r="A776" i="4"/>
  <c r="A471" i="7" l="1"/>
  <c r="A472" i="7"/>
  <c r="A473" i="7"/>
  <c r="A474" i="7"/>
  <c r="A475" i="7"/>
  <c r="A476" i="7"/>
  <c r="A477" i="7"/>
  <c r="A478" i="7"/>
  <c r="A479" i="7"/>
  <c r="A480" i="7"/>
  <c r="A739" i="4"/>
  <c r="A740" i="4"/>
  <c r="A741" i="4"/>
  <c r="A742" i="4"/>
  <c r="A743" i="4"/>
  <c r="A744" i="4"/>
  <c r="A745" i="4"/>
  <c r="A746" i="4"/>
  <c r="A747" i="4"/>
  <c r="A468" i="7"/>
  <c r="A469" i="7"/>
  <c r="A470" i="7"/>
  <c r="A756" i="4"/>
  <c r="A733" i="4"/>
  <c r="A734" i="4"/>
  <c r="A735" i="4"/>
  <c r="A736" i="4"/>
  <c r="A737" i="4"/>
  <c r="A738" i="4"/>
  <c r="A729" i="4" l="1"/>
  <c r="A730" i="4"/>
  <c r="A731" i="4"/>
  <c r="A732" i="4"/>
  <c r="A464" i="7"/>
  <c r="A465" i="7"/>
  <c r="A466" i="7"/>
  <c r="A467" i="7"/>
  <c r="A718" i="4"/>
  <c r="A719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7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9" i="4"/>
  <c r="A680" i="4"/>
  <c r="A681" i="4"/>
  <c r="A682" i="4"/>
  <c r="A675" i="4"/>
  <c r="A676" i="4"/>
  <c r="A678" i="4"/>
  <c r="A671" i="4"/>
  <c r="A672" i="4"/>
  <c r="A673" i="4"/>
  <c r="A674" i="4"/>
  <c r="A667" i="4"/>
  <c r="A668" i="4"/>
  <c r="A669" i="4"/>
  <c r="A670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395" i="7"/>
  <c r="A396" i="7"/>
  <c r="A397" i="7"/>
  <c r="A398" i="7"/>
  <c r="A389" i="7"/>
  <c r="A390" i="7"/>
  <c r="A391" i="7"/>
  <c r="A392" i="7"/>
  <c r="A393" i="7"/>
  <c r="A394" i="7"/>
  <c r="A639" i="4"/>
  <c r="A637" i="4"/>
  <c r="A640" i="4"/>
  <c r="A641" i="4"/>
  <c r="A642" i="4"/>
  <c r="A643" i="4"/>
  <c r="A644" i="4"/>
  <c r="A645" i="4"/>
  <c r="A635" i="4"/>
  <c r="A636" i="4"/>
  <c r="A638" i="4"/>
  <c r="A384" i="7"/>
  <c r="A385" i="7"/>
  <c r="A386" i="7"/>
  <c r="A387" i="7"/>
  <c r="A388" i="7"/>
  <c r="A380" i="7"/>
  <c r="A381" i="7"/>
  <c r="A382" i="7"/>
  <c r="A383" i="7"/>
  <c r="A627" i="4"/>
  <c r="A628" i="4"/>
  <c r="A629" i="4"/>
  <c r="A630" i="4"/>
  <c r="A633" i="4"/>
  <c r="A631" i="4"/>
  <c r="A634" i="4"/>
  <c r="A632" i="4"/>
  <c r="A622" i="4"/>
  <c r="A624" i="4"/>
  <c r="A625" i="4"/>
  <c r="A626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1" i="4"/>
  <c r="A612" i="4"/>
  <c r="A613" i="4"/>
  <c r="A623" i="4"/>
  <c r="A614" i="4"/>
  <c r="A615" i="4"/>
  <c r="A616" i="4"/>
  <c r="A617" i="4"/>
  <c r="A618" i="4"/>
  <c r="A619" i="4"/>
  <c r="A620" i="4"/>
  <c r="A621" i="4"/>
  <c r="A610" i="4"/>
  <c r="A602" i="4"/>
  <c r="A609" i="4"/>
  <c r="A608" i="4"/>
  <c r="A601" i="4"/>
  <c r="A604" i="4"/>
  <c r="A605" i="4"/>
  <c r="A606" i="4"/>
  <c r="A607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77" i="4"/>
  <c r="A603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4" i="4"/>
  <c r="A466" i="4"/>
  <c r="A465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40" i="4"/>
  <c r="A539" i="4"/>
  <c r="A541" i="4"/>
  <c r="A542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6" i="4"/>
  <c r="A427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44" i="4"/>
  <c r="A346" i="4"/>
  <c r="A337" i="4"/>
  <c r="A340" i="4"/>
  <c r="A335" i="4"/>
  <c r="A339" i="4"/>
  <c r="A338" i="4"/>
  <c r="A334" i="4"/>
  <c r="A336" i="4"/>
  <c r="A341" i="4"/>
  <c r="A342" i="4"/>
  <c r="A343" i="4"/>
  <c r="A333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4" i="4"/>
  <c r="A201" i="4"/>
  <c r="A197" i="4"/>
  <c r="A205" i="4"/>
  <c r="A203" i="4"/>
  <c r="A200" i="4"/>
  <c r="A199" i="4"/>
  <c r="A198" i="4"/>
  <c r="A2" i="4"/>
</calcChain>
</file>

<file path=xl/sharedStrings.xml><?xml version="1.0" encoding="utf-8"?>
<sst xmlns="http://schemas.openxmlformats.org/spreadsheetml/2006/main" count="26868" uniqueCount="10771">
  <si>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</si>
  <si>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</si>
  <si>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</si>
  <si>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</si>
  <si>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</si>
  <si>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</si>
  <si>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</si>
  <si>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</si>
  <si>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</si>
  <si>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</si>
  <si>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</si>
  <si>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</si>
  <si>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</si>
  <si>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</si>
  <si>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</si>
  <si>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</si>
  <si>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</si>
  <si>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</si>
  <si>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</si>
  <si>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</si>
  <si>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</si>
  <si>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</si>
  <si>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</si>
  <si>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</si>
  <si>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</si>
  <si>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</si>
  <si>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</si>
  <si>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</si>
  <si>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</si>
  <si>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</si>
  <si>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</si>
  <si>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</si>
  <si>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</si>
  <si>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</si>
  <si>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</si>
  <si>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</si>
  <si>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</si>
  <si>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</si>
  <si>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</si>
  <si>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</si>
  <si>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</si>
  <si>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</si>
  <si>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</si>
  <si>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</si>
  <si>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</si>
  <si>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</si>
  <si>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</si>
  <si>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</si>
  <si>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</si>
  <si>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</si>
  <si>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</si>
  <si>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</si>
  <si>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</si>
  <si>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</si>
  <si>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</si>
  <si>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</si>
  <si>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</si>
  <si>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</si>
  <si>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</si>
  <si>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</si>
  <si>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</si>
  <si>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</si>
  <si>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</si>
  <si>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</si>
  <si>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</si>
  <si>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</si>
  <si>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</si>
  <si>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</si>
  <si>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</si>
  <si>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</si>
  <si>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</si>
  <si>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</si>
  <si>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</si>
  <si>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</si>
  <si>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</si>
  <si>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</si>
  <si>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</si>
  <si>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</si>
  <si>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</si>
  <si>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</si>
  <si>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</si>
  <si>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</si>
  <si>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</si>
  <si>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</si>
  <si>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</si>
  <si>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</si>
  <si>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</si>
  <si>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</si>
  <si>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</si>
  <si>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</si>
  <si>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</si>
  <si>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</si>
  <si>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</si>
  <si>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</si>
  <si>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</si>
  <si>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</si>
  <si>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</si>
  <si>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</si>
  <si>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</si>
  <si>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</si>
  <si>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</si>
  <si>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</si>
  <si>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</si>
  <si>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</si>
  <si>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</si>
  <si>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</si>
  <si>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</si>
  <si>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</si>
  <si>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</si>
  <si>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</si>
  <si>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</si>
  <si>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</si>
  <si>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</si>
  <si>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</si>
  <si>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</si>
  <si>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</si>
  <si>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</si>
  <si>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</si>
  <si>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</si>
  <si>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</si>
  <si>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</si>
  <si>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</si>
  <si>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</si>
  <si>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</si>
  <si>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</si>
  <si>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</si>
  <si>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</si>
  <si>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</si>
  <si>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</si>
  <si>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</si>
  <si>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</si>
  <si>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</si>
  <si>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</si>
  <si>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</si>
  <si>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</si>
  <si>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</si>
  <si>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</si>
  <si>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</si>
  <si>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</si>
  <si>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</si>
  <si>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</si>
  <si>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</si>
  <si>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</si>
  <si>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</si>
  <si>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</si>
  <si>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</si>
  <si>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</si>
  <si>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</si>
  <si>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</si>
  <si>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</si>
  <si>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</si>
  <si>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</si>
  <si>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</si>
  <si>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</si>
  <si>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</si>
  <si>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</si>
  <si>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</si>
  <si>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</si>
  <si>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</si>
  <si>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</si>
  <si>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</si>
  <si>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</si>
  <si>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</si>
  <si>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</si>
  <si>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</si>
  <si>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</si>
  <si>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</si>
  <si>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</si>
  <si>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</si>
  <si>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</si>
  <si>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</si>
  <si>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</si>
  <si>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</si>
  <si>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</si>
  <si>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</si>
  <si>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</si>
  <si>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</si>
  <si>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</si>
  <si>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</si>
  <si>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</si>
  <si>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</si>
  <si>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</si>
  <si>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</si>
  <si>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</si>
  <si>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</si>
  <si>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</si>
  <si>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</si>
  <si>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</si>
  <si>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</si>
  <si>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</si>
  <si>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</si>
  <si>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</si>
  <si>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</si>
  <si>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</si>
  <si>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</si>
  <si>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</si>
  <si>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</si>
  <si>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</si>
  <si>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</si>
  <si>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</si>
  <si>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</si>
  <si>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</si>
  <si>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</si>
  <si>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</si>
  <si>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</si>
  <si>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</si>
  <si>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</si>
  <si>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</si>
  <si>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</si>
  <si>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</si>
  <si>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</si>
  <si>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</si>
  <si>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</si>
  <si>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</si>
  <si>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</si>
  <si>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</si>
  <si>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</si>
  <si>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</si>
  <si>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</si>
  <si>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</si>
  <si>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</si>
  <si>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</si>
  <si>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</si>
  <si>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</si>
  <si>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</si>
  <si>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</si>
  <si>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</si>
  <si>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</si>
  <si>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</si>
  <si>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</si>
  <si>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</si>
  <si>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</si>
  <si>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</si>
  <si>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</si>
  <si>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</si>
  <si>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</si>
  <si>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</si>
  <si>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</si>
  <si>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</si>
  <si>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</si>
  <si>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</si>
  <si>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</si>
  <si>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</si>
  <si>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</si>
  <si>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</si>
  <si>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</si>
  <si>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</si>
  <si>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</si>
  <si>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</si>
  <si>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</si>
  <si>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</si>
  <si>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</si>
  <si>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</si>
  <si>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</si>
  <si>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</si>
  <si>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</si>
  <si>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</si>
  <si>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</si>
  <si>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</si>
  <si>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</si>
  <si>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</si>
  <si>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</si>
  <si>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</si>
  <si>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</si>
  <si>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</si>
  <si>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</si>
  <si>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</si>
  <si>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</si>
  <si>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</si>
  <si>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</si>
  <si>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</si>
  <si>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</si>
  <si>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</si>
  <si>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</si>
  <si>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</si>
  <si>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</si>
  <si>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</si>
  <si>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</si>
  <si>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</si>
  <si>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</si>
  <si>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</si>
  <si>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</si>
  <si>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</si>
  <si>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</si>
  <si>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</si>
  <si>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</si>
  <si>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</si>
  <si>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</si>
  <si>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</si>
  <si>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</si>
  <si>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</si>
  <si>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</si>
  <si>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</si>
  <si>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</si>
  <si>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</si>
  <si>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</si>
  <si>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</si>
  <si>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</si>
  <si>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</si>
  <si>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</si>
  <si>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</si>
  <si>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</si>
  <si>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</si>
  <si>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</si>
  <si>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</si>
  <si>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</si>
  <si>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</si>
  <si>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</si>
  <si>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</si>
  <si>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</si>
  <si>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</si>
  <si>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</si>
  <si>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</si>
  <si>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</si>
  <si>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</si>
  <si>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</si>
  <si>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</si>
  <si>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</si>
  <si>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</si>
  <si>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</si>
  <si>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</si>
  <si>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</si>
  <si>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</si>
  <si>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</si>
  <si>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</si>
  <si>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</si>
  <si>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</si>
  <si>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</si>
  <si>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</si>
  <si>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</si>
  <si>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</si>
  <si>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</si>
  <si>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</si>
  <si>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</si>
  <si>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</si>
  <si>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</si>
  <si>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</si>
  <si>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</si>
  <si>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</si>
  <si>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</si>
  <si>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</si>
  <si>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</si>
  <si>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</si>
  <si>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</si>
  <si>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</si>
  <si>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</si>
  <si>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</si>
  <si>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</si>
  <si>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</si>
  <si>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</si>
  <si>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</si>
  <si>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</si>
  <si>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</si>
  <si>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</si>
  <si>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</si>
  <si>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</si>
  <si>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</si>
  <si>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</si>
  <si>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</si>
  <si>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</si>
  <si>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</si>
  <si>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</si>
  <si>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</si>
  <si>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</si>
  <si>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</si>
  <si>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</si>
  <si>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</si>
  <si>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</si>
  <si>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</si>
  <si>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</si>
  <si>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</si>
  <si>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</si>
  <si>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</si>
  <si>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</si>
  <si>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</si>
  <si>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</si>
  <si>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</si>
  <si>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</si>
  <si>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</si>
  <si>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</si>
  <si>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</si>
  <si>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</si>
  <si>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</si>
  <si>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</si>
  <si>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</si>
  <si>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</si>
  <si>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</si>
  <si>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</si>
  <si>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</si>
  <si>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</si>
  <si>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</si>
  <si>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</si>
  <si>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</si>
  <si>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</si>
  <si>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</si>
  <si>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</si>
  <si>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</si>
  <si>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</si>
  <si>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</si>
  <si>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</si>
  <si>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</si>
  <si>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</si>
  <si>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</si>
  <si>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</si>
  <si>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</si>
  <si>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</si>
  <si>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</si>
  <si>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</si>
  <si>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</si>
  <si>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</si>
  <si>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</si>
  <si>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</si>
  <si>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</si>
  <si>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</si>
  <si>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</si>
  <si>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</si>
  <si>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</si>
  <si>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</si>
  <si>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</si>
  <si>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</si>
  <si>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</si>
  <si>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</si>
  <si>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</si>
  <si>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</si>
  <si>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</si>
  <si>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</si>
  <si>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</si>
  <si>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</si>
  <si>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</si>
  <si>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</si>
  <si>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</si>
  <si>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</si>
  <si>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</si>
  <si>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</si>
  <si>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</si>
  <si>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</si>
  <si>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</si>
  <si>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</si>
  <si>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</si>
  <si>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</si>
  <si>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</si>
  <si>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</si>
  <si>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</si>
  <si>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</si>
  <si>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</si>
  <si>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</si>
  <si>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</si>
  <si>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</si>
  <si>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</si>
  <si>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</si>
  <si>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</si>
  <si>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</si>
  <si>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</si>
  <si>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</si>
  <si>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</si>
  <si>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</si>
  <si>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</si>
  <si>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</si>
  <si>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</si>
  <si>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</si>
  <si>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</si>
  <si>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</si>
  <si>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</si>
  <si>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</si>
  <si>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</si>
  <si>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</si>
  <si>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</si>
  <si>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</si>
  <si>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</si>
  <si>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</si>
  <si>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</si>
  <si>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</si>
  <si>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</si>
  <si>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</si>
  <si>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</si>
  <si>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</si>
  <si>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</si>
  <si>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</si>
  <si>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</si>
  <si>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</si>
  <si>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</si>
  <si>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</si>
  <si>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</si>
  <si>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</si>
  <si>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</si>
  <si>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</si>
  <si>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</si>
  <si>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</si>
  <si>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</si>
  <si>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</si>
  <si>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</si>
  <si>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</si>
  <si>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</si>
  <si>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</si>
  <si>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</si>
  <si>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</si>
  <si>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</si>
  <si>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</si>
  <si>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</si>
  <si>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</si>
  <si>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</si>
  <si>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</si>
  <si>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</si>
  <si>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</si>
  <si>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</si>
  <si>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</si>
  <si>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</si>
  <si>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</si>
  <si>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</si>
  <si>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</si>
  <si>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</si>
  <si>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</si>
  <si>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</si>
  <si>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</si>
  <si>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</si>
  <si>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</si>
  <si>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</si>
  <si>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</si>
  <si>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</si>
  <si>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</si>
  <si>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</si>
  <si>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</si>
  <si>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</si>
  <si>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</si>
  <si>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</si>
  <si>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</si>
  <si>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</si>
  <si>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</si>
  <si>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</si>
  <si>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</si>
  <si>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</si>
  <si>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</si>
  <si>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</si>
  <si>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</si>
  <si>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</si>
  <si>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</si>
  <si>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</si>
  <si>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</si>
  <si>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</si>
  <si>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</si>
  <si>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</si>
  <si>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</si>
  <si>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</si>
  <si>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</si>
  <si>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</si>
  <si>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</si>
  <si>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</si>
  <si>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</si>
  <si>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</si>
  <si>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</si>
  <si>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</si>
  <si>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</si>
  <si>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</si>
  <si>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</si>
  <si>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</si>
  <si>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</si>
  <si>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</si>
  <si>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</si>
  <si>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</si>
  <si>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</si>
  <si>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</si>
  <si>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</si>
  <si>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</si>
  <si>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</si>
  <si>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</si>
  <si>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</si>
  <si>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</si>
  <si>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</si>
  <si>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</si>
  <si>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</si>
  <si>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</si>
  <si>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</si>
  <si>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</si>
  <si>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</si>
  <si>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</si>
  <si>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</si>
  <si>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</si>
  <si>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</si>
  <si>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</si>
  <si>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</si>
  <si>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</si>
  <si>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</si>
  <si>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</si>
  <si>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</si>
  <si>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</si>
  <si>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</si>
  <si>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</si>
  <si>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</si>
  <si>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</si>
  <si>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</si>
  <si>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</si>
  <si>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</si>
  <si>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</si>
  <si>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</si>
  <si>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</si>
  <si>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</si>
  <si>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</si>
  <si>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</si>
  <si>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</si>
  <si>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</si>
  <si>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</si>
  <si>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</si>
  <si>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</si>
  <si>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</si>
  <si>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</si>
  <si>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</si>
  <si>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</si>
  <si>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</si>
  <si>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</si>
  <si>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</si>
  <si>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</si>
  <si>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</si>
  <si>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</si>
  <si>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</si>
  <si>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</si>
  <si>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</si>
  <si>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</si>
  <si>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</si>
  <si>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</si>
  <si>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</si>
  <si>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</si>
  <si>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</si>
  <si>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</si>
  <si>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</si>
  <si>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</si>
  <si>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</si>
  <si>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</si>
  <si>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</si>
  <si>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</si>
  <si>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</si>
  <si>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</si>
  <si>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</si>
  <si>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</si>
  <si>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</si>
  <si>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</si>
  <si>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</si>
  <si>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</si>
  <si>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</si>
  <si>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</si>
  <si>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</si>
  <si>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</si>
  <si>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</si>
  <si>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</si>
  <si>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</si>
  <si>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</si>
  <si>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</si>
  <si>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</si>
  <si>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</si>
  <si>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</si>
  <si>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</si>
  <si>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</si>
  <si>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</si>
  <si>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</si>
  <si>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</si>
  <si>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</si>
  <si>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</si>
  <si>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</si>
  <si>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</si>
  <si>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</si>
  <si>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</si>
  <si>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</si>
  <si>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</si>
  <si>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</si>
  <si>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</si>
  <si>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</si>
  <si>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</si>
  <si>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</si>
  <si>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</si>
  <si>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</si>
  <si>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</si>
  <si>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</si>
  <si>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</si>
  <si>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</si>
  <si>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</si>
  <si>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</si>
  <si>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</si>
  <si>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</si>
  <si>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</si>
  <si>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</si>
  <si>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</si>
  <si>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</si>
  <si>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</si>
  <si>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</si>
  <si>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</si>
  <si>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</si>
  <si>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</si>
  <si>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</si>
  <si>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</si>
  <si>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</si>
  <si>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</si>
  <si>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</si>
  <si>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</si>
  <si>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</si>
  <si>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</si>
  <si>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</si>
  <si>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</si>
  <si>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</si>
  <si>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</si>
  <si>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</si>
  <si>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</si>
  <si>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</si>
  <si>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</si>
  <si>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</si>
  <si>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</si>
  <si>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</si>
  <si>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</si>
  <si>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</si>
  <si>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</si>
  <si>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</si>
  <si>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</si>
  <si>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</si>
  <si>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</si>
  <si>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</si>
  <si>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</si>
  <si>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</si>
  <si>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</si>
  <si>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</si>
  <si>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</si>
  <si>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</si>
  <si>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</si>
  <si>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</si>
  <si>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</si>
  <si>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</si>
  <si>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</si>
  <si>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</si>
  <si>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</si>
  <si>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</si>
  <si>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</si>
  <si>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</si>
  <si>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</si>
  <si>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</si>
  <si>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</si>
  <si>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</si>
  <si>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</si>
  <si>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</si>
  <si>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</si>
  <si>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</si>
  <si>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</si>
  <si>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</si>
  <si>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</si>
  <si>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</si>
  <si>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</si>
  <si>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</si>
  <si>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</si>
  <si>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</si>
  <si>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</si>
  <si>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</si>
  <si>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</si>
  <si>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</si>
  <si>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</si>
  <si>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</si>
  <si>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</si>
  <si>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</si>
  <si>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</si>
  <si>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</si>
  <si>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</si>
  <si>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</si>
  <si>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</si>
  <si>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</si>
  <si>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</si>
  <si>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</si>
  <si>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</si>
  <si>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</si>
  <si>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</si>
  <si>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</si>
  <si>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</si>
  <si>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</si>
  <si>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</si>
  <si>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</si>
  <si>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</si>
  <si>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</si>
  <si>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</si>
  <si>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</si>
  <si>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</si>
  <si>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</si>
  <si>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</si>
  <si>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</si>
  <si>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</si>
  <si>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</si>
  <si>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</si>
  <si>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</si>
  <si>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</si>
  <si>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</si>
  <si>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</si>
  <si>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</si>
  <si>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</si>
  <si>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</si>
  <si>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</si>
  <si>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</si>
  <si>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</si>
  <si>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</si>
  <si>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</si>
  <si>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</si>
  <si>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</si>
  <si>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</si>
  <si>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</si>
  <si>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</si>
  <si>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</si>
  <si>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</si>
  <si>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</si>
  <si>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</si>
  <si>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</si>
  <si>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</si>
  <si>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</si>
  <si>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</si>
  <si>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</si>
  <si>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</si>
  <si>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</si>
  <si>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</si>
  <si>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</si>
  <si>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</si>
  <si>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</si>
  <si>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</si>
  <si>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</si>
  <si>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</si>
  <si>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</si>
  <si>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</si>
  <si>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</si>
  <si>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</si>
  <si>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</si>
  <si>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</si>
  <si>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</si>
  <si>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</si>
  <si>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</si>
  <si>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</si>
  <si>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</si>
  <si>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</si>
  <si>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</si>
  <si>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</si>
  <si>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</si>
  <si>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</si>
  <si>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</si>
  <si>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</si>
  <si>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</si>
  <si>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</si>
  <si>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</si>
  <si>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</si>
  <si>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</si>
  <si>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</si>
  <si>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</si>
  <si>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</si>
  <si>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</si>
  <si>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</si>
  <si>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</si>
  <si>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</si>
  <si>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</si>
  <si>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</si>
  <si>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</si>
  <si>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</si>
  <si>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</si>
  <si>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</si>
  <si>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</si>
  <si>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</si>
  <si>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</si>
  <si>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</si>
  <si>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</si>
  <si>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</si>
  <si>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</si>
  <si>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</si>
  <si>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</si>
  <si>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</si>
  <si>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</si>
  <si>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</si>
  <si>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</si>
  <si>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</si>
  <si>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</si>
  <si>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</si>
  <si>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</si>
  <si>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</si>
  <si>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</si>
  <si>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</si>
  <si>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</si>
  <si>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</si>
  <si>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</si>
  <si>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</si>
  <si>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</si>
  <si>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</si>
  <si>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</si>
  <si>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</si>
  <si>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</si>
  <si>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</si>
  <si>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</si>
  <si>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</si>
  <si>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</si>
  <si>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</si>
  <si>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</si>
  <si>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</si>
  <si>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</si>
  <si>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</si>
  <si>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</si>
  <si>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</si>
  <si>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</si>
  <si>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</si>
  <si>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</si>
  <si>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</si>
  <si>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</si>
  <si>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</si>
  <si>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</si>
  <si>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</si>
  <si>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</si>
  <si>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</si>
  <si>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</si>
  <si>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</si>
  <si>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</si>
  <si>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</si>
  <si>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</si>
  <si>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</si>
  <si>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</si>
  <si>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</si>
  <si>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</si>
  <si>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</si>
  <si>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</si>
  <si>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</si>
  <si>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</si>
  <si>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</si>
  <si>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</si>
  <si>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</si>
  <si>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</si>
  <si>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</si>
  <si>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</si>
  <si>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</si>
  <si>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</si>
  <si>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</si>
  <si>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</si>
  <si>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</si>
  <si>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</si>
  <si>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</si>
  <si>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</si>
  <si>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</si>
  <si>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</si>
  <si>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</si>
  <si>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</si>
  <si>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</si>
  <si>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</si>
  <si>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</si>
  <si>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</si>
  <si>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</si>
  <si>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</si>
  <si>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</si>
  <si>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</si>
  <si>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</si>
  <si>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</si>
  <si>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</si>
  <si>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</si>
  <si>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</si>
  <si>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</si>
  <si>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</si>
  <si>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</si>
  <si>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</si>
  <si>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</si>
  <si>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</si>
  <si>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</si>
  <si>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</si>
  <si>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</si>
  <si>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</si>
  <si>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</si>
  <si>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</si>
  <si>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</si>
  <si>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</si>
  <si>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</si>
  <si>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</si>
  <si>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</si>
  <si>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</si>
  <si>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</si>
  <si>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</si>
  <si>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</si>
  <si>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</si>
  <si>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</si>
  <si>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</si>
  <si>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</si>
  <si>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</si>
  <si>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</si>
  <si>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</si>
  <si>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</si>
  <si>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</si>
  <si>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</si>
  <si>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</si>
  <si>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</si>
  <si>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</si>
  <si>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</si>
  <si>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</si>
  <si>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</si>
  <si>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</si>
  <si>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</si>
  <si>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</si>
  <si>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</si>
  <si>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</si>
  <si>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</si>
  <si>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</si>
  <si>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</si>
  <si>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</si>
  <si>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</si>
  <si>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</si>
  <si>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</si>
  <si>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</si>
  <si>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</si>
  <si>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</si>
  <si>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</si>
  <si>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</si>
  <si>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</si>
  <si>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</si>
  <si>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</si>
  <si>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</si>
  <si>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</si>
  <si>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</si>
  <si>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</si>
  <si>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</si>
  <si>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</si>
  <si>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</si>
  <si>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</si>
  <si>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</si>
  <si>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</si>
  <si>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</si>
  <si>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</si>
  <si>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</si>
  <si>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</si>
  <si>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</si>
  <si>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</si>
  <si>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</si>
  <si>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</si>
  <si>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</si>
  <si>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</si>
  <si>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</si>
  <si>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</si>
  <si>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</si>
  <si>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</si>
  <si>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</si>
  <si>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</si>
  <si>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</si>
  <si>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</si>
  <si>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</si>
  <si>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</si>
  <si>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</si>
  <si>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</si>
  <si>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</si>
  <si>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</si>
  <si>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</si>
  <si>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</si>
  <si>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</si>
  <si>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</si>
  <si>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</si>
  <si>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</si>
  <si>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</si>
  <si>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</si>
  <si>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</si>
  <si>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</si>
  <si>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</si>
  <si>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</si>
  <si>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</si>
  <si>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</si>
  <si>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</si>
  <si>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</si>
  <si>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</si>
  <si>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</si>
  <si>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</si>
  <si>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</si>
  <si>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</si>
  <si>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</si>
  <si>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</si>
  <si>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</si>
  <si>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</si>
  <si>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</si>
  <si>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</si>
  <si>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</si>
  <si>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</si>
  <si>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</si>
  <si>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</si>
  <si>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</si>
  <si>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</si>
  <si>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</si>
  <si>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</si>
  <si>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</si>
  <si>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</si>
  <si>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</si>
  <si>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</si>
  <si>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</si>
  <si>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</si>
  <si>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</si>
  <si>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</si>
  <si>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</si>
  <si>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</si>
  <si>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</si>
  <si>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</si>
  <si>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</si>
  <si>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</si>
  <si>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</si>
  <si>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</si>
  <si>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</si>
  <si>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</si>
  <si>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</si>
  <si>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</si>
  <si>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</si>
  <si>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</si>
  <si>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</si>
  <si>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</si>
  <si>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</si>
  <si>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</si>
  <si>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</si>
  <si>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</si>
  <si>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</si>
  <si>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</si>
  <si>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</si>
  <si>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</si>
  <si>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</si>
  <si>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</si>
  <si>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</si>
  <si>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</si>
  <si>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</si>
  <si>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</si>
  <si>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</si>
  <si>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</si>
  <si>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</si>
  <si>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</si>
  <si>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</si>
  <si>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</si>
  <si>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</si>
  <si>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</si>
  <si>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</si>
  <si>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</si>
  <si>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</si>
  <si>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</si>
  <si>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</si>
  <si>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</si>
  <si>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</si>
  <si>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</si>
  <si>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</si>
  <si>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</si>
  <si>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</si>
  <si>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</si>
  <si>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</si>
  <si>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</si>
  <si>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</si>
  <si>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</si>
  <si>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</si>
  <si>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</si>
  <si>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</si>
  <si>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</si>
  <si>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</si>
  <si>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</si>
  <si>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</si>
  <si>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</si>
  <si>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</si>
  <si>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</si>
  <si>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</si>
  <si>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</si>
  <si>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</si>
  <si>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</si>
  <si>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</si>
  <si>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</si>
  <si>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</si>
  <si>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</si>
  <si>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</si>
  <si>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</si>
  <si>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</si>
  <si>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</si>
  <si>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</si>
  <si>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</si>
  <si>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</si>
  <si>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</si>
  <si>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</si>
  <si>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</si>
  <si>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</si>
  <si>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</si>
  <si>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</si>
  <si>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</si>
  <si>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</si>
  <si>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</si>
  <si>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</si>
  <si>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</si>
  <si>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</si>
  <si>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</si>
  <si>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</si>
  <si>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</si>
  <si>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</si>
  <si>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</si>
  <si>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</si>
  <si>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</si>
  <si>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</si>
  <si>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</si>
  <si>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</si>
  <si>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</si>
  <si>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</si>
  <si>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</si>
  <si>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</si>
  <si>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</si>
  <si>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</si>
  <si>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</si>
  <si>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</si>
  <si>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</si>
  <si>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</si>
  <si>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</si>
  <si>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</si>
  <si>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</si>
  <si>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</si>
  <si>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</si>
  <si>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</si>
  <si>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</si>
  <si>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</si>
  <si>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</si>
  <si>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</si>
  <si>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</si>
  <si>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</si>
  <si>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</si>
  <si>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</si>
  <si>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</si>
  <si>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</si>
  <si>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</si>
  <si>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</si>
  <si>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</si>
  <si>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</si>
  <si>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</si>
  <si>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</si>
  <si>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</si>
  <si>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</si>
  <si>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</si>
  <si>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</si>
  <si>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</si>
  <si>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</si>
  <si>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</si>
  <si>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</si>
  <si>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</si>
  <si>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</si>
  <si>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</si>
  <si>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</si>
  <si>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</si>
  <si>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</si>
  <si>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</si>
  <si>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</si>
  <si>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</si>
  <si>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</si>
  <si>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</si>
  <si>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</si>
  <si>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</si>
  <si>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</si>
  <si>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</si>
  <si>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</si>
  <si>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</si>
  <si>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</si>
  <si>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</si>
  <si>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</si>
  <si>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</si>
  <si>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</si>
  <si>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</si>
  <si>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</si>
  <si>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</si>
  <si>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</si>
  <si>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</si>
  <si>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</si>
  <si>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</si>
  <si>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</si>
  <si>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</si>
  <si>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</si>
  <si>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</si>
  <si>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</si>
  <si>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</si>
  <si>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</si>
  <si>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</si>
  <si>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</si>
  <si>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</si>
  <si>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</si>
  <si>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</si>
  <si>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</si>
  <si>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</si>
  <si>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</si>
  <si>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</si>
  <si>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</si>
  <si>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</si>
  <si>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</si>
  <si>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</si>
  <si>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</si>
  <si>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</si>
  <si>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</si>
  <si>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</si>
  <si>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</si>
  <si>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</si>
  <si>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</si>
  <si>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</si>
  <si>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</si>
  <si>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</si>
  <si>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</si>
  <si>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</si>
  <si>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</si>
  <si>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</si>
  <si>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</si>
  <si>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</si>
  <si>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</si>
  <si>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</si>
  <si>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</si>
  <si>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</si>
  <si>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</si>
  <si>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</si>
  <si>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</si>
  <si>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</si>
  <si>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</si>
  <si>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</si>
  <si>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</si>
  <si>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</si>
  <si>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</si>
  <si>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</si>
  <si>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</si>
  <si>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</si>
  <si>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</si>
  <si>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</si>
  <si>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</si>
  <si>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</si>
  <si>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</si>
  <si>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</si>
  <si>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</si>
  <si>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</si>
  <si>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</si>
  <si>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</si>
  <si>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</si>
  <si>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</si>
  <si>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</si>
  <si>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</si>
  <si>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</si>
  <si>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</si>
  <si>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</si>
  <si>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</si>
  <si>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</si>
  <si>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</si>
  <si>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</si>
  <si>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</si>
  <si>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</si>
  <si>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</si>
  <si>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</si>
  <si>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</si>
  <si>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</si>
  <si>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</si>
  <si>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</si>
  <si>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</si>
  <si>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</si>
  <si>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</si>
  <si>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</si>
  <si>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</si>
  <si>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</si>
  <si>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</si>
  <si>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</si>
  <si>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</si>
  <si>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</si>
  <si>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</si>
  <si>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</si>
  <si>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</si>
  <si>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</si>
  <si>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</si>
  <si>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</si>
  <si>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</si>
  <si>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</si>
  <si>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</si>
  <si>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</si>
  <si>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</si>
  <si>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</si>
  <si>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</si>
  <si>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</si>
  <si>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</si>
  <si>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</si>
  <si>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</si>
  <si>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</si>
  <si>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</si>
  <si>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</si>
  <si>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</si>
  <si>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</si>
  <si>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</si>
  <si>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</si>
  <si>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</si>
  <si>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</si>
  <si>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</si>
  <si>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</si>
  <si>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</si>
  <si>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</si>
  <si>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</si>
  <si>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</si>
  <si>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</si>
  <si>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</si>
  <si>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</si>
  <si>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</si>
  <si>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</si>
  <si>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</si>
  <si>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</si>
  <si>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</si>
  <si>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</si>
  <si>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</si>
  <si>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</si>
  <si>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</si>
  <si>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</si>
  <si>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</si>
  <si>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</si>
  <si>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</si>
  <si>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</si>
  <si>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</si>
  <si>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</si>
  <si>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</si>
  <si>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</si>
  <si>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</si>
  <si>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</si>
  <si>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</si>
  <si>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</si>
  <si>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</si>
  <si>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</si>
  <si>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</si>
  <si>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</si>
  <si>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</si>
  <si>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</si>
  <si>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</si>
  <si>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</si>
  <si>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</si>
  <si>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</si>
  <si>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</si>
  <si>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</si>
  <si>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</si>
  <si>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</si>
  <si>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</si>
  <si>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</si>
  <si>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</si>
  <si>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</si>
  <si>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</si>
  <si>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</si>
  <si>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</si>
  <si>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</si>
  <si>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</si>
  <si>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</si>
  <si>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</si>
  <si>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</si>
  <si>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</si>
  <si>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</si>
  <si>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</si>
  <si>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</si>
  <si>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</si>
  <si>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</si>
  <si>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</si>
  <si>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</si>
  <si>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</si>
  <si>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</si>
  <si>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</si>
  <si>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</si>
  <si>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</si>
  <si>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</si>
  <si>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</si>
  <si>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</si>
  <si>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</si>
  <si>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</si>
  <si>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</si>
  <si>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</si>
  <si>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</si>
  <si>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</si>
  <si>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</si>
  <si>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</si>
  <si>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</si>
  <si>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</si>
  <si>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</si>
  <si>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</si>
  <si>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</si>
  <si>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</si>
  <si>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</si>
  <si>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</si>
  <si>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</si>
  <si>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</si>
  <si>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</si>
  <si>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</si>
  <si>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</si>
  <si>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</si>
  <si>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</si>
  <si>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</si>
  <si>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</si>
  <si>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</si>
  <si>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</si>
  <si>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</si>
  <si>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</si>
  <si>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</si>
  <si>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</si>
  <si>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</si>
  <si>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</si>
  <si>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</si>
  <si>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</si>
  <si>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</si>
  <si>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</si>
  <si>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</si>
  <si>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</si>
  <si>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</si>
  <si>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</si>
  <si>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</si>
  <si>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</si>
  <si>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</si>
  <si>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</si>
  <si>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</si>
  <si>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</si>
  <si>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</si>
  <si>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</si>
  <si>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</si>
  <si>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</si>
  <si>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</si>
  <si>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</si>
  <si>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</si>
  <si>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</si>
  <si>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</si>
  <si>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</si>
  <si>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</si>
  <si>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</si>
  <si>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</si>
  <si>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</si>
  <si>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</si>
  <si>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</si>
  <si>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</si>
  <si>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</si>
  <si>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</si>
  <si>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</si>
  <si>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</si>
  <si>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</si>
  <si>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</si>
  <si>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</si>
  <si>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</si>
  <si>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</si>
  <si>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</si>
  <si>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</si>
  <si>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</si>
  <si>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</si>
  <si>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</si>
  <si>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</si>
  <si>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</si>
  <si>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</si>
  <si>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</si>
  <si>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</si>
  <si>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</si>
  <si>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</si>
  <si>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</si>
  <si>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</si>
  <si>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</si>
  <si>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</si>
  <si>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</si>
  <si>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</si>
  <si>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</si>
  <si>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</si>
  <si>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</si>
  <si>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</si>
  <si>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</si>
  <si>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</si>
  <si>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</si>
  <si>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</si>
  <si>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</si>
  <si>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</si>
  <si>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</si>
  <si>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</si>
  <si>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</si>
  <si>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</si>
  <si>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</si>
  <si>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</si>
  <si>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</si>
  <si>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</si>
  <si>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</si>
  <si>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</si>
  <si>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</si>
  <si>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</si>
  <si>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</si>
  <si>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</si>
  <si>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</si>
  <si>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</si>
  <si>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</si>
  <si>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</si>
  <si>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</si>
  <si>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</si>
  <si>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</si>
  <si>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</si>
  <si>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</si>
  <si>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</si>
  <si>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</si>
  <si>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</si>
  <si>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</si>
  <si>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</si>
  <si>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</si>
  <si>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</si>
  <si>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</si>
  <si>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</si>
  <si>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</si>
  <si>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</si>
  <si>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</si>
  <si>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</si>
  <si>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</si>
  <si>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</si>
  <si>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</si>
  <si>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</si>
  <si>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</si>
  <si>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</si>
  <si>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</si>
  <si>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</si>
  <si>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</si>
  <si>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</si>
  <si>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</si>
  <si>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</si>
  <si>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</si>
  <si>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</si>
  <si>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</si>
  <si>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</si>
  <si>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</si>
  <si>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</si>
  <si>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</si>
  <si>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</si>
  <si>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</si>
  <si>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</si>
  <si>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</si>
  <si>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</si>
  <si>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</si>
  <si>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</si>
  <si>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</si>
  <si>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</si>
  <si>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</si>
  <si>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</si>
  <si>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</si>
  <si>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</si>
  <si>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</si>
  <si>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</si>
  <si>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</si>
  <si>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</si>
  <si>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</si>
  <si>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</si>
  <si>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</si>
  <si>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</si>
  <si>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</si>
  <si>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</si>
  <si>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</si>
  <si>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</si>
  <si>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</si>
  <si>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</si>
  <si>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</si>
  <si>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</si>
  <si>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</si>
  <si>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</si>
  <si>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</si>
  <si>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</si>
  <si>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</si>
  <si>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</si>
  <si>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</si>
  <si>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</si>
  <si>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</si>
  <si>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</si>
  <si>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</si>
  <si>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</si>
  <si>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</si>
  <si>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</si>
  <si>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</si>
  <si>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</si>
  <si>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</si>
  <si>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</si>
  <si>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</si>
  <si>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</si>
  <si>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</si>
  <si>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</si>
  <si>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</si>
  <si>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</si>
  <si>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</si>
  <si>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</si>
  <si>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</si>
  <si>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</si>
  <si>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</si>
  <si>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</si>
  <si>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</si>
  <si>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</si>
  <si>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</si>
  <si>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</si>
  <si>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</si>
  <si>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</si>
  <si>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</si>
  <si>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</si>
  <si>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</si>
  <si>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</si>
  <si>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</si>
  <si>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</si>
  <si>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</si>
  <si>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</si>
  <si>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</si>
  <si>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</si>
  <si>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</si>
  <si>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</si>
  <si>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</si>
  <si>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</si>
  <si>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</si>
  <si>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</si>
  <si>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</si>
  <si>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</si>
  <si>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</si>
  <si>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</si>
  <si>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</si>
  <si>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</si>
  <si>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</si>
  <si>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</si>
  <si>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</si>
  <si>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</si>
  <si>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</si>
  <si>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</si>
  <si>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</si>
  <si>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</si>
  <si>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</si>
  <si>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</si>
  <si>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</si>
  <si>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</si>
  <si>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</si>
  <si>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</si>
  <si>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</si>
  <si>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</si>
  <si>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</si>
  <si>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</si>
  <si>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</si>
  <si>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</si>
  <si>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</si>
  <si>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</si>
  <si>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</si>
  <si>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</si>
  <si>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</si>
  <si>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</si>
  <si>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</si>
  <si>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</si>
  <si>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</si>
  <si>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</si>
  <si>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</si>
  <si>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</si>
  <si>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</si>
  <si>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</si>
  <si>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</si>
  <si>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</si>
  <si>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</si>
  <si>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</si>
  <si>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</si>
  <si>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</si>
  <si>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</si>
  <si>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</si>
  <si>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</si>
  <si>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</si>
  <si>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</si>
  <si>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</si>
  <si>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</si>
  <si>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</si>
  <si>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</si>
  <si>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</si>
  <si>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</si>
  <si>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</si>
  <si>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</si>
  <si>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</si>
  <si>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</si>
  <si>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</si>
  <si>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</si>
  <si>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</si>
  <si>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</si>
  <si>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</si>
  <si>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</si>
  <si>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</si>
  <si>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</si>
  <si>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</si>
  <si>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</si>
  <si>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</si>
  <si>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</si>
  <si>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</si>
  <si>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</si>
  <si>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</si>
  <si>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</si>
  <si>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</si>
  <si>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</si>
  <si>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</si>
  <si>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</si>
  <si>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</si>
  <si>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</si>
  <si>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</si>
  <si>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</si>
  <si>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</si>
  <si>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</si>
  <si>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</si>
  <si>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</si>
  <si>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</si>
  <si>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</si>
  <si>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</si>
  <si>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</si>
  <si>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</si>
  <si>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</si>
  <si>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</si>
  <si>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</si>
  <si>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</si>
  <si>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</si>
  <si>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</si>
  <si>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</si>
  <si>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</si>
  <si>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</si>
  <si>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</si>
  <si>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</si>
  <si>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</si>
  <si>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</si>
  <si>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</si>
  <si>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</si>
  <si>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</si>
  <si>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</si>
  <si>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</si>
  <si>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</si>
  <si>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</si>
  <si>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</si>
  <si>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</si>
  <si>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</si>
  <si>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</si>
  <si>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</si>
  <si>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</si>
  <si>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</si>
  <si>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</si>
  <si>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</si>
  <si>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</si>
  <si>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</si>
  <si>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</si>
  <si>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</si>
  <si>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</si>
  <si>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</si>
  <si>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</si>
  <si>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</si>
  <si>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</si>
  <si>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</si>
  <si>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</si>
  <si>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</si>
  <si>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</si>
  <si>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</si>
  <si>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</si>
  <si>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</si>
  <si>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</si>
  <si>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</si>
  <si>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</si>
  <si>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</si>
  <si>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</si>
  <si>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</si>
  <si>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</si>
  <si>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</si>
  <si>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</si>
  <si>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</si>
  <si>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</si>
  <si>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</si>
  <si>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</si>
  <si>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</si>
  <si>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</si>
  <si>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</si>
  <si>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</si>
  <si>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</si>
  <si>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</si>
  <si>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</si>
  <si>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</si>
  <si>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</si>
  <si>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</si>
  <si>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</si>
  <si>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</si>
  <si>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</si>
  <si>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</si>
  <si>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</si>
  <si>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</si>
  <si>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</si>
  <si>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</si>
  <si>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</si>
  <si>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</si>
  <si>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</si>
  <si>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</si>
  <si>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</si>
  <si>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</si>
  <si>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</si>
  <si>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</si>
  <si>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</si>
  <si>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</si>
  <si>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</si>
  <si>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</si>
  <si>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</si>
  <si>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</si>
  <si>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</si>
  <si>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</si>
  <si>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</si>
  <si>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</si>
  <si>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</si>
  <si>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</si>
  <si>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</si>
  <si>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</si>
  <si>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</si>
  <si>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</si>
  <si>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</si>
  <si>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</si>
  <si>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</si>
  <si>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</si>
  <si>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</si>
  <si>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</si>
  <si>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</si>
  <si>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</si>
  <si>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</si>
  <si>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</si>
  <si>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</si>
  <si>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</si>
  <si>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</si>
  <si>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</si>
  <si>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</si>
  <si>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</si>
  <si>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</si>
  <si>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</si>
  <si>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</si>
  <si>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</si>
  <si>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</si>
  <si>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</si>
  <si>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</si>
  <si>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</si>
  <si>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</si>
  <si>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</si>
  <si>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</si>
  <si>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</si>
  <si>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</si>
  <si>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</si>
  <si>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</si>
  <si>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</si>
  <si>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</si>
  <si>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</si>
  <si>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</si>
  <si>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</si>
  <si>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</si>
  <si>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</si>
  <si>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</si>
  <si>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</si>
  <si>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</si>
  <si>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</si>
  <si>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</si>
  <si>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</si>
  <si>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</si>
  <si>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</si>
  <si>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</si>
  <si>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</si>
  <si>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</si>
  <si>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</si>
  <si>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</si>
  <si>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</si>
  <si>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</si>
  <si>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</si>
  <si>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</si>
  <si>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</si>
  <si>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</si>
  <si>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</si>
  <si>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</si>
  <si>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</si>
  <si>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</si>
  <si>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</si>
  <si>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</si>
  <si>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</si>
  <si>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</si>
  <si>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</si>
  <si>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</si>
  <si>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</si>
  <si>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</si>
  <si>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</si>
  <si>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</si>
  <si>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</si>
  <si>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</si>
  <si>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</si>
  <si>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</si>
  <si>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</si>
  <si>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</si>
  <si>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</si>
  <si>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</si>
  <si>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</si>
  <si>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</si>
  <si>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</si>
  <si>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</si>
  <si>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</si>
  <si>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</si>
  <si>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</si>
  <si>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</si>
  <si>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</si>
  <si>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</si>
  <si>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</si>
  <si>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</si>
  <si>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</si>
  <si>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</si>
  <si>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</si>
  <si>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</si>
  <si>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</si>
  <si>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</si>
  <si>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</si>
  <si>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</si>
  <si>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</si>
  <si>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</si>
  <si>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</si>
  <si>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</si>
  <si>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</si>
  <si>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</si>
  <si>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</si>
  <si>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</si>
  <si>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</si>
  <si>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</si>
  <si>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</si>
  <si>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</si>
  <si>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</si>
  <si>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</si>
  <si>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</si>
  <si>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</si>
  <si>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</si>
  <si>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</si>
  <si>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</si>
  <si>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</si>
  <si>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</si>
  <si>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</si>
  <si>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</si>
  <si>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</si>
  <si>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</si>
  <si>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</si>
  <si>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</si>
  <si>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</si>
  <si>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</si>
  <si>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</si>
  <si>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</si>
  <si>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</si>
  <si>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</si>
  <si>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</si>
  <si>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</si>
  <si>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</si>
  <si>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</si>
  <si>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</si>
  <si>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</si>
  <si>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</si>
  <si>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</si>
  <si>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</si>
  <si>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</si>
  <si>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</si>
  <si>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</si>
  <si>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</si>
  <si>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</si>
  <si>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</si>
  <si>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</si>
  <si>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</si>
  <si>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</si>
  <si>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</si>
  <si>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</si>
  <si>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</si>
  <si>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</si>
  <si>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</si>
  <si>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</si>
  <si>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</si>
  <si>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</si>
  <si>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</si>
  <si>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</si>
  <si>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</si>
  <si>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</si>
  <si>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</si>
  <si>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</si>
  <si>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</si>
  <si>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</si>
  <si>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</si>
  <si>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</si>
  <si>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</si>
  <si>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</si>
  <si>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</si>
  <si>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</si>
  <si>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</si>
  <si>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</si>
  <si>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</si>
  <si>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</si>
  <si>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</si>
  <si>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</si>
  <si>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</si>
  <si>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</si>
  <si>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</si>
  <si>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</si>
  <si>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</si>
  <si>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</si>
  <si>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</si>
  <si>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</si>
  <si>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</si>
  <si>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</si>
  <si>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</si>
  <si>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</si>
  <si>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</si>
  <si>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</si>
  <si>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</si>
  <si>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</si>
  <si>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</si>
  <si>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</si>
  <si>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</si>
  <si>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</si>
  <si>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</si>
  <si>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</si>
  <si>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</si>
  <si>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</si>
  <si>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</si>
  <si>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</si>
  <si>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</si>
  <si>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</si>
  <si>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</si>
  <si>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</si>
  <si>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</si>
  <si>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</si>
  <si>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</si>
  <si>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</si>
  <si>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</si>
  <si>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</si>
  <si>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</si>
  <si>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</si>
  <si>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</si>
  <si>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</si>
  <si>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</si>
  <si>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</si>
  <si>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</si>
  <si>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</si>
  <si>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</si>
  <si>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</si>
  <si>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</si>
  <si>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</si>
  <si>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</si>
  <si>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</si>
  <si>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</si>
  <si>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</si>
  <si>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</si>
  <si>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</si>
  <si>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</si>
  <si>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</si>
  <si>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</si>
  <si>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</si>
  <si>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</si>
  <si>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</si>
  <si>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</si>
  <si>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</si>
  <si>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</si>
  <si>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</si>
  <si>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</si>
  <si>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</si>
  <si>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</si>
  <si>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</si>
  <si>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</si>
  <si>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</si>
  <si>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</si>
  <si>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</si>
  <si>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</si>
  <si>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</si>
  <si>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</si>
  <si>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</si>
  <si>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</si>
  <si>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</si>
  <si>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</si>
  <si>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</si>
  <si>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</si>
  <si>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</si>
  <si>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</si>
  <si>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</si>
  <si>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</si>
  <si>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</si>
  <si>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</si>
  <si>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</si>
  <si>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</si>
  <si>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</si>
  <si>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</si>
  <si>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</si>
  <si>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</si>
  <si>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</si>
  <si>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</si>
  <si>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</si>
  <si>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</si>
  <si>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</si>
  <si>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</si>
  <si>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</si>
  <si>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</si>
  <si>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</si>
  <si>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</si>
  <si>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</si>
  <si>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</si>
  <si>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</si>
  <si>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</si>
  <si>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</si>
  <si>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</si>
  <si>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</si>
  <si>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</si>
  <si>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</si>
  <si>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</si>
  <si>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</si>
  <si>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</si>
  <si>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</si>
  <si>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</si>
  <si>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</si>
  <si>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</si>
  <si>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</si>
  <si>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</si>
  <si>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</si>
  <si>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</si>
  <si>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</si>
  <si>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</si>
  <si>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</si>
  <si>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</si>
  <si>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</si>
  <si>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</si>
  <si>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</si>
  <si>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</si>
  <si>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</si>
  <si>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</si>
  <si>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</si>
  <si>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</si>
  <si>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</si>
  <si>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</si>
  <si>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</si>
  <si>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</si>
  <si>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</si>
  <si>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</si>
  <si>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</si>
  <si>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</si>
  <si>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</si>
  <si>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</si>
  <si>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</si>
  <si>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</si>
  <si>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</si>
  <si>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</si>
  <si>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</si>
  <si>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</si>
  <si>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</si>
  <si>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</si>
  <si>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</si>
  <si>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</si>
  <si>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</si>
  <si>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</si>
  <si>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</si>
  <si>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</si>
  <si>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</si>
  <si>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</si>
  <si>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</si>
  <si>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</si>
  <si>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</si>
  <si>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</si>
  <si>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</si>
  <si>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</si>
  <si>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</si>
  <si>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</si>
  <si>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</si>
  <si>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</si>
  <si>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</si>
  <si>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</si>
  <si>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</si>
  <si>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</si>
  <si>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</si>
  <si>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</si>
  <si>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</si>
  <si>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</si>
  <si>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</si>
  <si>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</si>
  <si>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</si>
  <si>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</si>
  <si>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</si>
  <si>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</si>
  <si>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</si>
  <si>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</si>
  <si>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</si>
  <si>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</si>
  <si>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</si>
  <si>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</si>
  <si>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</si>
  <si>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</si>
  <si>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</si>
  <si>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</si>
  <si>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</si>
  <si>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</si>
  <si>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</si>
  <si>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</si>
  <si>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</si>
  <si>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</si>
  <si>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</si>
  <si>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</si>
  <si>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</si>
  <si>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</si>
  <si>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</si>
  <si>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</si>
  <si>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</si>
  <si>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</si>
  <si>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</si>
  <si>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</si>
  <si>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</si>
  <si>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</si>
  <si>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</si>
  <si>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</si>
  <si>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</si>
  <si>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</si>
  <si>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</si>
  <si>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</si>
  <si>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</si>
  <si>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</si>
  <si>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</si>
  <si>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</si>
  <si>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</si>
  <si>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</si>
  <si>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</si>
  <si>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</si>
  <si>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</si>
  <si>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</si>
  <si>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</si>
  <si>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</si>
  <si>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</si>
  <si>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</si>
  <si>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</si>
  <si>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</si>
  <si>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</si>
  <si>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</si>
  <si>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</si>
  <si>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</si>
  <si>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</si>
  <si>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</si>
  <si>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</si>
  <si>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</si>
  <si>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</si>
  <si>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</si>
  <si>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</si>
  <si>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</si>
  <si>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</si>
  <si>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</si>
  <si>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</si>
  <si>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</si>
  <si>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</si>
  <si>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</si>
  <si>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</si>
  <si>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</si>
  <si>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</si>
  <si>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</si>
  <si>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</si>
  <si>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</si>
  <si>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</si>
  <si>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</si>
  <si>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</si>
  <si>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</si>
  <si>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</si>
  <si>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</si>
  <si>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</si>
  <si>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</si>
  <si>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</si>
  <si>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</si>
  <si>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</si>
  <si>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</si>
  <si>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</si>
  <si>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</si>
  <si>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</si>
  <si>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</si>
  <si>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</si>
  <si>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</si>
  <si>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</si>
  <si>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</si>
  <si>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</si>
  <si>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</si>
  <si>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</si>
  <si>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</si>
  <si>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</si>
  <si>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</si>
  <si>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</si>
  <si>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</si>
  <si>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</si>
  <si>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</si>
  <si>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</si>
  <si>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</si>
  <si>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</si>
  <si>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</si>
  <si>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</si>
  <si>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</si>
  <si>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</si>
  <si>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</si>
  <si>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</si>
  <si>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</si>
  <si>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</si>
  <si>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</si>
  <si>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</si>
  <si>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</si>
  <si>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</si>
  <si>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</si>
  <si>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</si>
  <si>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</si>
  <si>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</si>
  <si>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</si>
  <si>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</si>
  <si>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</si>
  <si>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</si>
  <si>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</si>
  <si>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</si>
  <si>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</si>
  <si>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</si>
  <si>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</si>
  <si>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</si>
  <si>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</si>
  <si>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</si>
  <si>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</si>
  <si>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</si>
  <si>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</si>
  <si>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</si>
  <si>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</si>
  <si>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</si>
  <si>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</si>
  <si>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</si>
  <si>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</si>
  <si>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</si>
  <si>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</si>
  <si>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</si>
  <si>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</si>
  <si>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</si>
  <si>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</si>
  <si>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</si>
  <si>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</si>
  <si>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</si>
  <si>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</si>
  <si>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</si>
  <si>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</si>
  <si>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</si>
  <si>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</si>
  <si>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</si>
  <si>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</si>
  <si>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</si>
  <si>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</si>
  <si>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</si>
  <si>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</si>
  <si>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</si>
  <si>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</si>
  <si>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</si>
  <si>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</si>
  <si>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</si>
  <si>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</si>
  <si>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</si>
  <si>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</si>
  <si>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</si>
  <si>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</si>
  <si>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</si>
  <si>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</si>
  <si>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</si>
  <si>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</si>
  <si>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</si>
  <si>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</si>
  <si>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</si>
  <si>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</si>
  <si>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</si>
  <si>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</si>
  <si>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</si>
  <si>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</si>
  <si>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</si>
  <si>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</si>
  <si>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</si>
  <si>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</si>
  <si>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</si>
  <si>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</si>
  <si>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</si>
  <si>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</si>
  <si>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</si>
  <si>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</si>
  <si>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</si>
  <si>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</si>
  <si>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</si>
  <si>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</si>
  <si>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</si>
  <si>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</si>
  <si>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</si>
  <si>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</si>
  <si>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</si>
  <si>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</si>
  <si>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</si>
  <si>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</si>
  <si>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</si>
  <si>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</si>
  <si>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</si>
  <si>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</si>
  <si>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</si>
  <si>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</si>
  <si>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</si>
  <si>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</si>
  <si>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</si>
  <si>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</si>
  <si>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</si>
  <si>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</si>
  <si>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</si>
  <si>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</si>
  <si>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</si>
  <si>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</si>
  <si>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</si>
  <si>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</si>
  <si>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</si>
  <si>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</si>
  <si>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</si>
  <si>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</si>
  <si>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</si>
  <si>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</si>
  <si>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</si>
  <si>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</si>
  <si>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</si>
  <si>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</si>
  <si>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</si>
  <si>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</si>
  <si>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</si>
  <si>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</si>
  <si>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</si>
  <si>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</si>
  <si>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</si>
  <si>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</si>
  <si>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</si>
  <si>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</si>
  <si>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</si>
  <si>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</si>
  <si>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</si>
  <si>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</si>
  <si>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</si>
  <si>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</si>
  <si>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</si>
  <si>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</si>
  <si>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</si>
  <si>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</si>
  <si>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</si>
  <si>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</si>
  <si>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</si>
  <si>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</si>
  <si>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</si>
  <si>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</si>
  <si>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</si>
  <si>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</si>
  <si>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</si>
  <si>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</si>
  <si>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</si>
  <si>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</si>
  <si>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</si>
  <si>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</si>
  <si>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</si>
  <si>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</si>
  <si>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</si>
  <si>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</si>
  <si>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</si>
  <si>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</si>
  <si>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</si>
  <si>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</si>
  <si>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</si>
  <si>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</si>
  <si>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</si>
  <si>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</si>
  <si>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</si>
  <si>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</si>
  <si>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</si>
  <si>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</si>
  <si>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</si>
  <si>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</si>
  <si>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</si>
  <si>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</si>
  <si>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</si>
  <si>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</si>
  <si>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</si>
  <si>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</si>
  <si>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</si>
  <si>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</si>
  <si>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</si>
  <si>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</si>
  <si>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</si>
  <si>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</si>
  <si>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</si>
  <si>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</si>
  <si>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</si>
  <si>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</si>
  <si>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</si>
  <si>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</si>
  <si>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</si>
  <si>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</si>
  <si>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</si>
  <si>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</si>
  <si>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</si>
  <si>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</si>
  <si>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</si>
  <si>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</si>
  <si>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</si>
  <si>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</si>
  <si>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</si>
  <si>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</si>
  <si>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</si>
  <si>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</si>
  <si>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</si>
  <si>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</si>
  <si>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</si>
  <si>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</si>
  <si>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</si>
  <si>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</si>
  <si>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</si>
  <si>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</si>
  <si>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</si>
  <si>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</si>
  <si>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</si>
  <si>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</si>
  <si>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</si>
  <si>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</si>
  <si>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</si>
  <si>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</si>
  <si>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</si>
  <si>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</si>
  <si>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</si>
  <si>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</si>
  <si>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</si>
  <si>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</si>
  <si>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</si>
  <si>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</si>
  <si>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</si>
  <si>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</si>
  <si>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</si>
  <si>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</si>
  <si>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</si>
  <si>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</si>
  <si>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</si>
  <si>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</si>
  <si>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</si>
  <si>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</si>
  <si>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</si>
  <si>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</si>
  <si>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</si>
  <si>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</si>
  <si>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</si>
  <si>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</si>
  <si>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</si>
  <si>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</si>
  <si>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</si>
  <si>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</si>
  <si>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</si>
  <si>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</si>
  <si>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</si>
  <si>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</si>
  <si>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</si>
  <si>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</si>
  <si>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</si>
  <si>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</si>
  <si>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</si>
  <si>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</si>
  <si>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</si>
  <si>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</si>
  <si>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</si>
  <si>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</si>
  <si>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</si>
  <si>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</si>
  <si>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</si>
  <si>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</si>
  <si>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</si>
  <si>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</si>
  <si>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</si>
  <si>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</si>
  <si>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</si>
  <si>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</si>
  <si>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</si>
  <si>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</si>
  <si>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</si>
  <si>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</si>
  <si>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</si>
  <si>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</si>
  <si>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</si>
  <si>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</si>
  <si>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</si>
  <si>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</si>
  <si>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</si>
  <si>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</si>
  <si>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</si>
  <si>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</si>
  <si>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</si>
  <si>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</si>
  <si>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</si>
  <si>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</si>
  <si>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</si>
  <si>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</si>
  <si>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</si>
  <si>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</si>
  <si>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</si>
  <si>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</si>
  <si>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</si>
  <si>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</si>
  <si>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</si>
  <si>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</si>
  <si>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</si>
  <si>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</si>
  <si>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</si>
  <si>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</si>
  <si>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</si>
  <si>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</si>
  <si>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</si>
  <si>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</si>
  <si>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</si>
  <si>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</si>
  <si>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</si>
  <si>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</si>
  <si>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</si>
  <si>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</si>
  <si>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</si>
  <si>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</si>
  <si>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</si>
  <si>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</si>
  <si>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</si>
  <si>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</si>
  <si>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</si>
  <si>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</si>
  <si>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</si>
  <si>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</si>
  <si>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</si>
  <si>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</si>
  <si>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</si>
  <si>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</si>
  <si>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</si>
  <si>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</si>
  <si>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</si>
  <si>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</si>
  <si>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</si>
  <si>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</si>
  <si>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</si>
  <si>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</si>
  <si>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</si>
  <si>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</si>
  <si>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</si>
  <si>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</si>
  <si>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</si>
  <si>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</si>
  <si>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</si>
  <si>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</si>
  <si>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</si>
  <si>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</si>
  <si>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</si>
  <si>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</si>
  <si>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</si>
  <si>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</si>
  <si>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</si>
  <si>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</si>
  <si>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</si>
  <si>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</si>
  <si>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</si>
  <si>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</si>
  <si>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</si>
  <si>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</si>
  <si>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</si>
  <si>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</si>
  <si>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</si>
  <si>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</si>
  <si>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</si>
  <si>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</si>
  <si>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</si>
  <si>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</si>
  <si>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</si>
  <si>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</si>
  <si>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</si>
  <si>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</si>
  <si>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</si>
  <si>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</si>
  <si>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</si>
  <si>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</si>
  <si>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</si>
  <si>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</si>
  <si>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</si>
  <si>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</si>
  <si>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</si>
  <si>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</si>
  <si>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</si>
  <si>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</si>
  <si>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</si>
  <si>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</si>
  <si>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</si>
  <si>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</si>
  <si>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</si>
  <si>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</si>
  <si>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</si>
  <si>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</si>
  <si>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</si>
  <si>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</si>
  <si>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</si>
  <si>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</si>
  <si>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</si>
  <si>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</si>
  <si>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</si>
  <si>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</si>
  <si>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</si>
  <si>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</si>
  <si>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</si>
  <si>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</si>
  <si>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</si>
  <si>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</si>
  <si>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</si>
  <si>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</si>
  <si>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</si>
  <si>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</si>
  <si>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</si>
  <si>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</si>
  <si>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</si>
  <si>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</si>
  <si>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</si>
  <si>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</si>
  <si>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</si>
  <si>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</si>
  <si>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</si>
  <si>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</si>
  <si>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</si>
  <si>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</si>
  <si>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</si>
  <si>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</si>
  <si>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</si>
  <si>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</si>
  <si>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</si>
  <si>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</si>
  <si>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</si>
  <si>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</si>
  <si>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</si>
  <si>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</si>
  <si>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</si>
  <si>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</si>
  <si>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</si>
  <si>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</si>
  <si>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</si>
  <si>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</si>
  <si>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</si>
  <si>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</si>
  <si>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</si>
  <si>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</si>
  <si>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</si>
  <si>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</si>
  <si>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</si>
  <si>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</si>
  <si>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</si>
  <si>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</si>
  <si>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</si>
  <si>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</si>
  <si>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</si>
  <si>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</si>
  <si>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</si>
  <si>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</si>
  <si>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</si>
  <si>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</si>
  <si>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</si>
  <si>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</si>
  <si>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</si>
  <si>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</si>
  <si>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</si>
  <si>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</si>
  <si>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</si>
  <si>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</si>
  <si>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</si>
  <si>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</si>
  <si>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</si>
  <si>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</si>
  <si>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</si>
  <si>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</si>
  <si>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</si>
  <si>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</si>
  <si>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</si>
  <si>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</si>
  <si>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</si>
  <si>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</si>
  <si>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</si>
  <si>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</si>
  <si>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</si>
  <si>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</si>
  <si>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</si>
  <si>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</si>
  <si>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</si>
  <si>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</si>
  <si>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</si>
  <si>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</si>
  <si>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</si>
  <si>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</si>
  <si>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</si>
  <si>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</si>
  <si>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</si>
  <si>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</si>
  <si>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</si>
  <si>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</si>
  <si>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</si>
  <si>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</si>
  <si>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</si>
  <si>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</si>
  <si>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</si>
  <si>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</si>
  <si>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</si>
  <si>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</si>
  <si>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</si>
  <si>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</si>
  <si>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</si>
  <si>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</si>
  <si>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</si>
  <si>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</si>
  <si>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</si>
  <si>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</si>
  <si>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</si>
  <si>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</si>
  <si>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</si>
  <si>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</si>
  <si>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</si>
  <si>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</si>
  <si>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</si>
  <si>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</si>
  <si>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</si>
  <si>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</si>
  <si>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</si>
  <si>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</si>
  <si>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</si>
  <si>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</si>
  <si>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</si>
  <si>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</si>
  <si>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</si>
  <si>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</si>
  <si>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</si>
  <si>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</si>
  <si>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</si>
  <si>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</si>
  <si>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</si>
  <si>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</si>
  <si>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</si>
  <si>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</si>
  <si>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</si>
  <si>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</si>
  <si>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</si>
  <si>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</si>
  <si>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</si>
  <si>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</si>
  <si>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</si>
  <si>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</si>
  <si>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</si>
  <si>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</si>
  <si>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</si>
  <si>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</si>
  <si>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</si>
  <si>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</si>
  <si>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</si>
  <si>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</si>
  <si>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</si>
  <si>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</si>
  <si>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</si>
  <si>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</si>
  <si>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</si>
  <si>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</si>
  <si>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</si>
  <si>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</si>
  <si>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</si>
  <si>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</si>
  <si>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</si>
  <si>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</si>
  <si>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</si>
  <si>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</si>
  <si>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</si>
  <si>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</si>
  <si>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</si>
  <si>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</si>
  <si>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</si>
  <si>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</si>
  <si>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</si>
  <si>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</si>
  <si>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</si>
  <si>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</si>
  <si>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</si>
  <si>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</si>
  <si>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</si>
  <si>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</si>
  <si>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</si>
  <si>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</si>
  <si>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</si>
  <si>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</si>
  <si>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</si>
  <si>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</si>
  <si>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</si>
  <si>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</si>
  <si>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</si>
  <si>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</si>
  <si>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</si>
  <si>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</si>
  <si>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</si>
  <si>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</si>
  <si>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</si>
  <si>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</si>
  <si>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</si>
  <si>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</si>
  <si>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</si>
  <si>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</si>
  <si>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</si>
  <si>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</si>
  <si>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</si>
  <si>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</si>
  <si>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</si>
  <si>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</si>
  <si>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</si>
  <si>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</si>
  <si>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</si>
  <si>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</si>
  <si>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</si>
  <si>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</si>
  <si>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</si>
  <si>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</si>
  <si>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</si>
  <si>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</si>
  <si>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</si>
  <si>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</si>
  <si>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</si>
  <si>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</si>
  <si>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</si>
  <si>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</si>
  <si>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</si>
  <si>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</si>
  <si>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</si>
  <si>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</si>
  <si>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</si>
  <si>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</si>
  <si>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</si>
  <si>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</si>
  <si>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</si>
  <si>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</si>
  <si>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</si>
  <si>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</si>
  <si>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</si>
  <si>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</si>
  <si>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</si>
  <si>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</si>
  <si>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</si>
  <si>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</si>
  <si>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</si>
  <si>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</si>
  <si>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</si>
  <si>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</si>
  <si>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</si>
  <si>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</si>
  <si>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</si>
  <si>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</si>
  <si>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</si>
  <si>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</si>
  <si>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</si>
  <si>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</si>
  <si>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</si>
  <si>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</si>
  <si>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</si>
  <si>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</si>
  <si>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</si>
  <si>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</si>
  <si>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</si>
  <si>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</si>
  <si>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</si>
  <si>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</si>
  <si>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</si>
  <si>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</si>
  <si>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</si>
  <si>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</si>
  <si>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</si>
  <si>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</si>
  <si>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</si>
  <si>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</si>
  <si>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</si>
  <si>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</si>
  <si>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</si>
  <si>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</si>
  <si>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</si>
  <si>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</si>
  <si>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</si>
  <si>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</si>
  <si>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</si>
  <si>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</si>
  <si>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</si>
  <si>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</si>
  <si>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</si>
  <si>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</si>
  <si>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</si>
  <si>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</si>
  <si>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</si>
  <si>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</si>
  <si>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</si>
  <si>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</si>
  <si>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</si>
  <si>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</si>
  <si>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</si>
  <si>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</si>
  <si>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</si>
  <si>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</si>
  <si>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</si>
  <si>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</si>
  <si>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</si>
  <si>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</si>
  <si>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</si>
  <si>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</si>
  <si>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</si>
  <si>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</si>
  <si>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</si>
  <si>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</si>
  <si>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</si>
  <si>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</si>
  <si>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</si>
  <si>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</si>
  <si>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</si>
  <si>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</si>
  <si>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</si>
  <si>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</si>
  <si>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</si>
  <si>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</si>
  <si>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</si>
  <si>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</si>
  <si>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</si>
  <si>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</si>
  <si>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</si>
  <si>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</si>
  <si>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</si>
  <si>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</si>
  <si>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</si>
  <si>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</si>
  <si>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</si>
  <si>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</si>
  <si>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</si>
  <si>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</si>
  <si>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</si>
  <si>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</si>
  <si>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</si>
  <si>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</si>
  <si>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</si>
  <si>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</si>
  <si>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</si>
  <si>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</si>
  <si>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</si>
  <si>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</si>
  <si>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</si>
  <si>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</si>
  <si>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</si>
  <si>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</si>
  <si>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</si>
  <si>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</si>
  <si>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</si>
  <si>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</si>
  <si>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</si>
  <si>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</si>
  <si>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</si>
  <si>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</si>
  <si>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</si>
  <si>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</si>
  <si>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</si>
  <si>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</si>
  <si>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</si>
  <si>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</si>
  <si>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</si>
  <si>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</si>
  <si>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</si>
  <si>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</si>
  <si>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</si>
  <si>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</si>
  <si>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</si>
  <si>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</si>
  <si>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</si>
  <si>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</si>
  <si>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</si>
  <si>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</si>
  <si>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</si>
  <si>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</si>
  <si>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</si>
  <si>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</si>
  <si>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</si>
  <si>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</si>
  <si>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</si>
  <si>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</si>
  <si>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</si>
  <si>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</si>
  <si>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</si>
  <si>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</si>
  <si>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</si>
  <si>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</si>
  <si>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</si>
  <si>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</si>
  <si>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</si>
  <si>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</si>
  <si>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</si>
  <si>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</si>
  <si>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</si>
  <si>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</si>
  <si>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</si>
  <si>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</si>
  <si>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</si>
  <si>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</si>
  <si>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</si>
  <si>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</si>
  <si>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</si>
  <si>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</si>
  <si>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</si>
  <si>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</si>
  <si>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</si>
  <si>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</si>
  <si>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</si>
  <si>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</si>
  <si>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</si>
  <si>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</si>
  <si>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</si>
  <si>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</si>
  <si>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</si>
  <si>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</si>
  <si>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</si>
  <si>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</si>
  <si>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</si>
  <si>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</si>
  <si>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</si>
  <si>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</si>
  <si>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</si>
  <si>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</si>
  <si>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</si>
  <si>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</si>
  <si>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</si>
  <si>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</si>
  <si>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</si>
  <si>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</si>
  <si>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</si>
  <si>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</si>
  <si>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</si>
  <si>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</si>
  <si>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</si>
  <si>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</si>
  <si>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</si>
  <si>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</si>
  <si>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</si>
  <si>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</si>
  <si>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</si>
  <si>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</si>
  <si>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</si>
  <si>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</si>
  <si>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</si>
  <si>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</si>
  <si>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</si>
  <si>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</si>
  <si>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</si>
  <si>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</si>
  <si>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</si>
  <si>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</si>
  <si>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</si>
  <si>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</si>
  <si>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</si>
  <si>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</si>
  <si>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</si>
  <si>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</si>
  <si>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</si>
  <si>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</si>
  <si>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</si>
  <si>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</si>
  <si>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</si>
  <si>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</si>
  <si>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</si>
  <si>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</si>
  <si>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</si>
  <si>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</si>
  <si>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</si>
  <si>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</si>
  <si>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</si>
  <si>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</si>
  <si>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</si>
  <si>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</si>
  <si>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</si>
  <si>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</si>
  <si>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</si>
  <si>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</si>
  <si>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</si>
  <si>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</si>
  <si>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</si>
  <si>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</si>
  <si>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</si>
  <si>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</si>
  <si>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</si>
  <si>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</si>
  <si>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</si>
  <si>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</si>
  <si>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</si>
  <si>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</si>
  <si>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</si>
  <si>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</si>
  <si>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</si>
  <si>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</si>
  <si>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</si>
  <si>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</si>
  <si>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</si>
  <si>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</si>
  <si>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</si>
  <si>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</si>
  <si>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</si>
  <si>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</si>
  <si>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</si>
  <si>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</si>
  <si>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</si>
  <si>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</si>
  <si>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</si>
  <si>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</si>
  <si>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</si>
  <si>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</si>
  <si>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</si>
  <si>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</si>
  <si>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</si>
  <si>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</si>
  <si>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</si>
  <si>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</si>
  <si>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</si>
  <si>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</si>
  <si>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</si>
  <si>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</si>
  <si>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</si>
  <si>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</si>
  <si>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</si>
  <si>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</si>
  <si>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</si>
  <si>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</si>
  <si>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</si>
  <si>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</si>
  <si>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</si>
  <si>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</si>
  <si>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</si>
  <si>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</si>
  <si>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</si>
  <si>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</si>
  <si>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</si>
  <si>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</si>
  <si>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</si>
  <si>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</si>
  <si>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</si>
  <si>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</si>
  <si>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</si>
  <si>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</si>
  <si>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</si>
  <si>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</si>
  <si>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</si>
  <si>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</si>
  <si>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</si>
  <si>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</si>
  <si>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</si>
  <si>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</si>
  <si>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</si>
  <si>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</si>
  <si>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</si>
  <si>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</si>
  <si>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</si>
  <si>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</si>
  <si>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</si>
  <si>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</si>
  <si>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</si>
  <si>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</si>
  <si>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</si>
  <si>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</si>
  <si>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</si>
  <si>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</si>
  <si>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</si>
  <si>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</si>
  <si>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</si>
  <si>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</si>
  <si>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</si>
  <si>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</si>
  <si>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</si>
  <si>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</si>
  <si>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</si>
  <si>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</si>
  <si>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</si>
  <si>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</si>
  <si>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</si>
  <si>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</si>
  <si>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</si>
  <si>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</si>
  <si>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</si>
  <si>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</si>
  <si>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</si>
  <si>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</si>
  <si>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</si>
  <si>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</si>
  <si>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</si>
  <si>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</si>
  <si>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</si>
  <si>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</si>
  <si>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</si>
  <si>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</si>
  <si>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</si>
  <si>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</si>
  <si>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</si>
  <si>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</si>
  <si>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</si>
  <si>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</si>
  <si>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</si>
  <si>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</si>
  <si>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</si>
  <si>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</si>
  <si>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</si>
  <si>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</si>
  <si>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</si>
  <si>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</si>
  <si>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</si>
  <si>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</si>
  <si>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</si>
  <si>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</si>
  <si>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</si>
  <si>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</si>
  <si>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</si>
  <si>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</si>
  <si>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</si>
  <si>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</si>
  <si>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</si>
  <si>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</si>
  <si>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</si>
  <si>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</si>
  <si>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</si>
  <si>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</si>
  <si>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</si>
  <si>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</si>
  <si>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</si>
  <si>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</si>
  <si>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</si>
  <si>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</si>
  <si>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</si>
  <si>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</si>
  <si>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</si>
  <si>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</si>
  <si>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</si>
  <si>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</si>
  <si>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</si>
  <si>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</si>
  <si>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</si>
  <si>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</si>
  <si>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</si>
  <si>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</si>
  <si>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</si>
  <si>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</si>
  <si>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</si>
  <si>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</si>
  <si>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</si>
  <si>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</si>
  <si>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</si>
  <si>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</si>
  <si>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</si>
  <si>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</si>
  <si>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</si>
  <si>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</si>
  <si>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</si>
  <si>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</si>
  <si>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</si>
  <si>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</si>
  <si>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</si>
  <si>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</si>
  <si>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</si>
  <si>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</si>
  <si>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</si>
  <si>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</si>
  <si>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</si>
  <si>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</si>
  <si>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</si>
  <si>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</si>
  <si>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</si>
  <si>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</si>
  <si>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</si>
  <si>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</si>
  <si>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</si>
  <si>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</si>
  <si>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</si>
  <si>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</si>
  <si>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</si>
  <si>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</si>
  <si>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</si>
  <si>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</si>
  <si>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</si>
  <si>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</si>
  <si>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</si>
  <si>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</si>
  <si>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</si>
  <si>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</si>
  <si>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</si>
  <si>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</si>
  <si>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</si>
  <si>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</si>
  <si>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</si>
  <si>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</si>
  <si>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</si>
  <si>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</si>
  <si>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</si>
  <si>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</si>
  <si>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</si>
  <si>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</si>
  <si>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</si>
  <si>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</si>
  <si>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</si>
  <si>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</si>
  <si>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</si>
  <si>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</si>
  <si>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</si>
  <si>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</si>
  <si>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</si>
  <si>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</si>
  <si>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</si>
  <si>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</si>
  <si>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</si>
  <si>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</si>
  <si>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</si>
  <si>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</si>
  <si>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</si>
  <si>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</si>
  <si>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</si>
  <si>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</si>
  <si>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</si>
  <si>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</si>
  <si>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</si>
  <si>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</si>
  <si>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</si>
  <si>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</si>
  <si>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</si>
  <si>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</si>
  <si>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</si>
  <si>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</si>
  <si>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</si>
  <si>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</si>
  <si>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</si>
  <si>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</si>
  <si>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</si>
  <si>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</si>
  <si>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</si>
  <si>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</si>
  <si>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</si>
  <si>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</si>
  <si>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</si>
  <si>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</si>
  <si>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</si>
  <si>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</si>
  <si>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</si>
  <si>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</si>
  <si>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</si>
  <si>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</si>
  <si>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</si>
  <si>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</si>
  <si>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</si>
  <si>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</si>
  <si>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</si>
  <si>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</si>
  <si>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</si>
  <si>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</si>
  <si>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</si>
  <si>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</si>
  <si>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</si>
  <si>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</si>
  <si>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</si>
  <si>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</si>
  <si>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</si>
  <si>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</si>
  <si>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</si>
  <si>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</si>
  <si>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</si>
  <si>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</si>
  <si>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</si>
  <si>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</si>
  <si>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</si>
  <si>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</si>
  <si>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</si>
  <si>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</si>
  <si>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</si>
  <si>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</si>
  <si>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</si>
  <si>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</si>
  <si>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</si>
  <si>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</si>
  <si>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</si>
  <si>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</si>
  <si>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</si>
  <si>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</si>
  <si>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</si>
  <si>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</si>
  <si>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</si>
  <si>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</si>
  <si>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</si>
  <si>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</si>
  <si>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</si>
  <si>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</si>
  <si>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</si>
  <si>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</si>
  <si>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</si>
  <si>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</si>
  <si>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</si>
  <si>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</si>
  <si>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</si>
  <si>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</si>
  <si>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</si>
  <si>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</si>
  <si>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</si>
  <si>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</si>
  <si>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</si>
  <si>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</si>
  <si>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</si>
  <si>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</si>
  <si>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</si>
  <si>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</si>
  <si>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</si>
  <si>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</si>
  <si>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</si>
  <si>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</si>
  <si>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</si>
  <si>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</si>
  <si>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</si>
  <si>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</si>
  <si>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</si>
  <si>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</si>
  <si>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</si>
  <si>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</si>
  <si>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</si>
  <si>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</si>
  <si>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</si>
  <si>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</si>
  <si>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</si>
  <si>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</si>
  <si>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</si>
  <si>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</si>
  <si>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</si>
  <si>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</si>
  <si>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</si>
  <si>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</si>
  <si>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</si>
  <si>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</si>
  <si>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</si>
  <si>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</si>
  <si>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</si>
  <si>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</si>
  <si>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</si>
  <si>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</si>
  <si>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</si>
  <si>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</si>
  <si>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</si>
  <si>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</si>
  <si>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</si>
  <si>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</si>
  <si>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</si>
  <si>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</si>
  <si>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</si>
  <si>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</si>
  <si>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</si>
  <si>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</si>
  <si>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</si>
  <si>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</si>
  <si>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</si>
  <si>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</si>
  <si>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</si>
  <si>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</si>
  <si>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</si>
  <si>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</si>
  <si>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</si>
  <si>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</si>
  <si>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</si>
  <si>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</si>
  <si>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</si>
  <si>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</si>
  <si>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</si>
  <si>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</si>
  <si>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</si>
  <si>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</si>
  <si>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</si>
  <si>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</si>
  <si>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</si>
  <si>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</si>
  <si>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</si>
  <si>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</si>
  <si>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</si>
  <si>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</si>
  <si>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</si>
  <si>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</si>
  <si>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</si>
  <si>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</si>
  <si>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</si>
  <si>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</si>
  <si>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</si>
  <si>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</si>
  <si>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</si>
  <si>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</si>
  <si>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</si>
  <si>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</si>
  <si>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</si>
  <si>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</si>
  <si>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</si>
  <si>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</si>
  <si>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</si>
  <si>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</si>
  <si>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</si>
  <si>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</si>
  <si>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</si>
  <si>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</si>
  <si>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</si>
  <si>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</si>
  <si>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</si>
  <si>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</si>
  <si>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</si>
  <si>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</si>
  <si>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</si>
  <si>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</si>
  <si>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</si>
  <si>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</si>
  <si>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</si>
  <si>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</si>
  <si>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</si>
  <si>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</si>
  <si>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</si>
  <si>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</si>
  <si>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</si>
  <si>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</si>
  <si>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</si>
  <si>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</si>
  <si>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</si>
  <si>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</si>
  <si>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</si>
  <si>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</si>
  <si>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</si>
  <si>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</si>
  <si>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</si>
  <si>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</si>
  <si>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</si>
  <si>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</si>
  <si>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</si>
  <si>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</si>
  <si>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</si>
  <si>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</si>
  <si>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</si>
  <si>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</si>
  <si>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</si>
  <si>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</si>
  <si>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</si>
  <si>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</si>
  <si>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</si>
  <si>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</si>
  <si>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</si>
  <si>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</si>
  <si>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</si>
  <si>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</si>
  <si>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</si>
  <si>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</si>
  <si>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</si>
  <si>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</si>
  <si>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</si>
  <si>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</si>
  <si>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</si>
  <si>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</si>
  <si>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</si>
  <si>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</si>
  <si>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</si>
  <si>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</si>
  <si>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</si>
  <si>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</si>
  <si>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</si>
  <si>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</si>
  <si>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</si>
  <si>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</si>
  <si>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</si>
  <si>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</si>
  <si>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</si>
  <si>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</si>
  <si>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</si>
  <si>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</si>
  <si>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</si>
  <si>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</si>
  <si>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</si>
  <si>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</si>
  <si>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</si>
  <si>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</si>
  <si>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</si>
  <si>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</si>
  <si>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</si>
  <si>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</si>
  <si>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</si>
  <si>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</si>
  <si>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</si>
  <si>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</si>
  <si>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</si>
  <si>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</si>
  <si>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</si>
  <si>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</si>
  <si>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</si>
  <si>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</si>
  <si>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</si>
  <si>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</si>
  <si>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</si>
  <si>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</si>
  <si>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</si>
  <si>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</si>
  <si>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</si>
  <si>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</si>
  <si>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</si>
  <si>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</si>
  <si>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</si>
  <si>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</si>
  <si>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</si>
  <si>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</si>
  <si>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</si>
  <si>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</si>
  <si>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</si>
  <si>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</si>
  <si>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</si>
  <si>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</si>
  <si>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</si>
  <si>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</si>
  <si>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</si>
  <si>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</si>
  <si>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</si>
  <si>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</si>
  <si>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</si>
  <si>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</si>
  <si>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</si>
  <si>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</si>
  <si>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</si>
  <si>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</si>
  <si>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</si>
  <si>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</si>
  <si>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</si>
  <si>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</si>
  <si>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</si>
  <si>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</si>
  <si>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</si>
  <si>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</si>
  <si>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</si>
  <si>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</si>
  <si>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</si>
  <si>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</si>
  <si>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</si>
  <si>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</si>
  <si>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</si>
  <si>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</si>
  <si>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</si>
  <si>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</si>
  <si>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</si>
  <si>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</si>
  <si>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</si>
  <si>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</si>
  <si>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</si>
  <si>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</si>
  <si>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</si>
  <si>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</si>
  <si>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</si>
  <si>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</si>
  <si>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</si>
  <si>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</si>
  <si>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</si>
  <si>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</si>
  <si>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</si>
  <si>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</si>
  <si>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</si>
  <si>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</si>
  <si>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</si>
  <si>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</si>
  <si>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</si>
  <si>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</si>
  <si>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</si>
  <si>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</si>
  <si>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</si>
  <si>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</si>
  <si>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</si>
  <si>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</si>
  <si>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</si>
  <si>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</si>
  <si>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</si>
  <si>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</si>
  <si>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</si>
  <si>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</si>
  <si>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</si>
  <si>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</si>
  <si>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</si>
  <si>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</si>
  <si>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</si>
  <si>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</si>
  <si>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</si>
  <si>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</si>
  <si>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</si>
  <si>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</si>
  <si>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</si>
  <si>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</si>
  <si>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</si>
  <si>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</si>
  <si>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</si>
  <si>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</si>
  <si>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</si>
  <si>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</si>
  <si>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</si>
  <si>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</si>
  <si>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</si>
  <si>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</si>
  <si>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</si>
  <si>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</si>
  <si>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</si>
  <si>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</si>
  <si>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</si>
  <si>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</si>
  <si>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</si>
  <si>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</si>
  <si>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</si>
  <si>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</si>
  <si>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</si>
  <si>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</si>
  <si>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</si>
  <si>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</si>
  <si>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</si>
  <si>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</si>
  <si>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</si>
  <si>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</si>
  <si>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</si>
  <si>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</si>
  <si>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</si>
  <si>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</si>
  <si>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</si>
  <si>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</si>
  <si>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</si>
  <si>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</si>
  <si>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</si>
  <si>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</si>
  <si>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</si>
  <si>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</si>
  <si>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</si>
  <si>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</si>
  <si>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</si>
  <si>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</si>
  <si>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</si>
  <si>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</si>
  <si>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</si>
  <si>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</si>
  <si>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</si>
  <si>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</si>
  <si>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</si>
  <si>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</si>
  <si>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</si>
  <si>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</si>
  <si>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</si>
  <si>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</si>
  <si>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</si>
  <si>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</si>
  <si>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</si>
  <si>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</si>
  <si>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</si>
  <si>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</si>
  <si>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</si>
  <si>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</si>
  <si>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</si>
  <si>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</si>
  <si>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</si>
  <si>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</si>
  <si>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</si>
  <si>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</si>
  <si>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</si>
  <si>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</si>
  <si>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</si>
  <si>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</si>
  <si>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</si>
  <si>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</si>
  <si>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</si>
  <si>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</si>
  <si>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</si>
  <si>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</si>
  <si>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</si>
  <si>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</si>
  <si>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</si>
  <si>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</si>
  <si>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</si>
  <si>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</si>
  <si>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</si>
  <si>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</si>
  <si>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</si>
  <si>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</si>
  <si>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</si>
  <si>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</si>
  <si>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</si>
  <si>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</si>
  <si>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</si>
  <si>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</si>
  <si>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</si>
  <si>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</si>
  <si>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</si>
  <si>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</si>
  <si>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</si>
  <si>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</si>
  <si>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</si>
  <si>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</si>
  <si>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</si>
  <si>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</si>
  <si>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</si>
  <si>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</si>
  <si>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</si>
  <si>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</si>
  <si>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</si>
  <si>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</si>
  <si>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</si>
  <si>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</si>
  <si>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</si>
  <si>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</si>
  <si>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</si>
  <si>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</si>
  <si>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</si>
  <si>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</si>
  <si>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</si>
  <si>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</si>
  <si>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</si>
  <si>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</si>
  <si>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</si>
  <si>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</si>
  <si>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</si>
  <si>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</si>
  <si>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</si>
  <si>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</si>
  <si>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</si>
  <si>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</si>
  <si>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</si>
  <si>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</si>
  <si>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</si>
  <si>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</si>
  <si>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</si>
  <si>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</si>
  <si>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</si>
  <si>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</si>
  <si>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</si>
  <si>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</si>
  <si>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</si>
  <si>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</si>
  <si>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</si>
  <si>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</si>
  <si>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</si>
  <si>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</si>
  <si>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</si>
  <si>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</si>
  <si>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</si>
  <si>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</si>
  <si>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</si>
  <si>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</si>
  <si>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</si>
  <si>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</si>
  <si>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</si>
  <si>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</si>
  <si>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</si>
  <si>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</si>
  <si>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</si>
  <si>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</si>
  <si>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</si>
  <si>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</si>
  <si>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</si>
  <si>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</si>
  <si>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</si>
  <si>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</si>
  <si>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</si>
  <si>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</si>
  <si>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</si>
  <si>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</si>
  <si>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</si>
  <si>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</si>
  <si>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</si>
  <si>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</si>
  <si>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</si>
  <si>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</si>
  <si>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</si>
  <si>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</si>
  <si>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</si>
  <si>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</si>
  <si>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</si>
  <si>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</si>
  <si>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</si>
  <si>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</si>
  <si>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</si>
  <si>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</si>
  <si>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</si>
  <si>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</si>
  <si>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</si>
  <si>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</si>
  <si>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</si>
  <si>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</si>
  <si>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</si>
  <si>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</si>
  <si>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</si>
  <si>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</si>
  <si>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</si>
  <si>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</si>
  <si>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</si>
  <si>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</si>
  <si>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</si>
  <si>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</si>
  <si>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</si>
  <si>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</si>
  <si>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</si>
  <si>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</si>
  <si>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</si>
  <si>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</si>
  <si>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</si>
  <si>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</si>
  <si>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</si>
  <si>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</si>
  <si>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</si>
  <si>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</si>
  <si>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</si>
  <si>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</si>
  <si>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</si>
  <si>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</si>
  <si>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</si>
  <si>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</si>
  <si>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</si>
  <si>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</si>
  <si>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</si>
  <si>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</si>
  <si>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</si>
  <si>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</si>
  <si>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</si>
  <si>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</si>
  <si>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</si>
  <si>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</si>
  <si>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</si>
  <si>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</si>
  <si>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</si>
  <si>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</si>
  <si>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</si>
  <si>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</si>
  <si>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</si>
  <si>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</si>
  <si>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</si>
  <si>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</si>
  <si>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</si>
  <si>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</si>
  <si>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</si>
  <si>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</si>
  <si>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</si>
  <si>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</si>
  <si>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</si>
  <si>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</si>
  <si>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</si>
  <si>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</si>
  <si>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</si>
  <si>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</si>
  <si>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</si>
  <si>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</si>
  <si>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</si>
  <si>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</si>
  <si>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</si>
  <si>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</si>
  <si>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</si>
  <si>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</si>
  <si>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</si>
  <si>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</si>
  <si>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</si>
  <si>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</si>
  <si>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</si>
  <si>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</si>
  <si>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</si>
  <si>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</si>
  <si>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</si>
  <si>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</si>
  <si>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</si>
  <si>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</si>
  <si>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</si>
  <si>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</si>
  <si>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</si>
  <si>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</si>
  <si>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</si>
  <si>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</si>
  <si>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</si>
  <si>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</si>
  <si>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</si>
  <si>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</si>
  <si>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</si>
  <si>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</si>
  <si>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</si>
  <si>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</si>
  <si>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</si>
  <si>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</si>
  <si>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</si>
  <si>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</si>
  <si>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</si>
  <si>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</si>
  <si>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</si>
  <si>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</si>
  <si>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</si>
  <si>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</si>
  <si>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</si>
  <si>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</si>
  <si>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</si>
  <si>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</si>
  <si>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</si>
  <si>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</si>
  <si>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</si>
  <si>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</si>
  <si>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</si>
  <si>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</si>
  <si>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</si>
  <si>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</si>
  <si>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</si>
  <si>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</si>
  <si>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</si>
  <si>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</si>
  <si>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</si>
  <si>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</si>
  <si>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</si>
  <si>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</si>
  <si>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</si>
  <si>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</si>
  <si>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</si>
  <si>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</si>
  <si>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</si>
  <si>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</si>
  <si>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</si>
  <si>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</si>
  <si>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</si>
  <si>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</si>
  <si>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</si>
  <si>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</si>
  <si>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</si>
  <si>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</si>
  <si>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</si>
  <si>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</si>
  <si>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</si>
  <si>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</si>
  <si>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</si>
  <si>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</si>
  <si>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</si>
  <si>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</si>
  <si>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</si>
  <si>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</si>
  <si>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</si>
  <si>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</si>
  <si>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</si>
  <si>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</si>
  <si>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</si>
  <si>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</si>
  <si>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</si>
  <si>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</si>
  <si>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</si>
  <si>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</si>
  <si>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</si>
  <si>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</si>
  <si>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</si>
  <si>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</si>
  <si>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</si>
  <si>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</si>
  <si>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</si>
  <si>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</si>
  <si>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</si>
  <si>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</si>
  <si>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</si>
  <si>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</si>
  <si>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</si>
  <si>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</si>
  <si>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</si>
  <si>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</si>
  <si>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</si>
  <si>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</si>
  <si>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</si>
  <si>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</si>
  <si>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</si>
  <si>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</si>
  <si>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</si>
  <si>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</si>
  <si>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</si>
  <si>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</si>
  <si>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</si>
  <si>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</si>
  <si>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</si>
  <si>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</si>
  <si>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</si>
  <si>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</si>
  <si>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</si>
  <si>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</si>
  <si>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</si>
  <si>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</si>
  <si>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</si>
  <si>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</si>
  <si>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</si>
  <si>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</si>
  <si>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</si>
  <si>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</si>
  <si>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</si>
  <si>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</si>
  <si>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</si>
  <si>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</si>
  <si>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</si>
  <si>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</si>
  <si>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</si>
  <si>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</si>
  <si>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</si>
  <si>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</si>
  <si>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</si>
  <si>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</si>
  <si>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</si>
  <si>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</si>
  <si>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</si>
  <si>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</si>
  <si>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</si>
  <si>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</si>
  <si>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</si>
  <si>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</si>
  <si>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</si>
  <si>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</si>
  <si>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</si>
  <si>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</si>
  <si>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</si>
  <si>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</si>
  <si>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</si>
  <si>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</si>
  <si>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</si>
  <si>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</si>
  <si>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</si>
  <si>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</si>
  <si>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</si>
  <si>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</si>
  <si>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</si>
  <si>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</si>
  <si>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</si>
  <si>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</si>
  <si>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</si>
  <si>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</si>
  <si>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</si>
  <si>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</si>
  <si>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</si>
  <si>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</si>
  <si>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</si>
  <si>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</si>
  <si>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</si>
  <si>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</si>
  <si>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</si>
  <si>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</si>
  <si>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</si>
  <si>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</si>
  <si>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</si>
  <si>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</si>
  <si>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</si>
  <si>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</si>
  <si>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</si>
  <si>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</si>
  <si>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</si>
  <si>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</si>
  <si>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</si>
  <si>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</si>
  <si>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</si>
  <si>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</si>
  <si>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</si>
  <si>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</si>
  <si>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</si>
  <si>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</si>
  <si>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</si>
  <si>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</si>
  <si>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</si>
  <si>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</si>
  <si>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</si>
  <si>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</si>
  <si>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</si>
  <si>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</si>
  <si>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</si>
  <si>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</si>
  <si>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</si>
  <si>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</si>
  <si>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</si>
  <si>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</si>
  <si>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</si>
  <si>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</si>
  <si>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</si>
  <si>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</si>
  <si>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</si>
  <si>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</si>
  <si>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</si>
  <si>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</si>
  <si>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</si>
  <si>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</si>
  <si>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</si>
  <si>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</si>
  <si>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</si>
  <si>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</si>
  <si>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</si>
  <si>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</si>
  <si>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</si>
  <si>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</si>
  <si>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</si>
  <si>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</si>
  <si>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</si>
  <si>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</si>
  <si>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</si>
  <si>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</si>
  <si>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</si>
  <si>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</si>
  <si>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</si>
  <si>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</si>
  <si>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</si>
  <si>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</si>
  <si>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</si>
  <si>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</si>
  <si>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</si>
  <si>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</si>
  <si>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</si>
  <si>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</si>
  <si>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</si>
  <si>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</si>
  <si>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</si>
  <si>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</si>
  <si>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</si>
  <si>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</si>
  <si>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</si>
  <si>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</si>
  <si>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</si>
  <si>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</si>
  <si>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</si>
  <si>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</si>
  <si>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</si>
  <si>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</si>
  <si>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</si>
  <si>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</si>
  <si>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</si>
  <si>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</si>
  <si>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</si>
  <si>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</si>
  <si>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</si>
  <si>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</si>
  <si>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</si>
  <si>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</si>
  <si>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</si>
  <si>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</si>
  <si>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</si>
  <si>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</si>
  <si>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</si>
  <si>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</si>
  <si>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</si>
  <si>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</si>
  <si>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</si>
  <si>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</si>
  <si>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</si>
  <si>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</si>
  <si>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</si>
  <si>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</si>
  <si>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</si>
  <si>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</si>
  <si>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</si>
  <si>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</si>
  <si>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</si>
  <si>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</si>
  <si>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</si>
  <si>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</si>
  <si>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</si>
  <si>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</si>
  <si>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</si>
  <si>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</si>
  <si>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</si>
  <si>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</si>
  <si>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</si>
  <si>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</si>
  <si>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</si>
  <si>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</si>
  <si>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</si>
  <si>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</si>
  <si>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</si>
  <si>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</si>
  <si>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</si>
  <si>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</si>
  <si>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</si>
  <si>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</si>
  <si>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</si>
  <si>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</si>
  <si>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</si>
  <si>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</si>
  <si>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</si>
  <si>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</si>
  <si>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</si>
  <si>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</si>
  <si>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</si>
  <si>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</si>
  <si>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</si>
  <si>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</si>
  <si>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</si>
  <si>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</si>
  <si>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</si>
  <si>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</si>
  <si>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</si>
  <si>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</si>
  <si>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</si>
  <si>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</si>
  <si>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</si>
  <si>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</si>
  <si>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</si>
  <si>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</si>
  <si>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</si>
  <si>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</si>
  <si>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</si>
  <si>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</si>
  <si>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</si>
  <si>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</si>
  <si>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</si>
  <si>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</si>
  <si>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</si>
  <si>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</si>
  <si>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</si>
  <si>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</si>
  <si>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</si>
  <si>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</si>
  <si>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</si>
  <si>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</si>
  <si>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</si>
  <si>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</si>
  <si>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</si>
  <si>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</si>
  <si>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</si>
  <si>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</si>
  <si>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</si>
  <si>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</si>
  <si>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</si>
  <si>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</si>
  <si>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</si>
  <si>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</si>
  <si>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</si>
  <si>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</si>
  <si>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</si>
  <si>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</si>
  <si>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</si>
  <si>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</si>
  <si>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</si>
  <si>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</si>
  <si>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</si>
  <si>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</si>
  <si>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</si>
  <si>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</si>
  <si>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</si>
  <si>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</si>
  <si>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</si>
  <si>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</si>
  <si>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</si>
  <si>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</si>
  <si>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</si>
  <si>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</si>
  <si>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</si>
  <si>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</si>
  <si>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</si>
  <si>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</si>
  <si>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</si>
  <si>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</si>
  <si>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</si>
  <si>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</si>
  <si>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</si>
  <si>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</si>
  <si>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</si>
  <si>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</si>
  <si>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</si>
  <si>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</si>
  <si>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</si>
  <si>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</si>
  <si>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</si>
  <si>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</si>
  <si>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</si>
  <si>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</si>
  <si>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</si>
  <si>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</si>
  <si>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</si>
  <si>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</si>
  <si>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</si>
  <si>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</si>
  <si>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</si>
  <si>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</si>
  <si>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</si>
  <si>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</si>
  <si>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</si>
  <si>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</si>
  <si>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</si>
  <si>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</si>
  <si>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</si>
  <si>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</si>
  <si>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</si>
  <si>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</si>
  <si>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</si>
  <si>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</si>
  <si>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</si>
  <si>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</si>
  <si>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</si>
  <si>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</si>
  <si>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</si>
  <si>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</si>
  <si>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</si>
  <si>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</si>
  <si>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</si>
  <si>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</si>
  <si>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</si>
  <si>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</si>
  <si>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</si>
  <si>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</si>
  <si>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</si>
  <si>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</si>
  <si>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</si>
  <si>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</si>
  <si>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</si>
  <si>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</si>
  <si>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</si>
  <si>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</si>
  <si>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</si>
  <si>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</si>
  <si>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</si>
  <si>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</si>
  <si>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</si>
  <si>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</si>
  <si>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</si>
  <si>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</si>
  <si>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</si>
  <si>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</si>
  <si>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</si>
  <si>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</si>
  <si>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</si>
  <si>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</si>
  <si>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</si>
  <si>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</si>
  <si>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</si>
  <si>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</si>
  <si>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</si>
  <si>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</si>
  <si>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</si>
  <si>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</si>
  <si>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</si>
  <si>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</si>
  <si>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</si>
  <si>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</si>
  <si>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</si>
  <si>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</si>
  <si>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</si>
  <si>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</si>
  <si>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</si>
  <si>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</si>
  <si>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</si>
  <si>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</si>
  <si>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</si>
  <si>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</si>
  <si>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</si>
  <si>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</si>
  <si>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</si>
  <si>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</si>
  <si>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</si>
  <si>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</si>
  <si>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</si>
  <si>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</si>
  <si>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</si>
  <si>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</si>
  <si>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</si>
  <si>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</si>
  <si>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</si>
  <si>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</si>
  <si>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</si>
  <si>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</si>
  <si>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</si>
  <si>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</si>
  <si>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</si>
  <si>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</si>
  <si>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</si>
  <si>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</si>
  <si>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</si>
  <si>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</si>
  <si>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</si>
  <si>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</si>
  <si>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</si>
  <si>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</si>
  <si>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</si>
  <si>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</si>
  <si>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</si>
  <si>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</si>
  <si>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</si>
  <si>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</si>
  <si>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</si>
  <si>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</si>
  <si>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</si>
  <si>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</si>
  <si>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</si>
  <si>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</si>
  <si>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</si>
  <si>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</si>
  <si>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</si>
  <si>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</si>
  <si>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</si>
  <si>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</si>
  <si>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</si>
  <si>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</si>
  <si>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</si>
  <si>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</si>
  <si>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</si>
  <si>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</si>
  <si>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</si>
  <si>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</si>
  <si>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</si>
  <si>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</si>
  <si>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</si>
  <si>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</si>
  <si>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</si>
  <si>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</si>
  <si>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</si>
  <si>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</si>
  <si>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</si>
  <si>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</si>
  <si>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</si>
  <si>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</si>
  <si>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</si>
  <si>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</si>
  <si>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</si>
  <si>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</si>
  <si>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</si>
  <si>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</si>
  <si>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</si>
  <si>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</si>
  <si>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</si>
  <si>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</si>
  <si>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</si>
  <si>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</si>
  <si>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</si>
  <si>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</si>
  <si>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</si>
  <si>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</si>
  <si>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</si>
  <si>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</si>
  <si>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</si>
  <si>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</si>
  <si>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</si>
  <si>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</si>
  <si>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</si>
  <si>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</si>
  <si>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</si>
  <si>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</si>
  <si>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</si>
  <si>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</si>
  <si>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</si>
  <si>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</si>
  <si>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</si>
  <si>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</si>
  <si>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</si>
  <si>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</si>
  <si>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</si>
  <si>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</si>
  <si>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</si>
  <si>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</si>
  <si>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</si>
  <si>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</si>
  <si>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</si>
  <si>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</si>
  <si>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</si>
  <si>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</si>
  <si>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</si>
  <si>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</si>
  <si>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</si>
  <si>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</si>
  <si>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</si>
  <si>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</si>
  <si>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</si>
  <si>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</si>
  <si>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</si>
  <si>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</si>
  <si>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</si>
  <si>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</si>
  <si>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</si>
  <si>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</si>
  <si>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</si>
  <si>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</si>
  <si>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</si>
  <si>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</si>
  <si>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</si>
  <si>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</si>
  <si>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</si>
  <si>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</si>
  <si>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</si>
  <si>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</si>
  <si>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</si>
  <si>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</si>
  <si>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</si>
  <si>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</si>
  <si>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</si>
  <si>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</si>
  <si>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</si>
  <si>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</si>
  <si>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</si>
  <si>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</si>
  <si>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</si>
  <si>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</si>
  <si>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</si>
  <si>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</si>
  <si>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</si>
  <si>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</si>
  <si>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</si>
  <si>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</si>
  <si>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</si>
  <si>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</si>
  <si>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</si>
  <si>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</si>
  <si>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</si>
  <si>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</si>
  <si>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</si>
  <si>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</si>
  <si>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</si>
  <si>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</si>
  <si>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</si>
  <si>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</si>
  <si>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</si>
  <si>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</si>
  <si>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</si>
  <si>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</si>
  <si>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</si>
  <si>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</si>
  <si>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</si>
  <si>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</si>
  <si>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</si>
  <si>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</si>
  <si>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</si>
  <si>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</si>
  <si>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</si>
  <si>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</si>
  <si>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</si>
  <si>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</si>
  <si>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</si>
  <si>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</si>
  <si>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</si>
  <si>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</si>
  <si>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</si>
  <si>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</si>
  <si>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</si>
  <si>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</si>
  <si>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</si>
  <si>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</si>
  <si>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</si>
  <si>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</si>
  <si>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</si>
  <si>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</si>
  <si>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</si>
  <si>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</si>
  <si>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</si>
  <si>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</si>
  <si>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</si>
  <si>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</si>
  <si>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</si>
  <si>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</si>
  <si>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</si>
  <si>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</si>
  <si>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</si>
  <si>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</si>
  <si>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</si>
  <si>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</si>
  <si>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</si>
  <si>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</si>
  <si>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</si>
  <si>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</si>
  <si>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</si>
  <si>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</si>
  <si>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</si>
  <si>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</si>
  <si>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</si>
  <si>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</si>
  <si>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</si>
  <si>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</si>
  <si>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</si>
  <si>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</si>
  <si>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</si>
  <si>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</si>
  <si>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</si>
  <si>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</si>
  <si>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</si>
  <si>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</si>
  <si>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</si>
  <si>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</si>
  <si>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</si>
  <si>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</si>
  <si>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</si>
  <si>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</si>
  <si>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</si>
  <si>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</si>
  <si>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</si>
  <si>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</si>
  <si>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</si>
  <si>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</si>
  <si>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</si>
  <si>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</si>
  <si>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</si>
  <si>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</si>
  <si>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</si>
  <si>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</si>
  <si>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</si>
  <si>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</si>
  <si>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</si>
  <si>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</si>
  <si>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</si>
  <si>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</si>
  <si>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</si>
  <si>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</si>
  <si>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</si>
  <si>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</si>
  <si>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</si>
  <si>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</si>
  <si>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</si>
  <si>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</si>
  <si>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</si>
  <si>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</si>
  <si>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</si>
  <si>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</si>
  <si>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</si>
  <si>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</si>
  <si>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</si>
  <si>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</si>
  <si>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</si>
  <si>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</si>
  <si>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</si>
  <si>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</si>
  <si>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</si>
  <si>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</si>
  <si>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</si>
  <si>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</si>
  <si>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</si>
  <si>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</si>
  <si>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</si>
  <si>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</si>
  <si>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</si>
  <si>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</si>
  <si>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</si>
  <si>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</si>
  <si>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</si>
  <si>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</si>
  <si>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</si>
  <si>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</si>
  <si>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</si>
  <si>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</si>
  <si>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</si>
  <si>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</si>
  <si>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</si>
  <si>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</si>
  <si>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</si>
  <si>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</si>
  <si>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</si>
  <si>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</si>
  <si>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</si>
  <si>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</si>
  <si>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</si>
  <si>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</si>
  <si>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</si>
  <si>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</si>
  <si>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</si>
  <si>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</si>
  <si>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</si>
  <si>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</si>
  <si>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</si>
  <si>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</si>
  <si>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</si>
  <si>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</si>
  <si>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</si>
  <si>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</si>
  <si>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</si>
  <si>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</si>
  <si>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</si>
  <si>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</si>
  <si>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</si>
  <si>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</si>
  <si>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</si>
  <si>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</si>
  <si>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</si>
  <si>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</si>
  <si>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</si>
  <si>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</si>
  <si>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</si>
  <si>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</si>
  <si>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</si>
  <si>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</si>
  <si>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</si>
  <si>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</si>
  <si>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</si>
  <si>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</si>
  <si>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</si>
  <si>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</si>
  <si>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</si>
  <si>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</si>
  <si>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</si>
  <si>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</si>
  <si>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</si>
  <si>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</si>
  <si>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</si>
  <si>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</si>
  <si>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</si>
  <si>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</si>
  <si>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</si>
  <si>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</si>
  <si>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</si>
  <si>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</si>
  <si>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</si>
  <si>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</si>
  <si>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</si>
  <si>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</si>
  <si>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</si>
  <si>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</si>
  <si>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</si>
  <si>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</si>
  <si>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</si>
  <si>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</si>
  <si>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</si>
  <si>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</si>
  <si>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</si>
  <si>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</si>
  <si>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</si>
  <si>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</si>
  <si>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</si>
  <si>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</si>
  <si>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</si>
  <si>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</si>
  <si>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</si>
  <si>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</si>
  <si>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</si>
  <si>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</si>
  <si>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</si>
  <si>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</si>
  <si>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</si>
  <si>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</si>
  <si>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</si>
  <si>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</si>
  <si>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</si>
  <si>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</si>
  <si>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</si>
  <si>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</si>
  <si>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</si>
  <si>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</si>
  <si>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</si>
  <si>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</si>
  <si>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</si>
  <si>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</si>
  <si>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</si>
  <si>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</si>
  <si>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</si>
  <si>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</si>
  <si>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</si>
  <si>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</si>
  <si>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</si>
  <si>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</si>
  <si>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</si>
  <si>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</si>
  <si>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</si>
  <si>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</si>
  <si>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</si>
  <si>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</si>
  <si>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</si>
  <si>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</si>
  <si>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</si>
  <si>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</si>
  <si>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</si>
  <si>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</si>
  <si>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</si>
  <si>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</si>
  <si>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</si>
  <si>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</si>
  <si>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</si>
  <si>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</si>
  <si>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</si>
  <si>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</si>
  <si>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</si>
  <si>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</si>
  <si>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</si>
  <si>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</si>
  <si>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</si>
  <si>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</si>
  <si>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</si>
  <si>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</si>
  <si>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</si>
  <si>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</si>
  <si>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</si>
  <si>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</si>
  <si>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</si>
  <si>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</si>
  <si>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</si>
  <si>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</si>
  <si>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</si>
  <si>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</si>
  <si>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</si>
  <si>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</si>
  <si>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</si>
  <si>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</si>
  <si>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</si>
  <si>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</si>
  <si>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</si>
  <si>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</si>
  <si>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</si>
  <si>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</si>
  <si>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</si>
  <si>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</si>
  <si>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</si>
  <si>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</si>
  <si>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</si>
  <si>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</si>
  <si>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</si>
  <si>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</si>
  <si>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</si>
  <si>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</si>
  <si>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</si>
  <si>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</si>
  <si>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</si>
  <si>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</si>
  <si>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</si>
  <si>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</si>
  <si>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</si>
  <si>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</si>
  <si>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</si>
  <si>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</si>
  <si>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</si>
  <si>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</si>
  <si>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</si>
  <si>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</si>
  <si>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</si>
  <si>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</si>
  <si>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</si>
  <si>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</si>
  <si>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</si>
  <si>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</si>
  <si>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</si>
  <si>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</si>
  <si>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</si>
  <si>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</si>
  <si>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</si>
  <si>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</si>
  <si>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</si>
  <si>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</si>
  <si>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</si>
  <si>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</si>
  <si>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</si>
  <si>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</si>
  <si>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</si>
  <si>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</si>
  <si>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</si>
  <si>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</si>
  <si>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</si>
  <si>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</si>
  <si>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</si>
  <si>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</si>
  <si>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</si>
  <si>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</si>
  <si>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</si>
  <si>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</si>
  <si>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</si>
  <si>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</si>
  <si>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</si>
  <si>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</si>
  <si>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</si>
  <si>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</si>
  <si>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</si>
  <si>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</si>
  <si>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</si>
  <si>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</si>
  <si>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</si>
  <si>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</si>
  <si>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</si>
  <si>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</si>
  <si>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</si>
  <si>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</si>
  <si>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</si>
  <si>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</si>
  <si>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</si>
  <si>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</si>
  <si>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</si>
  <si>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</si>
  <si>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</si>
  <si>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</si>
  <si>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</si>
  <si>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</si>
  <si>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</si>
  <si>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</si>
  <si>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</si>
  <si>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</si>
  <si>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</si>
  <si>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</si>
  <si>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</si>
  <si>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</si>
  <si>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</si>
  <si>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</si>
  <si>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</si>
  <si>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</si>
  <si>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</si>
  <si>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</si>
  <si>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</si>
  <si>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</si>
  <si>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</si>
  <si>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</si>
  <si>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</si>
  <si>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</si>
  <si>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</si>
  <si>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</si>
  <si>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</si>
  <si>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</si>
  <si>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</si>
  <si>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</si>
  <si>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</si>
  <si>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</si>
  <si>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</si>
  <si>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</si>
  <si>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</si>
  <si>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</si>
  <si>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</si>
  <si>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</si>
  <si>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</si>
  <si>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</si>
  <si>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</si>
  <si>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</si>
  <si>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</si>
  <si>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</si>
  <si>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</si>
  <si>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</si>
  <si>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</si>
  <si>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</si>
  <si>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</si>
  <si>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</si>
  <si>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</si>
  <si>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</si>
  <si>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</si>
  <si>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</si>
  <si>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</si>
  <si>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</si>
  <si>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</si>
  <si>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</si>
  <si>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</si>
  <si>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</si>
  <si>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</si>
  <si>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</si>
  <si>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</si>
  <si>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</si>
  <si>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</si>
  <si>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</si>
  <si>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</si>
  <si>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</si>
  <si>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</si>
  <si>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</si>
  <si>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</si>
  <si>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</si>
  <si>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</si>
  <si>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</si>
  <si>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</si>
  <si>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</si>
  <si>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</si>
  <si>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</si>
  <si>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</si>
  <si>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</si>
  <si>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</si>
  <si>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</si>
  <si>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</si>
  <si>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</si>
  <si>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</si>
  <si>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</si>
  <si>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</si>
  <si>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</si>
  <si>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</si>
  <si>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</si>
  <si>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</si>
  <si>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</si>
  <si>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</si>
  <si>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</si>
  <si>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</si>
  <si>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</si>
  <si>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</si>
  <si>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</si>
  <si>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</si>
  <si>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</si>
  <si>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</si>
  <si>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</si>
  <si>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</si>
  <si>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</si>
  <si>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</si>
  <si>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</si>
  <si>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</si>
  <si>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</si>
  <si>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</si>
  <si>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</si>
  <si>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</si>
  <si>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</si>
  <si>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</si>
  <si>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</si>
  <si>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</si>
  <si>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</si>
  <si>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</si>
  <si>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</si>
  <si>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</si>
  <si>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</si>
  <si>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</si>
  <si>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</si>
  <si>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</si>
  <si>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</si>
  <si>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</si>
  <si>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</si>
  <si>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</si>
  <si>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</si>
  <si>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</si>
  <si>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</si>
  <si>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</si>
  <si>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</si>
  <si>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</si>
  <si>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</si>
  <si>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</si>
  <si>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</si>
  <si>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</si>
  <si>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</si>
  <si>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</si>
  <si>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</si>
  <si>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</si>
  <si>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</si>
  <si>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</si>
  <si>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</si>
  <si>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</si>
  <si>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</si>
  <si>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</si>
  <si>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</si>
  <si>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</si>
  <si>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</si>
  <si>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</si>
  <si>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</si>
  <si>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</si>
  <si>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</si>
  <si>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</si>
  <si>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</si>
  <si>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</si>
  <si>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</si>
  <si>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</si>
  <si>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</si>
  <si>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</si>
  <si>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</si>
  <si>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</si>
  <si>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</si>
  <si>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</si>
  <si>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</si>
  <si>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</si>
  <si>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</si>
  <si>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</si>
  <si>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</si>
  <si>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</si>
  <si>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</si>
  <si>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</si>
  <si>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</si>
  <si>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</si>
  <si>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</si>
  <si>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</si>
  <si>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</si>
  <si>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</si>
  <si>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</si>
  <si>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</si>
  <si>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</si>
  <si>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</si>
  <si>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</si>
  <si>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</si>
  <si>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</si>
  <si>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</si>
  <si>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</si>
  <si>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</si>
  <si>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</si>
  <si>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</si>
  <si>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</si>
  <si>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</si>
  <si>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</si>
  <si>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</si>
  <si>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</si>
  <si>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</si>
  <si>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</si>
  <si>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</si>
  <si>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</si>
  <si>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</si>
  <si>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</si>
  <si>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</si>
  <si>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</si>
  <si>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</si>
  <si>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</si>
  <si>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</si>
  <si>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</si>
  <si>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</si>
  <si>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</si>
  <si>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</si>
  <si>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</si>
  <si>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</si>
  <si>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</si>
  <si>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</si>
  <si>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</si>
  <si>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</si>
  <si>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</si>
  <si>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</si>
  <si>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</si>
  <si>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</si>
  <si>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</si>
  <si>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</si>
  <si>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</si>
  <si>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</si>
  <si>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</si>
  <si>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</si>
  <si>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</si>
  <si>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</si>
  <si>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</si>
  <si>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</si>
  <si>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</si>
  <si>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</si>
  <si>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</si>
  <si>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</si>
  <si>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</si>
  <si>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</si>
  <si>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</si>
  <si>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</si>
  <si>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</si>
  <si>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</si>
  <si>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</si>
  <si>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</si>
  <si>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</si>
  <si>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</si>
  <si>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</si>
  <si>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</si>
  <si>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</si>
  <si>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</si>
  <si>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</si>
  <si>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</si>
  <si>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</si>
  <si>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</si>
  <si>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</si>
  <si>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</si>
  <si>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</si>
  <si>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</si>
  <si>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</si>
  <si>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</si>
  <si>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</si>
  <si>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</si>
  <si>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</si>
  <si>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</si>
  <si>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</si>
  <si>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</si>
  <si>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</si>
  <si>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</si>
  <si>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</si>
  <si>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</si>
  <si>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</si>
  <si>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</si>
  <si>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</si>
  <si>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</si>
  <si>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</si>
  <si>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</si>
  <si>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</si>
  <si>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</si>
  <si>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</si>
  <si>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</si>
  <si>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</si>
  <si>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</si>
  <si>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</si>
  <si>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</si>
  <si>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</si>
  <si>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</si>
  <si>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</si>
  <si>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</si>
  <si>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</si>
  <si>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</si>
  <si>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</si>
  <si>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</si>
  <si>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</si>
  <si>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</si>
  <si>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</si>
  <si>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</si>
  <si>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</si>
  <si>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</si>
  <si>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</si>
  <si>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</si>
  <si>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</si>
  <si>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</si>
  <si>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</si>
  <si>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</si>
  <si>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</si>
  <si>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</si>
  <si>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</si>
  <si>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</si>
  <si>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</si>
  <si>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</si>
  <si>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</si>
  <si>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</si>
  <si>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</si>
  <si>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</si>
  <si>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</si>
  <si>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</si>
  <si>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</si>
  <si>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</si>
  <si>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</si>
  <si>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</si>
  <si>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</si>
  <si>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</si>
  <si>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</si>
  <si>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</si>
  <si>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</si>
  <si>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</si>
  <si>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</si>
  <si>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</si>
  <si>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</si>
  <si>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</si>
  <si>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</si>
  <si>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</si>
  <si>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</si>
  <si>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</si>
  <si>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</si>
  <si>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</si>
  <si>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</si>
  <si>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</si>
  <si>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</si>
  <si>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</si>
  <si>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</si>
  <si>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</si>
  <si>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</si>
  <si>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</si>
  <si>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</si>
  <si>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</si>
  <si>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</si>
  <si>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</si>
  <si>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</si>
  <si>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</si>
  <si>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</si>
  <si>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</si>
  <si>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</si>
  <si>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</si>
  <si>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</si>
  <si>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</si>
  <si>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</si>
  <si>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</si>
  <si>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</si>
  <si>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</si>
  <si>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</si>
  <si>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</si>
  <si>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</si>
  <si>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</si>
  <si>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</si>
  <si>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</si>
  <si>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</si>
  <si>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</si>
  <si>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</si>
  <si>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</si>
  <si>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</si>
  <si>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</si>
  <si>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</si>
  <si>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</si>
  <si>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</si>
  <si>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</si>
  <si>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</si>
  <si>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</si>
  <si>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</si>
  <si>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</si>
  <si>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</si>
  <si>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</si>
  <si>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</si>
  <si>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</si>
  <si>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</si>
  <si>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</si>
  <si>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</si>
  <si>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</si>
  <si>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</si>
  <si>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</si>
  <si>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</si>
  <si>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</si>
  <si>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</si>
  <si>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</si>
  <si>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</si>
  <si>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</si>
  <si>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</si>
  <si>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</si>
  <si>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</si>
  <si>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</si>
  <si>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</si>
  <si>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</si>
  <si>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</si>
  <si>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</si>
  <si>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</si>
  <si>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</si>
  <si>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</si>
  <si>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</si>
  <si>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</si>
  <si>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</si>
  <si>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</si>
  <si>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</si>
  <si>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</si>
  <si>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</si>
  <si>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</si>
  <si>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</si>
  <si>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</si>
  <si>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</si>
  <si>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</si>
  <si>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</si>
  <si>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</si>
  <si>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</si>
  <si>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</si>
  <si>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</si>
  <si>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</si>
  <si>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</si>
  <si>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</si>
  <si>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</si>
  <si>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</si>
  <si>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</si>
  <si>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</si>
  <si>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</si>
  <si>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</si>
  <si>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</si>
  <si>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</si>
  <si>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</si>
  <si>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</si>
  <si>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</si>
  <si>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</si>
  <si>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</si>
  <si>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</si>
  <si>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</si>
  <si>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</si>
  <si>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</si>
  <si>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</si>
  <si>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</si>
  <si>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</si>
  <si>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</si>
  <si>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</si>
  <si>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</si>
  <si>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</si>
  <si>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</si>
  <si>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</si>
  <si>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</si>
  <si>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</si>
  <si>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</si>
  <si>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</si>
  <si>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</si>
  <si>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</si>
  <si>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</si>
  <si>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</si>
  <si>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</si>
  <si>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</si>
  <si>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</si>
  <si>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</si>
  <si>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</si>
  <si>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</si>
  <si>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</si>
  <si>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</si>
  <si>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</si>
  <si>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</si>
  <si>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</si>
  <si>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</si>
  <si>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</si>
  <si>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</si>
  <si>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</si>
  <si>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</si>
  <si>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</si>
  <si>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</si>
  <si>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</si>
  <si>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</si>
  <si>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</si>
  <si>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</si>
  <si>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</si>
  <si>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</si>
  <si>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</si>
  <si>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</si>
  <si>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</si>
  <si>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</si>
  <si>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</si>
  <si>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</si>
  <si>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</si>
  <si>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</si>
  <si>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</si>
  <si>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</si>
  <si>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</si>
  <si>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</si>
  <si>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</si>
  <si>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</si>
  <si>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</si>
  <si>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</si>
  <si>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</si>
  <si>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</si>
  <si>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</si>
  <si>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</si>
  <si>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</si>
  <si>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</si>
  <si>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</si>
  <si>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</si>
  <si>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</si>
  <si>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</si>
  <si>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</si>
  <si>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</si>
  <si>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</si>
  <si>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</si>
  <si>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</si>
  <si>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</si>
  <si>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</si>
  <si>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</si>
  <si>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</si>
  <si>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</si>
  <si>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</si>
  <si>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</si>
  <si>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</si>
  <si>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</si>
  <si>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</si>
  <si>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</si>
  <si>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</si>
  <si>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</si>
  <si>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</si>
  <si>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</si>
  <si>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</si>
  <si>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</si>
  <si>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</si>
  <si>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</si>
  <si>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</si>
  <si>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</si>
  <si>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</si>
  <si>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</si>
  <si>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</si>
  <si>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</si>
  <si>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</si>
  <si>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</si>
  <si>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</si>
  <si>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</si>
  <si>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</si>
  <si>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</si>
  <si>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</si>
  <si>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</si>
  <si>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</si>
  <si>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</si>
  <si>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</si>
  <si>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</si>
  <si>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</si>
  <si>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</si>
  <si>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</si>
  <si>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</si>
  <si>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</si>
  <si>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</si>
  <si>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</si>
  <si>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</si>
  <si>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</si>
  <si>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</si>
  <si>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</si>
  <si>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</si>
  <si>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</si>
  <si>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</si>
  <si>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</si>
  <si>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</si>
  <si>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</si>
  <si>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</si>
  <si>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</si>
  <si>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</si>
  <si>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</si>
  <si>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</si>
  <si>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</si>
  <si>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</si>
  <si>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</si>
  <si>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</si>
  <si>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</si>
  <si>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</si>
  <si>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</si>
  <si>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</si>
  <si>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</si>
  <si>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</si>
  <si>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</si>
  <si>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</si>
  <si>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</si>
  <si>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</si>
  <si>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</si>
  <si>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</si>
  <si>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</si>
  <si>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</si>
  <si>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</si>
  <si>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</si>
  <si>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</si>
  <si>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</si>
  <si>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</si>
  <si>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</si>
  <si>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</si>
  <si>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</si>
  <si>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</si>
  <si>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</si>
  <si>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</si>
  <si>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</si>
  <si>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</si>
  <si>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</si>
  <si>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</si>
  <si>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</si>
  <si>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</si>
  <si>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</si>
  <si>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</si>
  <si>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</si>
  <si>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</si>
  <si>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</si>
  <si>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</si>
  <si>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</si>
  <si>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</si>
  <si>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</si>
  <si>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</si>
  <si>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</si>
  <si>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</si>
  <si>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</si>
  <si>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</si>
  <si>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</si>
  <si>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</si>
  <si>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</si>
  <si>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</si>
  <si>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</si>
  <si>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</si>
  <si>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</si>
  <si>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</si>
  <si>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</si>
  <si>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</si>
  <si>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</si>
  <si>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</si>
  <si>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</si>
  <si>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</si>
  <si>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</si>
  <si>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</si>
  <si>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</si>
  <si>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</si>
  <si>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</si>
  <si>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</si>
  <si>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</si>
  <si>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</si>
  <si>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</si>
  <si>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</si>
  <si>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</si>
  <si>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</si>
  <si>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</si>
  <si>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</si>
  <si>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</si>
  <si>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</si>
  <si>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</si>
  <si>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</si>
  <si>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</si>
  <si>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</si>
  <si>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</si>
  <si>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</si>
  <si>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</si>
  <si>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</si>
  <si>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</si>
  <si>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</si>
  <si>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</si>
  <si>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</si>
  <si>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</si>
  <si>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</si>
  <si>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</si>
  <si>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</si>
  <si>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</si>
  <si>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</si>
  <si>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</si>
  <si>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</si>
  <si>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</si>
  <si>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</si>
  <si>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</si>
  <si>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</si>
  <si>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</si>
  <si>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</si>
  <si>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</si>
  <si>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</si>
  <si>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</si>
  <si>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</si>
  <si>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</si>
  <si>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</si>
  <si>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</si>
  <si>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</si>
  <si>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</si>
  <si>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</si>
  <si>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</si>
  <si>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</si>
  <si>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</si>
  <si>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</si>
  <si>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</si>
  <si>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</si>
  <si>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</si>
  <si>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</si>
  <si>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</si>
  <si>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</si>
  <si>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</si>
  <si>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</si>
  <si>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</si>
  <si>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</si>
  <si>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</si>
  <si>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</si>
  <si>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</si>
  <si>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</si>
  <si>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</si>
  <si>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</si>
  <si>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</si>
  <si>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</si>
  <si>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</si>
  <si>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</si>
  <si>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</si>
  <si>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</si>
  <si>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</si>
  <si>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</si>
  <si>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</si>
  <si>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</si>
  <si>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</si>
  <si>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</si>
  <si>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</si>
  <si>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</si>
  <si>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</si>
  <si>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</si>
  <si>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</si>
  <si>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</si>
  <si>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</si>
  <si>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</si>
  <si>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</si>
  <si>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</si>
  <si>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</si>
  <si>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</si>
  <si>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</si>
  <si>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</si>
  <si>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</si>
  <si>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</si>
  <si>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</si>
  <si>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</si>
  <si>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</si>
  <si>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</si>
  <si>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</si>
  <si>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</si>
  <si>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</si>
  <si>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</si>
  <si>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</si>
  <si>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</si>
  <si>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</si>
  <si>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</si>
  <si>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</si>
  <si>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</si>
  <si>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</si>
  <si>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</si>
  <si>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</si>
  <si>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</si>
  <si>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</si>
  <si>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</si>
  <si>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</si>
  <si>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</si>
  <si>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</si>
  <si>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</si>
  <si>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</si>
  <si>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</si>
  <si>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</si>
  <si>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</si>
  <si>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</si>
  <si>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</si>
  <si>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</si>
  <si>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</si>
  <si>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</si>
  <si>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</si>
  <si>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</si>
  <si>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</si>
  <si>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</si>
  <si>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</si>
  <si>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</si>
  <si>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</si>
  <si>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</si>
  <si>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</si>
  <si>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</si>
  <si>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</si>
  <si>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</si>
  <si>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</si>
  <si>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</si>
  <si>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</si>
  <si>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</si>
  <si>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</si>
  <si>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</si>
  <si>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</si>
  <si>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</si>
  <si>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</si>
  <si>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</si>
  <si>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</si>
  <si>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</si>
  <si>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</si>
  <si>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</si>
  <si>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</si>
  <si>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</si>
  <si>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</si>
  <si>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</si>
  <si>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</si>
  <si>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</si>
  <si>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</si>
  <si>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</si>
  <si>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</si>
  <si>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</si>
  <si>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</si>
  <si>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</si>
  <si>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</si>
  <si>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</si>
  <si>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</si>
  <si>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</si>
  <si>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</si>
  <si>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</si>
  <si>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</si>
  <si>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</si>
  <si>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</si>
  <si>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</si>
  <si>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</si>
  <si>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</si>
  <si>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</si>
  <si>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</si>
  <si>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</si>
  <si>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</si>
  <si>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</si>
  <si>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</si>
  <si>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</si>
  <si>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</si>
  <si>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</si>
  <si>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</si>
  <si>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</si>
  <si>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</si>
  <si>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</si>
  <si>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</si>
  <si>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</si>
  <si>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</si>
  <si>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</si>
  <si>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</si>
  <si>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</si>
  <si>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</si>
  <si>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</si>
  <si>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</si>
  <si>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</si>
  <si>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</si>
  <si>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</si>
  <si>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</si>
  <si>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</si>
  <si>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</si>
  <si>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</si>
  <si>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</si>
  <si>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</si>
  <si>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</si>
  <si>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</si>
  <si>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</si>
  <si>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</si>
  <si>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</si>
  <si>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</si>
  <si>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</si>
  <si>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</si>
  <si>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</si>
  <si>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</si>
  <si>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</si>
  <si>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</si>
  <si>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</si>
  <si>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</si>
  <si>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</si>
  <si>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</si>
  <si>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</si>
  <si>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</si>
  <si>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</si>
  <si>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</si>
  <si>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</si>
  <si>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</si>
  <si>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</si>
  <si>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</si>
  <si>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</si>
  <si>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</si>
  <si>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</si>
  <si>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</si>
  <si>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</si>
  <si>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</si>
  <si>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</si>
  <si>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</si>
  <si>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</si>
  <si>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</si>
  <si>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</si>
  <si>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</si>
  <si>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</si>
  <si>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</si>
  <si>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</si>
  <si>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</si>
  <si>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</si>
  <si>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</si>
  <si>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</si>
  <si>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</si>
  <si>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</si>
  <si>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</si>
  <si>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</si>
  <si>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</si>
  <si>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</si>
  <si>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</si>
  <si>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</si>
  <si>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</si>
  <si>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</si>
  <si>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</si>
  <si>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</si>
  <si>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</si>
  <si>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</si>
  <si>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</si>
  <si>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</si>
  <si>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</si>
  <si>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</si>
  <si>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</si>
  <si>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</si>
  <si>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</si>
  <si>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</si>
  <si>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</si>
  <si>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</si>
  <si>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</si>
  <si>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</si>
  <si>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</si>
  <si>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</si>
  <si>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</si>
  <si>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</si>
  <si>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</si>
  <si>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</si>
  <si>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</si>
  <si>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</si>
  <si>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</si>
  <si>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</si>
  <si>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</si>
  <si>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</si>
  <si>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</si>
  <si>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</si>
  <si>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</si>
  <si>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</si>
  <si>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</si>
  <si>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</si>
  <si>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</si>
  <si>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</si>
  <si>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</si>
  <si>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</si>
  <si>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</si>
  <si>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</si>
  <si>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</si>
  <si>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</si>
  <si>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</si>
  <si>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</si>
  <si>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</si>
  <si>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</si>
  <si>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</si>
  <si>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</si>
  <si>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</si>
  <si>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</si>
  <si>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</si>
  <si>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</si>
  <si>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</si>
  <si>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</si>
  <si>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</si>
  <si>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</si>
  <si>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</si>
  <si>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</si>
  <si>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</si>
  <si>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</si>
  <si>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</si>
  <si>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</si>
  <si>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</si>
  <si>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</si>
  <si>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</si>
  <si>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</si>
  <si>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</si>
  <si>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</si>
  <si>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</si>
  <si>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</si>
  <si>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</si>
  <si>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</si>
  <si>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</si>
  <si>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</si>
  <si>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</si>
  <si>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</si>
  <si>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</si>
  <si>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</si>
  <si>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</si>
  <si>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</si>
  <si>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</si>
  <si>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</si>
  <si>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</si>
  <si>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</si>
  <si>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</si>
  <si>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</si>
  <si>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</si>
  <si>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</si>
  <si>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</si>
  <si>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</si>
  <si>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</si>
  <si>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</si>
  <si>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</si>
  <si>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</si>
  <si>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</si>
  <si>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</si>
  <si>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</si>
  <si>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</si>
  <si>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</si>
  <si>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</si>
  <si>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</si>
  <si>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</si>
  <si>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</si>
  <si>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</si>
  <si>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</si>
  <si>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</si>
  <si>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</si>
  <si>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</si>
  <si>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</si>
  <si>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</si>
  <si>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</si>
  <si>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</si>
  <si>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</si>
  <si>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</si>
  <si>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</si>
  <si>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</si>
  <si>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</si>
  <si>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</si>
  <si>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</si>
  <si>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</si>
  <si>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</si>
  <si>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</si>
  <si>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</si>
  <si>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</si>
  <si>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</si>
  <si>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</si>
  <si>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</si>
  <si>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</si>
  <si>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</si>
  <si>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</si>
  <si>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</si>
  <si>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</si>
  <si>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</si>
  <si>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</si>
  <si>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</si>
  <si>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</si>
  <si>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</si>
  <si>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</si>
  <si>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</si>
  <si>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</si>
  <si>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</si>
  <si>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</si>
  <si>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</si>
  <si>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</si>
  <si>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</si>
  <si>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</si>
  <si>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</si>
  <si>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</si>
  <si>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</si>
  <si>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</si>
  <si>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</si>
  <si>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</si>
  <si>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</si>
  <si>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</si>
  <si>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</si>
  <si>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</si>
  <si>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</si>
  <si>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</si>
  <si>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</si>
  <si>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</si>
  <si>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</si>
  <si>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</si>
  <si>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</si>
  <si>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</si>
  <si>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</si>
  <si>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</si>
  <si>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</si>
  <si>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</si>
  <si>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</si>
  <si>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</si>
  <si>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</si>
  <si>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</si>
  <si>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</si>
  <si>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</si>
  <si>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</si>
  <si>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</si>
  <si>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</si>
  <si>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</si>
  <si>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</si>
  <si>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</si>
  <si>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</si>
  <si>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</si>
  <si>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</si>
  <si>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</si>
  <si>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</si>
  <si>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</si>
  <si>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</si>
  <si>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</si>
  <si>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</si>
  <si>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</si>
  <si>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</si>
  <si>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</si>
  <si>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</si>
  <si>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</si>
  <si>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</si>
  <si>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</si>
  <si>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</si>
  <si>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</si>
  <si>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</si>
  <si>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</si>
  <si>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</si>
  <si>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</si>
  <si>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</si>
  <si>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</si>
  <si>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</si>
  <si>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</si>
  <si>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</si>
  <si>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</si>
  <si>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</si>
  <si>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</si>
  <si>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</si>
  <si>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</si>
  <si>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</si>
  <si>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</si>
  <si>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</si>
  <si>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</si>
  <si>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</si>
  <si>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</si>
  <si>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</si>
  <si>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</si>
  <si>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</si>
  <si>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</si>
  <si>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</si>
  <si>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</si>
  <si>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</si>
  <si>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</si>
  <si>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</si>
  <si>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</si>
  <si>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</si>
  <si>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</si>
  <si>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</si>
  <si>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</si>
  <si>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</si>
  <si>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</si>
  <si>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</si>
  <si>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</si>
  <si>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</si>
  <si>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</si>
  <si>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</si>
  <si>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</si>
  <si>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</si>
  <si>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</si>
  <si>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</si>
  <si>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</si>
  <si>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</si>
  <si>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</si>
  <si>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</si>
  <si>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</si>
  <si>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</si>
  <si>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</si>
  <si>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</si>
  <si>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</si>
  <si>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</si>
  <si>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</si>
  <si>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</si>
  <si>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</si>
  <si>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</si>
  <si>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</si>
  <si>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</si>
  <si>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</si>
  <si>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</si>
  <si>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</si>
  <si>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</si>
  <si>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</si>
  <si>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</si>
  <si>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</si>
  <si>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</si>
  <si>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</si>
  <si>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</si>
  <si>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</si>
  <si>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</si>
  <si>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</si>
  <si>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</si>
  <si>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</si>
  <si>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</si>
  <si>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</si>
  <si>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</si>
  <si>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</si>
  <si>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</si>
  <si>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</si>
  <si>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</si>
  <si>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</si>
  <si>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</si>
  <si>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</si>
  <si>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</si>
  <si>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</si>
  <si>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</si>
  <si>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</si>
  <si>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</si>
  <si>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</si>
  <si>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</si>
  <si>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</si>
  <si>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</si>
  <si>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</si>
  <si>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</si>
  <si>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</si>
  <si>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</si>
  <si>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</si>
  <si>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</si>
  <si>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</si>
  <si>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</si>
  <si>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</si>
  <si>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</si>
  <si>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</si>
  <si>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</si>
  <si>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</si>
  <si>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</si>
  <si>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</si>
  <si>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</si>
  <si>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</si>
  <si>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</si>
  <si>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</si>
  <si>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</si>
  <si>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</si>
  <si>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</si>
  <si>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</si>
  <si>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</si>
  <si>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</si>
  <si>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</si>
  <si>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</si>
  <si>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</si>
  <si>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</si>
  <si>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</si>
  <si>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</si>
  <si>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</si>
  <si>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</si>
  <si>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</si>
  <si>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</si>
  <si>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</si>
  <si>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</si>
  <si>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</si>
  <si>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</si>
  <si>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</si>
  <si>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</si>
  <si>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</si>
  <si>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</si>
  <si>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</si>
  <si>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</si>
  <si>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</si>
  <si>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</si>
  <si>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</si>
  <si>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</si>
  <si>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</si>
  <si>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</si>
  <si>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</si>
  <si>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</si>
  <si>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</si>
  <si>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</si>
  <si>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</si>
  <si>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</si>
  <si>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</si>
  <si>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</si>
  <si>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</si>
  <si>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</si>
  <si>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</si>
  <si>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</si>
  <si>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</si>
  <si>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</si>
  <si>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</si>
  <si>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</si>
  <si>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</si>
  <si>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</si>
  <si>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</si>
  <si>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</si>
  <si>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</si>
  <si>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</si>
  <si>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</si>
  <si>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</si>
  <si>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</si>
  <si>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</si>
  <si>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</si>
  <si>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</si>
  <si>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</si>
  <si>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</si>
  <si>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</si>
  <si>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</si>
  <si>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</si>
  <si>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</si>
  <si>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</si>
  <si>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</si>
  <si>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</si>
  <si>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</si>
  <si>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</si>
  <si>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</si>
  <si>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</si>
  <si>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</si>
  <si>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</si>
  <si>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</si>
  <si>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</si>
  <si>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</si>
  <si>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</si>
  <si>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</si>
  <si>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</si>
  <si>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</si>
  <si>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</si>
  <si>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</si>
  <si>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</si>
  <si>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</si>
  <si>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</si>
  <si>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</si>
  <si>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</si>
  <si>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</si>
  <si>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</si>
  <si>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</si>
  <si>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</si>
  <si>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</si>
  <si>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</si>
  <si>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</si>
  <si>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</si>
  <si>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</si>
  <si>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</si>
  <si>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</si>
  <si>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</si>
  <si>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</si>
  <si>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</si>
  <si>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</si>
  <si>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</si>
  <si>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</si>
  <si>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</si>
  <si>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</si>
  <si>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</si>
  <si>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</si>
  <si>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</si>
  <si>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</si>
  <si>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</si>
  <si>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</si>
  <si>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</si>
  <si>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</si>
  <si>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</si>
  <si>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</si>
  <si>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</si>
  <si>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</si>
  <si>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</si>
  <si>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</si>
  <si>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</si>
  <si>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</si>
  <si>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</si>
  <si>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</si>
  <si>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</si>
  <si>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</si>
  <si>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</si>
  <si>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</si>
  <si>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</si>
  <si>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</si>
  <si>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</si>
  <si>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</si>
  <si>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</si>
  <si>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</si>
  <si>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</si>
  <si>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</si>
  <si>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</si>
  <si>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</si>
  <si>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</si>
  <si>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</si>
  <si>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</si>
  <si>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</si>
  <si>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</si>
  <si>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</si>
  <si>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</si>
  <si>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</si>
  <si>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</si>
  <si>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</si>
  <si>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</si>
  <si>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</si>
  <si>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</si>
  <si>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</si>
  <si>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</si>
  <si>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</si>
  <si>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</si>
  <si>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</si>
  <si>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</si>
  <si>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</si>
  <si>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</si>
  <si>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</si>
  <si>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</si>
  <si>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</si>
  <si>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</si>
  <si>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</si>
  <si>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</si>
  <si>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</si>
  <si>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</si>
  <si>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</si>
  <si>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</si>
  <si>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</si>
  <si>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</si>
  <si>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</si>
  <si>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</si>
  <si>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</si>
  <si>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</si>
  <si>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</si>
  <si>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</si>
  <si>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</si>
  <si>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</si>
  <si>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</si>
  <si>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</si>
  <si>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</si>
  <si>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</si>
  <si>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</si>
  <si>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</si>
  <si>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</si>
  <si>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</si>
  <si>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</si>
  <si>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</si>
  <si>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</si>
  <si>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</si>
  <si>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</si>
  <si>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</si>
  <si>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</si>
  <si>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</si>
  <si>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</si>
  <si>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</si>
  <si>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</si>
  <si>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</si>
  <si>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</si>
  <si>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</si>
  <si>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</si>
  <si>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</si>
  <si>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</si>
  <si>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</si>
  <si>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</si>
  <si>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</si>
  <si>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</si>
  <si>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</si>
  <si>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</si>
  <si>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</si>
  <si>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</si>
  <si>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</si>
  <si>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</si>
  <si>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</si>
  <si>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</si>
  <si>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</si>
  <si>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</si>
  <si>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</si>
  <si>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</si>
  <si>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</si>
  <si>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</si>
  <si>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</si>
  <si>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</si>
  <si>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</si>
  <si>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</si>
  <si>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</si>
  <si>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</si>
  <si>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</si>
  <si>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</si>
  <si>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</si>
  <si>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</si>
  <si>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</si>
  <si>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</si>
  <si>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</si>
  <si>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</si>
  <si>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</si>
  <si>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</si>
  <si>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</si>
  <si>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</si>
  <si>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</si>
  <si>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</si>
  <si>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</si>
  <si>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</si>
  <si>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</si>
  <si>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</si>
  <si>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</si>
  <si>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</si>
  <si>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</si>
  <si>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</si>
  <si>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</si>
  <si>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</si>
  <si>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</si>
  <si>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</si>
  <si>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</si>
  <si>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</si>
  <si>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</si>
  <si>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</si>
  <si>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</si>
  <si>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</si>
  <si>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</si>
  <si>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</si>
  <si>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</si>
  <si>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</si>
  <si>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</si>
  <si>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</si>
  <si>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</si>
  <si>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</si>
  <si>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</si>
  <si>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</si>
  <si>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</si>
  <si>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</si>
  <si>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</si>
  <si>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</si>
  <si>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</si>
  <si>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</si>
  <si>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</si>
  <si>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</si>
  <si>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</si>
  <si>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</si>
  <si>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</si>
  <si>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</si>
  <si>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</si>
  <si>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</si>
  <si>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</si>
  <si>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</si>
  <si>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</si>
  <si>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</si>
  <si>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</si>
  <si>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</si>
  <si>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</si>
  <si>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</si>
  <si>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</si>
  <si>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</si>
  <si>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</si>
  <si>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</si>
  <si>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</si>
  <si>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</si>
  <si>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</si>
  <si>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</si>
  <si>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</si>
  <si>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</si>
  <si>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</si>
  <si>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</si>
  <si>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</si>
  <si>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</si>
  <si>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</si>
  <si>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</si>
  <si>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</si>
  <si>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</si>
  <si>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</si>
  <si>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</si>
  <si>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</si>
  <si>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</si>
  <si>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</si>
  <si>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</si>
  <si>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</si>
  <si>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</si>
  <si>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</si>
  <si>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</si>
  <si>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</si>
  <si>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</si>
  <si>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</si>
  <si>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</si>
  <si>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</si>
  <si>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</si>
  <si>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</si>
  <si>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</si>
  <si>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</si>
  <si>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</si>
  <si>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</si>
  <si>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</si>
  <si>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</si>
  <si>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</si>
  <si>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</si>
  <si>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</si>
  <si>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</si>
  <si>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</si>
  <si>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</si>
  <si>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</si>
  <si>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</si>
  <si>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</si>
  <si>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</si>
  <si>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</si>
  <si>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</si>
  <si>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</si>
  <si>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</si>
  <si>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</si>
  <si>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</si>
  <si>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</si>
  <si>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</si>
  <si>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</si>
  <si>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</si>
  <si>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</si>
  <si>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</si>
  <si>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</si>
  <si>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</si>
  <si>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</si>
  <si>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</si>
  <si>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</si>
  <si>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</si>
  <si>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</si>
  <si>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</si>
  <si>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</si>
  <si>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</si>
  <si>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</si>
  <si>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</si>
  <si>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</si>
  <si>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</si>
  <si>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</si>
  <si>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</si>
  <si>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</si>
  <si>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</si>
  <si>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</si>
  <si>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</si>
  <si>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</si>
  <si>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</si>
  <si>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</si>
  <si>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</si>
  <si>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</si>
  <si>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</si>
  <si>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</si>
  <si>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</si>
  <si>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</si>
  <si>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</si>
  <si>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</si>
  <si>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</si>
  <si>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</si>
  <si>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</si>
  <si>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</si>
  <si>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</si>
  <si>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</si>
  <si>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</si>
  <si>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</si>
  <si>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</si>
  <si>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</si>
  <si>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</si>
  <si>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</si>
  <si>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</si>
  <si>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</si>
  <si>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</si>
  <si>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</si>
  <si>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</si>
  <si>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</si>
  <si>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</si>
  <si>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</si>
  <si>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</si>
  <si>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</si>
  <si>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</si>
  <si>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</si>
  <si>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</si>
  <si>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</si>
  <si>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</si>
  <si>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</si>
  <si>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</si>
  <si>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</si>
  <si>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</si>
  <si>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</si>
  <si>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</si>
  <si>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</si>
  <si>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</si>
  <si>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</si>
  <si>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</si>
  <si>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</si>
  <si>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</si>
  <si>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</si>
  <si>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</si>
  <si>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</si>
  <si>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</si>
  <si>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</si>
  <si>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</si>
  <si>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</si>
  <si>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</si>
  <si>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</si>
  <si>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</si>
  <si>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</si>
  <si>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</si>
  <si>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</si>
  <si>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</si>
  <si>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</si>
  <si>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</si>
  <si>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</si>
  <si>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</si>
  <si>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</si>
  <si>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</si>
  <si>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</si>
  <si>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</si>
  <si>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</si>
  <si>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</si>
  <si>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</si>
  <si>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</si>
  <si>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</si>
  <si>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</si>
  <si>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</si>
  <si>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</si>
  <si>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</si>
  <si>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</si>
  <si>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</si>
  <si>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</si>
  <si>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</si>
  <si>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</si>
  <si>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</si>
  <si>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</si>
  <si>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</si>
  <si>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</si>
  <si>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</si>
  <si>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</si>
  <si>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</si>
  <si>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</si>
  <si>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</si>
  <si>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</si>
  <si>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</si>
  <si>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</si>
  <si>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</si>
  <si>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</si>
  <si>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</si>
  <si>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</si>
  <si>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</si>
  <si>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</si>
  <si>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</si>
  <si>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</si>
  <si>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</si>
  <si>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</si>
  <si>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</si>
  <si>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</si>
  <si>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</si>
  <si>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</si>
  <si>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</si>
  <si>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</si>
  <si>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</si>
  <si>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</si>
  <si>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</si>
  <si>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</si>
  <si>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</si>
  <si>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</si>
  <si>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</si>
  <si>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</si>
  <si>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</si>
  <si>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</si>
  <si>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</si>
  <si>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</si>
  <si>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</si>
  <si>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</si>
  <si>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</si>
  <si>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</si>
  <si>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</si>
  <si>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</si>
  <si>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</si>
  <si>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</si>
  <si>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</si>
  <si>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</si>
  <si>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</si>
  <si>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</si>
  <si>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</si>
  <si>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</si>
  <si>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</si>
  <si>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</si>
  <si>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</si>
  <si>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</si>
  <si>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</si>
  <si>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</si>
  <si>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</si>
  <si>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</si>
  <si>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</si>
  <si>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</si>
  <si>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</si>
  <si>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</si>
  <si>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</si>
  <si>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</si>
  <si>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</si>
  <si>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</si>
  <si>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</si>
  <si>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</si>
  <si>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</si>
  <si>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</si>
  <si>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</si>
  <si>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</si>
  <si>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</si>
  <si>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</si>
  <si>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</si>
  <si>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</si>
  <si>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</si>
  <si>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</si>
  <si>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</si>
  <si>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</si>
  <si>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</si>
  <si>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</si>
  <si>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</si>
  <si>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</si>
  <si>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</si>
  <si>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</si>
  <si>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</si>
  <si>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</si>
  <si>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</si>
  <si>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</si>
  <si>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</si>
  <si>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</si>
  <si>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</si>
  <si>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</si>
  <si>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</si>
  <si>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</si>
  <si>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</si>
  <si>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</si>
  <si>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</si>
  <si>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</si>
  <si>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</si>
  <si>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</si>
  <si>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</si>
  <si>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</si>
  <si>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</si>
  <si>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</si>
  <si>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</si>
  <si>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</si>
  <si>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</si>
  <si>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</si>
  <si>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</si>
  <si>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</si>
  <si>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</si>
  <si>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</si>
  <si>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</si>
  <si>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</si>
  <si>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</si>
  <si>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</si>
  <si>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</si>
  <si>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</si>
  <si>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</si>
  <si>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</si>
  <si>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</si>
  <si>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</si>
  <si>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</si>
  <si>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</si>
  <si>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</si>
  <si>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</si>
  <si>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</si>
  <si>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</si>
  <si>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</si>
  <si>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</si>
  <si>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</si>
  <si>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</si>
  <si>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</si>
  <si>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</si>
  <si>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</si>
  <si>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</si>
  <si>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</si>
  <si>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</si>
  <si>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</si>
  <si>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</si>
  <si>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</si>
  <si>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</si>
  <si>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</si>
  <si>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</si>
  <si>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</si>
  <si>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</si>
  <si>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</si>
  <si>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</si>
  <si>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</si>
  <si>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</si>
  <si>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</si>
  <si>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</si>
  <si>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</si>
  <si>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</si>
  <si>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</si>
  <si>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</si>
  <si>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</si>
  <si>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</si>
  <si>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</si>
  <si>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</si>
  <si>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</si>
  <si>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</si>
  <si>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</si>
  <si>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</si>
  <si>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</si>
  <si>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</si>
  <si>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</si>
  <si>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</si>
  <si>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</si>
  <si>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</si>
  <si>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</si>
  <si>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</si>
  <si>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</si>
  <si>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</si>
  <si>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</si>
  <si>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</si>
  <si>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</si>
  <si>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</si>
  <si>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</si>
  <si>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</si>
  <si>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</si>
  <si>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</si>
  <si>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</si>
  <si>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</si>
  <si>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</si>
  <si>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</si>
  <si>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</si>
  <si>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</si>
  <si>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</si>
  <si>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</si>
  <si>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</si>
  <si>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</si>
  <si>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</si>
  <si>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</si>
  <si>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</si>
  <si>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</si>
  <si>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</si>
  <si>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</si>
  <si>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</si>
  <si>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</si>
  <si>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</si>
  <si>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</si>
  <si>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</si>
  <si>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</si>
  <si>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</si>
  <si>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</si>
  <si>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</si>
  <si>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</si>
  <si>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</si>
  <si>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</si>
  <si>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</si>
  <si>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</si>
  <si>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</si>
  <si>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</si>
  <si>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</si>
  <si>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</si>
  <si>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</si>
  <si>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</si>
  <si>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</si>
  <si>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</si>
  <si>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</si>
  <si>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</si>
  <si>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</si>
  <si>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</si>
  <si>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</si>
  <si>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</si>
  <si>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</si>
  <si>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</si>
  <si>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</si>
  <si>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</si>
  <si>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</si>
  <si>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</si>
  <si>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</si>
  <si>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</si>
  <si>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</si>
  <si>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</si>
  <si>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</si>
  <si>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</si>
  <si>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</si>
  <si>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</si>
  <si>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</si>
  <si>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</si>
  <si>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</si>
  <si>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</si>
  <si>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</si>
  <si>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</si>
  <si>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</si>
  <si>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</si>
  <si>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</si>
  <si>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</si>
  <si>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</si>
  <si>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</si>
  <si>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</si>
  <si>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</si>
  <si>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</si>
  <si>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</si>
  <si>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</si>
  <si>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</si>
  <si>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</si>
  <si>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</si>
  <si>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</si>
  <si>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</si>
  <si>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</si>
  <si>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</si>
  <si>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</si>
  <si>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</si>
  <si>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</si>
  <si>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</si>
  <si>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</si>
  <si>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</si>
  <si>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</si>
  <si>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</si>
  <si>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</si>
  <si>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</si>
  <si>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</si>
  <si>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</si>
  <si>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</si>
  <si>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</si>
  <si>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</si>
  <si>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</si>
  <si>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</si>
  <si>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</si>
  <si>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</si>
  <si>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</si>
  <si>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</si>
  <si>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</si>
  <si>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</si>
  <si>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</si>
  <si>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</si>
  <si>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</si>
  <si>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</si>
  <si>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</si>
  <si>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</si>
  <si>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</si>
  <si>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</si>
  <si>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</si>
  <si>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</si>
  <si>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</si>
  <si>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</si>
  <si>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</si>
  <si>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</si>
  <si>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</si>
  <si>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</si>
  <si>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</si>
  <si>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</si>
  <si>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</si>
  <si>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</si>
  <si>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</si>
  <si>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</si>
  <si>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</si>
  <si>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</si>
  <si>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</si>
  <si>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</si>
  <si>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</si>
  <si>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</si>
  <si>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</si>
  <si>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</si>
  <si>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</si>
  <si>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</si>
  <si>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</si>
  <si>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</si>
  <si>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</si>
  <si>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</si>
  <si>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</si>
  <si>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</si>
  <si>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</si>
  <si>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</si>
  <si>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</si>
  <si>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</si>
  <si>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</si>
  <si>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</si>
  <si>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</si>
  <si>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</si>
  <si>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</si>
  <si>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</si>
  <si>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</si>
  <si>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</si>
  <si>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</si>
  <si>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</si>
  <si>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</si>
  <si>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</si>
  <si>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</si>
  <si>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</si>
  <si>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</si>
  <si>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</si>
  <si>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</si>
  <si>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</si>
  <si>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</si>
  <si>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</si>
  <si>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</si>
  <si>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</si>
  <si>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</si>
  <si>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</si>
  <si>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</si>
  <si>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</si>
  <si>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</si>
  <si>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</si>
  <si>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</si>
  <si>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</si>
  <si>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</si>
  <si>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</si>
  <si>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</si>
  <si>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</si>
  <si>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</si>
  <si>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</si>
  <si>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</si>
  <si>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</si>
  <si>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</si>
  <si>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</si>
  <si>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</si>
  <si>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</si>
  <si>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</si>
  <si>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</si>
  <si>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</si>
  <si>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</si>
  <si>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</si>
  <si>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</si>
  <si>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</si>
  <si>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</si>
  <si>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</si>
  <si>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</si>
  <si>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</si>
  <si>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</si>
  <si>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</si>
  <si>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</si>
  <si>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</si>
  <si>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</si>
  <si>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</si>
  <si>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</si>
  <si>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</si>
  <si>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</si>
  <si>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</si>
  <si>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</si>
  <si>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</si>
  <si>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</si>
  <si>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</si>
  <si>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</si>
  <si>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</si>
  <si>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</si>
  <si>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</si>
  <si>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</si>
  <si>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</si>
  <si>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</si>
  <si>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</si>
  <si>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</si>
  <si>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</si>
  <si>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</si>
  <si>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</si>
  <si>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</si>
  <si>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</si>
  <si>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</si>
  <si>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</si>
  <si>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</si>
  <si>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</si>
  <si>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</si>
  <si>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</si>
  <si>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</si>
  <si>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</si>
  <si>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</si>
  <si>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</si>
  <si>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</si>
  <si>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</si>
  <si>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</si>
  <si>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</si>
  <si>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</si>
  <si>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</si>
  <si>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</si>
  <si>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</si>
  <si>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</si>
  <si>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</si>
  <si>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</si>
  <si>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</si>
  <si>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</si>
  <si>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</si>
  <si>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</si>
  <si>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</si>
  <si>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</si>
  <si>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</si>
  <si>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</si>
  <si>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</si>
  <si>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</si>
  <si>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</si>
  <si>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</si>
  <si>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</si>
  <si>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</si>
  <si>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</si>
  <si>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</si>
  <si>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</si>
  <si>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</si>
  <si>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</si>
  <si>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</si>
  <si>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</si>
  <si>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</si>
  <si>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</si>
  <si>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</si>
  <si>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</si>
  <si>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</si>
  <si>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</si>
  <si>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</si>
  <si>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</si>
  <si>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</si>
  <si>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</si>
  <si>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</si>
  <si>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</si>
  <si>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</si>
  <si>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</si>
  <si>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</si>
  <si>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</si>
  <si>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</si>
  <si>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</si>
  <si>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</si>
  <si>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</si>
  <si>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</si>
  <si>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</si>
  <si>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</si>
  <si>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</si>
  <si>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</si>
  <si>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</si>
  <si>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</si>
  <si>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</si>
  <si>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</si>
  <si>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</si>
  <si>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</si>
  <si>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</si>
  <si>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</si>
  <si>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</si>
  <si>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</si>
  <si>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</si>
  <si>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</si>
  <si>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</si>
  <si>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</si>
  <si>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</si>
  <si>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</si>
  <si>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</si>
  <si>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</si>
  <si>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</si>
  <si>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</si>
  <si>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</si>
  <si>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</si>
  <si>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</si>
  <si>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</si>
  <si>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</si>
  <si>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</si>
  <si>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</si>
  <si>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</si>
  <si>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</si>
  <si>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</si>
  <si>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</si>
  <si>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</si>
  <si>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</si>
  <si>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</si>
  <si>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</si>
  <si>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</si>
  <si>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</si>
  <si>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</si>
  <si>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</si>
  <si>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</si>
  <si>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</si>
  <si>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</si>
  <si>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</si>
  <si>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</si>
  <si>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</si>
  <si>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</si>
  <si>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</si>
  <si>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</si>
  <si>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</si>
  <si>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</si>
  <si>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</si>
  <si>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</si>
  <si>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</si>
  <si>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</si>
  <si>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</si>
  <si>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</si>
  <si>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</si>
  <si>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</si>
  <si>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</si>
  <si>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</si>
  <si>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</si>
  <si>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</si>
  <si>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</si>
  <si>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</si>
  <si>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</si>
  <si>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</si>
  <si>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</si>
  <si>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</si>
  <si>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</si>
  <si>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</si>
  <si>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</si>
  <si>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</si>
  <si>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</si>
  <si>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</si>
  <si>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</si>
  <si>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</si>
  <si>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</si>
  <si>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</si>
  <si>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</si>
  <si>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</si>
  <si>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</si>
  <si>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</si>
  <si>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</si>
  <si>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</si>
  <si>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</si>
  <si>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</si>
  <si>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</si>
  <si>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</si>
  <si>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</si>
  <si>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</si>
  <si>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</si>
  <si>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</si>
  <si>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</si>
  <si>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</si>
  <si>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</si>
  <si>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</si>
  <si>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</si>
  <si>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</si>
  <si>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</si>
  <si>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</si>
  <si>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</si>
  <si>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</si>
  <si>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</si>
  <si>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</si>
  <si>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</si>
  <si>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</si>
  <si>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</si>
  <si>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</si>
  <si>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</si>
  <si>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</si>
  <si>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</si>
  <si>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</si>
  <si>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</si>
  <si>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</si>
  <si>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</si>
  <si>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</si>
  <si>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</si>
  <si>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</si>
  <si>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</si>
  <si>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</si>
  <si>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</si>
  <si>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</si>
  <si>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</si>
  <si>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</si>
  <si>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</si>
  <si>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</si>
  <si>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</si>
  <si>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</si>
  <si>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</si>
  <si>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</si>
  <si>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</si>
  <si>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</si>
  <si>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</si>
  <si>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</si>
  <si>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</si>
  <si>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</si>
  <si>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</si>
  <si>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</si>
  <si>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</si>
  <si>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</si>
  <si>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</si>
  <si>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</si>
  <si>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</si>
  <si>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</si>
  <si>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</si>
  <si>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</si>
  <si>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</si>
  <si>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</si>
  <si>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</si>
  <si>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</si>
  <si>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</si>
  <si>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</si>
  <si>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</si>
  <si>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</si>
  <si>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</si>
  <si>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</si>
  <si>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</si>
  <si>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</si>
  <si>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</si>
  <si>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</si>
  <si>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</si>
  <si>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</si>
  <si>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</si>
  <si>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</si>
  <si>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</si>
  <si>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</si>
  <si>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</si>
  <si>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</si>
  <si>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</si>
  <si>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</si>
  <si>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</si>
  <si>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</si>
  <si>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</si>
  <si>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</si>
  <si>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</si>
  <si>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</si>
  <si>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</si>
  <si>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</si>
  <si>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</si>
  <si>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</si>
  <si>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</si>
  <si>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</si>
  <si>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</si>
  <si>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</si>
  <si>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</si>
  <si>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</si>
  <si>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</si>
  <si>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</si>
  <si>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</si>
  <si>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</si>
  <si>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</si>
  <si>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</si>
  <si>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</si>
  <si>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</si>
  <si>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</si>
  <si>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</si>
  <si>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</si>
  <si>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</si>
  <si>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</si>
  <si>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</si>
  <si>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</si>
  <si>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</si>
  <si>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</si>
  <si>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</si>
  <si>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</si>
  <si>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</si>
  <si>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</si>
  <si>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</si>
  <si>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</si>
  <si>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</si>
  <si>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</si>
  <si>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</si>
  <si>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</si>
  <si>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</si>
  <si>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</si>
  <si>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</si>
  <si>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</si>
  <si>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</si>
  <si>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</si>
  <si>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</si>
  <si>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</si>
  <si>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</si>
  <si>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</si>
  <si>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</si>
  <si>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</si>
  <si>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</si>
  <si>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</si>
  <si>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</si>
  <si>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</si>
  <si>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</si>
  <si>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</si>
  <si>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</si>
  <si>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</si>
  <si>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</si>
  <si>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</si>
  <si>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</si>
  <si>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</si>
  <si>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</si>
  <si>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</si>
  <si>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</si>
  <si>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</si>
  <si>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</si>
  <si>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</si>
  <si>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</si>
  <si>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</si>
  <si>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</si>
  <si>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</si>
  <si>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</si>
  <si>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</si>
  <si>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</si>
  <si>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</si>
  <si>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</si>
  <si>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</si>
  <si>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</si>
  <si>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</si>
  <si>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</si>
  <si>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</si>
  <si>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</si>
  <si>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</si>
  <si>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</si>
  <si>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</si>
  <si>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</si>
  <si>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</si>
  <si>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</si>
  <si>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</si>
  <si>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</si>
  <si>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</si>
  <si>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</si>
  <si>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</si>
  <si>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</si>
  <si>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</si>
  <si>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</si>
  <si>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</si>
  <si>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</si>
  <si>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</si>
  <si>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</si>
  <si>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</si>
  <si>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</si>
  <si>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</si>
  <si>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</si>
  <si>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</si>
  <si>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</si>
  <si>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</si>
  <si>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</si>
  <si>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</si>
  <si>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</si>
  <si>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</si>
  <si>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</si>
  <si>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</si>
  <si>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</si>
  <si>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</si>
  <si>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</si>
  <si>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</si>
  <si>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</si>
  <si>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</si>
  <si>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</si>
  <si>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</si>
  <si>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</si>
  <si>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</si>
  <si>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</si>
  <si>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</si>
  <si>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</si>
  <si>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</si>
  <si>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</si>
  <si>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</si>
  <si>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</si>
  <si>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</si>
  <si>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</si>
  <si>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</si>
  <si>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</si>
  <si>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</si>
  <si>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</si>
  <si>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</si>
  <si>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</si>
  <si>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</si>
  <si>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</si>
  <si>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</si>
  <si>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</si>
  <si>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</si>
  <si>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</si>
  <si>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</si>
  <si>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</si>
  <si>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</si>
  <si>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</si>
  <si>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</si>
  <si>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</si>
  <si>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</si>
  <si>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</si>
  <si>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</si>
  <si>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</si>
  <si>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</si>
  <si>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</si>
  <si>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</si>
  <si>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</si>
  <si>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</si>
  <si>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</si>
  <si>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</si>
  <si>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</si>
  <si>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</si>
  <si>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</si>
  <si>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</si>
  <si>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</si>
  <si>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</si>
  <si>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</si>
  <si>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</si>
  <si>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</si>
  <si>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</si>
  <si>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</si>
  <si>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</si>
  <si>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</si>
  <si>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</si>
  <si>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</si>
  <si>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</si>
  <si>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</si>
  <si>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</si>
  <si>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</si>
  <si>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</si>
  <si>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</si>
  <si>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</si>
  <si>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</si>
  <si>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</si>
  <si>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</si>
  <si>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</si>
  <si>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</si>
  <si>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</si>
  <si>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</si>
  <si>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</si>
  <si>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</si>
  <si>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</si>
  <si>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</si>
  <si>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</si>
  <si>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</si>
  <si>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</si>
  <si>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</si>
  <si>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</si>
  <si>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</si>
  <si>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</si>
  <si>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</si>
  <si>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</si>
  <si>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</si>
  <si>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</si>
  <si>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</si>
  <si>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</si>
  <si>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</si>
  <si>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</si>
  <si>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</si>
  <si>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</si>
  <si>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</si>
  <si>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</si>
  <si>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</si>
  <si>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</si>
  <si>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</si>
  <si>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</si>
  <si>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</si>
  <si>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</si>
  <si>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</si>
  <si>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</si>
  <si>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</si>
  <si>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</si>
  <si>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</si>
  <si>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</si>
  <si>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</si>
  <si>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</si>
  <si>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</si>
  <si>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</si>
  <si>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</si>
  <si>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</si>
  <si>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</si>
  <si>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</si>
  <si>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</si>
  <si>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</si>
  <si>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</si>
  <si>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</si>
  <si>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</si>
  <si>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</si>
  <si>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</si>
  <si>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</si>
  <si>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</si>
  <si>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</si>
  <si>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</si>
  <si>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</si>
  <si>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</si>
  <si>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</si>
  <si>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</si>
  <si>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</si>
  <si>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</si>
  <si>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</si>
  <si>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</si>
  <si>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</si>
  <si>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</si>
  <si>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</si>
  <si>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</si>
  <si>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</si>
  <si>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</si>
  <si>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</si>
  <si>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</si>
  <si>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</si>
  <si>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</si>
  <si>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</si>
  <si>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</si>
  <si>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</si>
  <si>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</si>
  <si>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</si>
  <si>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</si>
  <si>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</si>
  <si>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</si>
  <si>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</si>
  <si>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</si>
  <si>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</si>
  <si>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</si>
  <si>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</si>
  <si>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</si>
  <si>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</si>
  <si>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</si>
  <si>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</si>
  <si>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</si>
  <si>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</si>
  <si>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</si>
  <si>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</si>
  <si>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</si>
  <si>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</si>
  <si>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</si>
  <si>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</si>
  <si>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</si>
  <si>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</si>
  <si>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</si>
  <si>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</si>
  <si>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</si>
  <si>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</si>
  <si>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</si>
  <si>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</si>
  <si>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</si>
  <si>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</si>
  <si>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</si>
  <si>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</si>
  <si>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</si>
  <si>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</si>
  <si>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</si>
  <si>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</si>
  <si>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</si>
  <si>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</si>
  <si>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</si>
  <si>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</si>
  <si>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</si>
  <si>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</si>
  <si>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</si>
  <si>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</si>
  <si>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</si>
  <si>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</si>
  <si>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</si>
  <si>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</si>
  <si>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</si>
  <si>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</si>
  <si>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</si>
  <si>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</si>
  <si>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</si>
  <si>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</si>
  <si>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</si>
  <si>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</si>
  <si>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</si>
  <si>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</si>
  <si>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</si>
  <si>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</si>
  <si>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</si>
  <si>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</si>
  <si>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</si>
  <si>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</si>
  <si>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</si>
  <si>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</si>
  <si>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</si>
  <si>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</si>
  <si>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</si>
  <si>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</si>
  <si>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</si>
  <si>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</si>
  <si>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</si>
  <si>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</si>
  <si>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</si>
  <si>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</si>
  <si>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</si>
  <si>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</si>
  <si>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</si>
  <si>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</si>
  <si>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</si>
  <si>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</si>
  <si>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</si>
  <si>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</si>
  <si>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</si>
  <si>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</si>
  <si>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</si>
  <si>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</si>
  <si>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</si>
  <si>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</si>
  <si>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</si>
  <si>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</si>
  <si>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</si>
  <si>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</si>
  <si>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</si>
  <si>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</si>
  <si>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</si>
  <si>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</si>
  <si>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</si>
  <si>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</si>
  <si>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</si>
  <si>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</si>
  <si>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</si>
  <si>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</si>
  <si>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</si>
  <si>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</si>
  <si>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</si>
  <si>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</si>
  <si>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</si>
  <si>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</si>
  <si>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</si>
  <si>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</si>
  <si>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</si>
  <si>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</si>
  <si>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</si>
  <si>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</si>
  <si>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</si>
  <si>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</si>
  <si>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</si>
  <si>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</si>
  <si>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</si>
  <si>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</si>
  <si>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</si>
  <si>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</si>
  <si>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</si>
  <si>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</si>
  <si>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</si>
  <si>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</si>
  <si>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</si>
  <si>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</si>
  <si>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</si>
  <si>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</si>
  <si>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</si>
  <si>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</si>
  <si>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</si>
  <si>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</si>
  <si>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</si>
  <si>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</si>
  <si>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</si>
  <si>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</si>
  <si>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</si>
  <si>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</si>
  <si>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</si>
  <si>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</si>
  <si>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</si>
  <si>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</si>
  <si>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</si>
  <si>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</si>
  <si>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</si>
  <si>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</si>
  <si>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</si>
  <si>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</si>
  <si>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</si>
  <si>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</si>
  <si>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</si>
  <si>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</si>
  <si>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</si>
  <si>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</si>
  <si>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</si>
  <si>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</si>
  <si>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</si>
  <si>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</si>
  <si>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</si>
  <si>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</si>
  <si>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</si>
  <si>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</si>
  <si>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</si>
  <si>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</si>
  <si>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</si>
  <si>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</si>
  <si>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</si>
  <si>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</si>
  <si>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</si>
  <si>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</si>
  <si>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</si>
  <si>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</si>
  <si>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</si>
  <si>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</si>
  <si>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</si>
  <si>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</si>
  <si>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</si>
  <si>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</si>
  <si>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</si>
  <si>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</si>
  <si>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</si>
  <si>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</si>
  <si>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</si>
  <si>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</si>
  <si>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</si>
  <si>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</si>
  <si>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</si>
  <si>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</si>
  <si>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</si>
  <si>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</si>
  <si>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</si>
  <si>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</si>
  <si>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</si>
  <si>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</si>
  <si>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</si>
  <si>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</si>
  <si>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</si>
  <si>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</si>
  <si>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</si>
  <si>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</si>
  <si>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</si>
  <si>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</si>
  <si>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</si>
  <si>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</si>
  <si>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</si>
  <si>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</si>
  <si>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</si>
  <si>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</si>
  <si>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</si>
  <si>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</si>
  <si>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</si>
  <si>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</si>
  <si>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</si>
  <si>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</si>
  <si>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</si>
  <si>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</si>
  <si>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</si>
  <si>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</si>
  <si>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</si>
  <si>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</si>
  <si>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</si>
  <si>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</si>
  <si>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</si>
  <si>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</si>
  <si>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</si>
  <si>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</si>
  <si>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</si>
  <si>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</si>
  <si>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</si>
  <si>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</si>
  <si>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</si>
  <si>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</si>
  <si>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</si>
  <si>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</si>
  <si>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</si>
  <si>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</si>
  <si>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</si>
  <si>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</si>
  <si>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</si>
  <si>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</si>
  <si>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</si>
  <si>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</si>
  <si>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</si>
  <si>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</si>
  <si>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</si>
  <si>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</si>
  <si>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</si>
  <si>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</si>
  <si>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</si>
  <si>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</si>
  <si>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</si>
  <si>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</si>
  <si>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</si>
  <si>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</si>
  <si>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</si>
  <si>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</si>
  <si>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</si>
  <si>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</si>
  <si>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</si>
  <si>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</si>
  <si>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</si>
  <si>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</si>
  <si>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</si>
  <si>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</si>
  <si>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</si>
  <si>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</si>
  <si>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</si>
  <si>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</si>
  <si>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</si>
  <si>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</si>
  <si>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</si>
  <si>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</si>
  <si>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</si>
  <si>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</si>
  <si>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</si>
  <si>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</si>
  <si>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</si>
  <si>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</si>
  <si>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</si>
  <si>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</si>
  <si>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</si>
  <si>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</si>
  <si>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</si>
  <si>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</si>
  <si>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</si>
  <si>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</si>
  <si>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</si>
  <si>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</si>
  <si>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</si>
  <si>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</si>
  <si>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</si>
  <si>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</si>
  <si>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</si>
  <si>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</si>
  <si>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</si>
  <si>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</si>
  <si>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</si>
  <si>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</si>
  <si>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</si>
  <si>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</si>
  <si>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</si>
  <si>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</si>
  <si>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</si>
  <si>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</si>
  <si>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</si>
  <si>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</si>
  <si>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</si>
  <si>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</si>
  <si>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</si>
  <si>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</si>
  <si>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</si>
  <si>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</si>
  <si>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</si>
  <si>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</si>
  <si>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</si>
  <si>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</si>
  <si>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</si>
  <si>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</si>
  <si>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</si>
  <si>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</si>
  <si>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</si>
  <si>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</si>
  <si>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</si>
  <si>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</si>
  <si>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</si>
  <si>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</si>
  <si>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</si>
  <si>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</si>
  <si>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</si>
  <si>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</si>
  <si>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</si>
  <si>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</si>
  <si>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</si>
  <si>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</si>
  <si>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</si>
  <si>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</si>
  <si>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</si>
  <si>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</si>
  <si>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</si>
  <si>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</si>
  <si>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</si>
  <si>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</si>
  <si>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</si>
  <si>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</si>
  <si>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</si>
  <si>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</si>
  <si>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</si>
  <si>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</si>
  <si>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</si>
  <si>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</si>
  <si>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</si>
  <si>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</si>
  <si>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</si>
  <si>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</si>
  <si>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</si>
  <si>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</si>
  <si>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</si>
  <si>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</si>
  <si>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</si>
  <si>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</si>
  <si>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</si>
  <si>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</si>
  <si>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</si>
  <si>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</si>
  <si>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</si>
  <si>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</si>
  <si>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</si>
  <si>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</si>
  <si>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</si>
  <si>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</si>
  <si>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</si>
  <si>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</si>
  <si>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</si>
  <si>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</si>
  <si>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</si>
  <si>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</si>
  <si>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</si>
  <si>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</si>
  <si>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</si>
  <si>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</si>
  <si>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</si>
  <si>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</si>
  <si>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</si>
  <si>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</si>
  <si>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</si>
  <si>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</si>
  <si>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</si>
  <si>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</si>
  <si>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</si>
  <si>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</si>
  <si>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</si>
  <si>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</si>
  <si>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</si>
  <si>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</si>
  <si>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</si>
  <si>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</si>
  <si>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</si>
  <si>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</si>
  <si>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</si>
  <si>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</si>
  <si>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</si>
  <si>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</si>
  <si>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</si>
  <si>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</si>
  <si>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</si>
  <si>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</si>
  <si>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</si>
  <si>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</si>
  <si>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</si>
  <si>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</si>
  <si>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</si>
  <si>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</si>
  <si>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</si>
  <si>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</si>
  <si>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</si>
  <si>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</si>
  <si>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</si>
  <si>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</si>
  <si>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</si>
  <si>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</si>
  <si>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</si>
  <si>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</si>
  <si>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</si>
  <si>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</si>
  <si>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</si>
  <si>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</si>
  <si>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</si>
  <si>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</si>
  <si>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</si>
  <si>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</si>
  <si>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</si>
  <si>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</si>
  <si>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</si>
  <si>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</si>
  <si>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</si>
  <si>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</si>
  <si>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</si>
  <si>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</si>
  <si>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</si>
  <si>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</si>
  <si>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</si>
  <si>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</si>
  <si>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</si>
  <si>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</si>
  <si>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</si>
  <si>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</si>
  <si>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</si>
  <si>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</si>
  <si>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</si>
  <si>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</si>
  <si>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</si>
  <si>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</si>
  <si>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</si>
  <si>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</si>
  <si>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</si>
  <si>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</si>
  <si>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</si>
  <si>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</si>
  <si>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</si>
  <si>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</si>
  <si>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</si>
  <si>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</si>
  <si>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</si>
  <si>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</si>
  <si>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</si>
  <si>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</si>
  <si>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</si>
  <si>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</si>
  <si>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</si>
  <si>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</si>
  <si>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</si>
  <si>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</si>
  <si>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</si>
  <si>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</si>
  <si>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</si>
  <si>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</si>
  <si>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</si>
  <si>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</si>
  <si>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</si>
  <si>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</si>
  <si>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</si>
  <si>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</si>
  <si>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</si>
  <si>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</si>
  <si>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</si>
  <si>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</si>
  <si>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</si>
  <si>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</si>
  <si>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</si>
  <si>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</si>
  <si>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</si>
  <si>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</si>
  <si>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</si>
  <si>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</si>
  <si>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</si>
  <si>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</si>
  <si>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</si>
  <si>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</si>
  <si>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</si>
  <si>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</si>
  <si>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</si>
  <si>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</si>
  <si>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</si>
  <si>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</si>
  <si>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</si>
  <si>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</si>
  <si>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</si>
  <si>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</si>
  <si>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</si>
  <si>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</si>
  <si>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</si>
  <si>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</si>
  <si>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</si>
  <si>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</si>
  <si>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</si>
  <si>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</si>
  <si>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</si>
  <si>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</si>
  <si>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</si>
  <si>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</si>
  <si>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</si>
  <si>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</si>
  <si>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</si>
  <si>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</si>
  <si>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</si>
  <si>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</si>
  <si>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</si>
  <si>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</si>
  <si>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</si>
  <si>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</si>
  <si>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</si>
  <si>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</si>
  <si>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</si>
  <si>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</si>
  <si>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</si>
  <si>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</si>
  <si>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</si>
  <si>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</si>
  <si>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</si>
  <si>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</si>
  <si>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</si>
  <si>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</si>
  <si>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</si>
  <si>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</si>
  <si>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</si>
  <si>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</si>
  <si>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</si>
  <si>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</si>
  <si>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</si>
  <si>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</si>
  <si>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</si>
  <si>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</si>
  <si>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</si>
  <si>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</si>
  <si>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</si>
  <si>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</si>
  <si>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</si>
  <si>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</si>
  <si>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</si>
  <si>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</si>
  <si>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</si>
  <si>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</si>
  <si>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</si>
  <si>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</si>
  <si>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</si>
  <si>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</si>
  <si>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</si>
  <si>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</si>
  <si>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</si>
  <si>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</si>
  <si>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</si>
  <si>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</si>
  <si>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</si>
  <si>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</si>
  <si>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</si>
  <si>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</si>
  <si>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</si>
  <si>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</si>
  <si>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</si>
  <si>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</si>
  <si>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</si>
  <si>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</si>
  <si>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</si>
  <si>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</si>
  <si>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</si>
  <si>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</si>
  <si>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</si>
  <si>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</si>
  <si>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</si>
  <si>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</si>
  <si>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</si>
  <si>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</si>
  <si>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</si>
  <si>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</si>
  <si>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</si>
  <si>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</si>
  <si>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</si>
  <si>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</si>
  <si>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</si>
  <si>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</si>
  <si>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</si>
  <si>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</si>
  <si>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</si>
  <si>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</si>
  <si>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</si>
  <si>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</si>
  <si>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</si>
  <si>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</si>
  <si>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</si>
  <si>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</si>
  <si>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</si>
  <si>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</si>
  <si>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</si>
  <si>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</si>
  <si>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</si>
  <si>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</si>
  <si>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</si>
  <si>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</si>
  <si>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</si>
  <si>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</si>
  <si>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</si>
  <si>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</si>
  <si>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</si>
  <si>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</si>
  <si>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</si>
  <si>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</si>
  <si>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</si>
  <si>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</si>
  <si>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</si>
  <si>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</si>
  <si>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</si>
  <si>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</si>
  <si>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</si>
  <si>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</si>
  <si>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</si>
  <si>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</si>
  <si>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</si>
  <si>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</si>
  <si>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</si>
  <si>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</si>
  <si>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</si>
  <si>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</si>
  <si>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</si>
  <si>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</si>
  <si>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</si>
  <si>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</si>
  <si>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</si>
  <si>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</si>
  <si>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</si>
  <si>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</si>
  <si>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</si>
  <si>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</si>
  <si>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</si>
  <si>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</si>
  <si>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</si>
  <si>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</si>
  <si>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</si>
  <si>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</si>
  <si>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</si>
  <si>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</si>
  <si>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</si>
  <si>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</si>
  <si>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</si>
  <si>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</si>
  <si>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</si>
  <si>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</si>
  <si>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</si>
  <si>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</si>
  <si>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</si>
  <si>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</si>
  <si>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</si>
  <si>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</si>
  <si>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</si>
  <si>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</si>
  <si>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</si>
  <si>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</si>
  <si>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</si>
  <si>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</si>
  <si>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</si>
  <si>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</si>
  <si>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</si>
  <si>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</si>
  <si>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</si>
  <si>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</si>
  <si>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</si>
  <si>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</si>
  <si>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</si>
  <si>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</si>
  <si>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</si>
  <si>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</si>
  <si>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</si>
  <si>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</si>
  <si>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</si>
  <si>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</si>
  <si>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</si>
  <si>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</si>
  <si>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</si>
  <si>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</si>
  <si>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</si>
  <si>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</si>
  <si>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</si>
  <si>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</si>
  <si>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</si>
  <si>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</si>
  <si>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</si>
  <si>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</si>
  <si>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</si>
  <si>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</si>
  <si>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</si>
  <si>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</si>
  <si>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</si>
  <si>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</si>
  <si>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</si>
  <si>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</si>
  <si>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</si>
  <si>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</si>
  <si>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</si>
  <si>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</si>
  <si>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</si>
  <si>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</si>
  <si>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</si>
  <si>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</si>
  <si>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</si>
  <si>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</si>
  <si>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</si>
  <si>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</si>
  <si>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</si>
  <si>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</si>
  <si>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</si>
  <si>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</si>
  <si>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</si>
  <si>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</si>
  <si>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</si>
  <si>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</si>
  <si>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</si>
  <si>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</si>
  <si>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</si>
  <si>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</si>
  <si>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</si>
  <si>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</si>
  <si>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</si>
  <si>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</si>
  <si>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</si>
  <si>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</si>
  <si>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</si>
  <si>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</si>
  <si>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</si>
  <si>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</si>
  <si>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</si>
  <si>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</si>
  <si>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</si>
  <si>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</si>
  <si>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</si>
  <si>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</si>
  <si>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</si>
  <si>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</si>
  <si>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</si>
  <si>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</si>
  <si>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</si>
  <si>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</si>
  <si>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</si>
  <si>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</si>
  <si>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</si>
  <si>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</si>
  <si>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</si>
  <si>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</si>
  <si>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</si>
  <si>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</si>
  <si>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</si>
  <si>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</si>
  <si>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</si>
  <si>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</si>
  <si>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</si>
  <si>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</si>
  <si>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</si>
  <si>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</si>
  <si>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</si>
  <si>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</si>
  <si>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</si>
  <si>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</si>
  <si>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</si>
  <si>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</si>
  <si>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</si>
  <si>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</si>
  <si>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</si>
  <si>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</si>
  <si>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</si>
  <si>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</si>
  <si>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</si>
  <si>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</si>
  <si>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</si>
  <si>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</si>
  <si>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</si>
  <si>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</si>
  <si>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</si>
  <si>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</si>
  <si>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</si>
  <si>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</si>
  <si>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</si>
  <si>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</si>
  <si>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</si>
  <si>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</si>
  <si>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</si>
  <si>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</si>
  <si>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</si>
  <si>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</si>
  <si>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</si>
  <si>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</si>
  <si>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</si>
  <si>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</si>
  <si>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</si>
  <si>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</si>
  <si>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</si>
  <si>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</si>
  <si>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</si>
  <si>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</si>
  <si>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</si>
  <si>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</si>
  <si>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</si>
  <si>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</si>
  <si>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</si>
  <si>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</si>
  <si>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</si>
  <si>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</si>
  <si>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</si>
  <si>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</si>
  <si>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</si>
  <si>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</si>
  <si>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</si>
  <si>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</si>
  <si>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</si>
  <si>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</si>
  <si>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</si>
  <si>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</si>
  <si>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</si>
  <si>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</si>
  <si>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</si>
  <si>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</si>
  <si>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</si>
  <si>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</si>
  <si>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</si>
  <si>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</si>
  <si>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</si>
  <si>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</si>
  <si>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</si>
  <si>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</si>
  <si>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</si>
  <si>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</si>
  <si>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</si>
  <si>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</si>
  <si>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</si>
  <si>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</si>
  <si>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</si>
  <si>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</si>
  <si>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</si>
  <si>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</si>
  <si>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</si>
  <si>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</si>
  <si>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</si>
  <si>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</si>
  <si>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</si>
  <si>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</si>
  <si>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</si>
  <si>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</si>
  <si>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</si>
  <si>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</si>
  <si>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</si>
  <si>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</si>
  <si>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</si>
  <si>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</si>
  <si>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</si>
  <si>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</si>
  <si>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</si>
  <si>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</si>
  <si>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</si>
  <si>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</si>
  <si>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</si>
  <si>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</si>
  <si>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</si>
  <si>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</si>
  <si>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</si>
  <si>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</si>
  <si>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</si>
  <si>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</si>
  <si>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</si>
  <si>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</si>
  <si>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</si>
  <si>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</si>
  <si>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</si>
  <si>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</si>
  <si>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</si>
  <si>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</si>
  <si>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</si>
  <si>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</si>
  <si>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</si>
  <si>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</si>
  <si>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</si>
  <si>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</si>
  <si>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</si>
  <si>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</si>
  <si>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</si>
  <si>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</si>
  <si>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</si>
  <si>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</si>
  <si>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</si>
  <si>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</si>
  <si>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</si>
  <si>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</si>
  <si>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</si>
  <si>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</si>
  <si>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</si>
  <si>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</si>
  <si>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</si>
  <si>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</si>
  <si>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</si>
  <si>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</si>
  <si>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</si>
  <si>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</si>
  <si>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</si>
  <si>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</si>
  <si>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</si>
  <si>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</si>
  <si>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</si>
  <si>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</si>
  <si>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</si>
  <si>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</si>
  <si>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</si>
  <si>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</si>
  <si>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</si>
  <si>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</si>
  <si>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</si>
  <si>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</si>
  <si>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</si>
  <si>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</si>
  <si>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</si>
  <si>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</si>
  <si>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</si>
  <si>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</si>
  <si>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</si>
  <si>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</si>
  <si>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</si>
  <si>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</si>
  <si>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</si>
  <si>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</si>
  <si>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</si>
  <si>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</si>
  <si>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</si>
  <si>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</si>
  <si>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</si>
  <si>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</si>
  <si>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</si>
  <si>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</si>
  <si>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</si>
  <si>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</si>
  <si>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</si>
  <si>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</si>
  <si>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</si>
  <si>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</si>
  <si>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</si>
  <si>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</si>
  <si>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</si>
  <si>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</si>
  <si>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</si>
  <si>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</si>
  <si>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</si>
  <si>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</si>
  <si>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</si>
  <si>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</si>
  <si>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</si>
  <si>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</si>
  <si>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</si>
  <si>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</si>
  <si>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</si>
  <si>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</si>
  <si>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</si>
  <si>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</si>
  <si>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</si>
  <si>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</si>
  <si>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</si>
  <si>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</si>
  <si>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</si>
  <si>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</si>
  <si>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</si>
  <si>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</si>
  <si>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</si>
  <si>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</si>
  <si>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</si>
  <si>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</si>
  <si>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</si>
  <si>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</si>
  <si>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</si>
  <si>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</si>
  <si>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</si>
  <si>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</si>
  <si>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</si>
  <si>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</si>
  <si>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</si>
  <si>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</si>
  <si>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</si>
  <si>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</si>
  <si>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</si>
  <si>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</si>
  <si>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</si>
  <si>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</si>
  <si>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</si>
  <si>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</si>
  <si>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</si>
  <si>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</si>
  <si>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</si>
  <si>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</si>
  <si>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</si>
  <si>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</si>
  <si>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</si>
  <si>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</si>
  <si>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</si>
  <si>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</si>
  <si>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</si>
  <si>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</si>
  <si>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</si>
  <si>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</si>
  <si>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</si>
  <si>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</si>
  <si>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</si>
  <si>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</si>
  <si>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</si>
  <si>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</si>
  <si>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</si>
  <si>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</si>
  <si>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</si>
  <si>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</si>
  <si>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</si>
  <si>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</si>
  <si>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</si>
  <si>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</si>
  <si>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</si>
  <si>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</si>
  <si>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</si>
  <si>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</si>
  <si>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</si>
  <si>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</si>
  <si>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</si>
  <si>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</si>
  <si>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</si>
  <si>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</si>
  <si>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</si>
  <si>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</si>
  <si>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</si>
  <si>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</si>
  <si>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</si>
  <si>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</si>
  <si>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</si>
  <si>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</si>
  <si>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</si>
  <si>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</si>
  <si>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</si>
  <si>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</si>
  <si>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</si>
  <si>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</si>
  <si>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</si>
  <si>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</si>
  <si>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</si>
  <si>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</si>
  <si>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</si>
  <si>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</si>
  <si>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</si>
  <si>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</si>
  <si>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</si>
  <si>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</si>
  <si>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</si>
  <si>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</si>
  <si>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</si>
  <si>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</si>
  <si>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</si>
  <si>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</si>
  <si>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</si>
  <si>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</si>
  <si>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</si>
  <si>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</si>
  <si>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</si>
  <si>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</si>
  <si>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</si>
  <si>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</si>
  <si>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</si>
  <si>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</si>
  <si>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</si>
  <si>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</si>
  <si>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</si>
  <si>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</si>
  <si>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</si>
  <si>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</si>
  <si>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</si>
  <si>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</si>
  <si>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</si>
  <si>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</si>
  <si>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</si>
  <si>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</si>
  <si>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</si>
  <si>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</si>
  <si>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</si>
  <si>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</si>
  <si>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</si>
  <si>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</si>
  <si>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</si>
  <si>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</si>
  <si>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</si>
  <si>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</si>
  <si>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</si>
  <si>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</si>
  <si>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</si>
  <si>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</si>
  <si>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</si>
  <si>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</si>
  <si>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</si>
  <si>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</si>
  <si>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</si>
  <si>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</si>
  <si>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</si>
  <si>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</si>
  <si>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</si>
  <si>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</si>
  <si>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</si>
  <si>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</si>
  <si>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</si>
  <si>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</si>
  <si>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</si>
  <si>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</si>
  <si>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</si>
  <si>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</si>
  <si>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</si>
  <si>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</si>
  <si>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</si>
  <si>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</si>
  <si>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</si>
  <si>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</si>
  <si>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</si>
  <si>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</si>
  <si>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</si>
  <si>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</si>
  <si>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</si>
  <si>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</si>
  <si>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</si>
  <si>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</si>
  <si>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</si>
  <si>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</si>
  <si>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</si>
  <si>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</si>
  <si>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</si>
  <si>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</si>
  <si>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</si>
  <si>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</si>
  <si>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</si>
  <si>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</si>
  <si>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</si>
  <si>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</si>
  <si>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</si>
  <si>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</si>
  <si>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</si>
  <si>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</si>
  <si>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</si>
  <si>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</si>
  <si>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</si>
  <si>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</si>
  <si>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</si>
  <si>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</si>
  <si>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</si>
  <si>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</si>
  <si>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</si>
  <si>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</si>
  <si>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</si>
  <si>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</si>
  <si>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</si>
  <si>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</si>
  <si>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</si>
  <si>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</si>
  <si>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</si>
  <si>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</si>
  <si>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</si>
  <si>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</si>
  <si>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</si>
  <si>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</si>
  <si>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</si>
  <si>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</si>
  <si>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</si>
  <si>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</si>
  <si>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</si>
  <si>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</si>
  <si>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</si>
  <si>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</si>
  <si>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</si>
  <si>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</si>
  <si>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</si>
  <si>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</si>
  <si>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</si>
  <si>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</si>
  <si>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</si>
  <si>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</si>
  <si>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</si>
  <si>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</si>
  <si>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</si>
  <si>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</si>
  <si>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</si>
  <si>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</si>
  <si>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</si>
  <si>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</si>
  <si>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</si>
  <si>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</si>
  <si>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</si>
  <si>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</si>
  <si>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</si>
  <si>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</si>
  <si>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</si>
  <si>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</si>
  <si>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</si>
  <si>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</si>
  <si>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</si>
  <si>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</si>
  <si>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</si>
  <si>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</si>
  <si>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</si>
  <si>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</si>
  <si>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</si>
  <si>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</si>
  <si>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</si>
  <si>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</si>
  <si>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</si>
  <si>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</si>
  <si>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</si>
  <si>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</si>
  <si>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</si>
  <si>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</si>
  <si>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</si>
  <si>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</si>
  <si>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</si>
  <si>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</si>
  <si>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</si>
  <si>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</si>
  <si>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</si>
  <si>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</si>
  <si>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</si>
  <si>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</si>
  <si>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</si>
  <si>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</si>
  <si>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</si>
  <si>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</si>
  <si>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</si>
  <si>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</si>
  <si>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</si>
  <si>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</si>
  <si>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</si>
  <si>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</si>
  <si>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</si>
  <si>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</si>
  <si>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</si>
  <si>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</si>
  <si>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</si>
  <si>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</si>
  <si>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</si>
  <si>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</si>
  <si>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</si>
  <si>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</si>
  <si>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</si>
  <si>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</si>
  <si>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</si>
  <si>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</si>
  <si>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</si>
  <si>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</si>
  <si>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</si>
  <si>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</si>
  <si>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</si>
  <si>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</si>
  <si>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</si>
  <si>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</si>
  <si>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</si>
  <si>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</si>
  <si>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</si>
  <si>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</si>
  <si>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</si>
  <si>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</si>
  <si>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</si>
  <si>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</si>
  <si>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</si>
  <si>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</si>
  <si>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</si>
  <si>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</si>
  <si>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</si>
  <si>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</si>
  <si>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</si>
  <si>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</si>
  <si>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</si>
  <si>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</si>
  <si>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</si>
  <si>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</si>
  <si>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</si>
  <si>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</si>
  <si>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</si>
  <si>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</si>
  <si>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</si>
  <si>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</si>
  <si>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</si>
  <si>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</si>
  <si>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</si>
  <si>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</si>
  <si>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</si>
  <si>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</si>
  <si>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</si>
  <si>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</si>
  <si>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</si>
  <si>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</si>
  <si>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</si>
  <si>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</si>
  <si>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</si>
  <si>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</si>
  <si>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</si>
  <si>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</si>
  <si>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</si>
  <si>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</si>
  <si>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</si>
  <si>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</si>
  <si>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</si>
  <si>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</si>
  <si>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</si>
  <si>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</si>
  <si>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</si>
  <si>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</si>
  <si>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</si>
  <si>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</si>
  <si>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</si>
  <si>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</si>
  <si>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</si>
  <si>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</si>
  <si>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</si>
  <si>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</si>
  <si>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</si>
  <si>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</si>
  <si>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</si>
  <si>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</si>
  <si>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</si>
  <si>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</si>
  <si>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</si>
  <si>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</si>
  <si>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</si>
  <si>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</si>
  <si>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</si>
  <si>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</si>
  <si>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</si>
  <si>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</si>
  <si>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</si>
  <si>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</si>
  <si>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</si>
  <si>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</si>
  <si>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</si>
  <si>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</si>
  <si>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</si>
  <si>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</si>
  <si>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</si>
  <si>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</si>
  <si>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</si>
  <si>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</si>
  <si>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</si>
  <si>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</si>
  <si>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</si>
  <si>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</si>
  <si>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</si>
  <si>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</si>
  <si>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</si>
  <si>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</si>
  <si>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</si>
  <si>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</si>
  <si>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</si>
  <si>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</si>
  <si>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</si>
  <si>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</si>
  <si>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</si>
  <si>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</si>
  <si>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</si>
  <si>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</si>
  <si>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</si>
  <si>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</si>
  <si>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</si>
  <si>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</si>
  <si>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</si>
  <si>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</si>
  <si>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</si>
  <si>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</si>
  <si>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</si>
  <si>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</si>
  <si>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</si>
  <si>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</si>
  <si>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</si>
  <si>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</si>
  <si>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</si>
  <si>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</si>
  <si>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</si>
  <si>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</si>
  <si>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</si>
  <si>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</si>
  <si>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</si>
  <si>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</si>
  <si>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</si>
  <si>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</si>
  <si>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</si>
  <si>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</si>
  <si>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</si>
  <si>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</si>
  <si>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</si>
  <si>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</si>
  <si>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</si>
  <si>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</si>
  <si>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</si>
  <si>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</si>
  <si>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</si>
  <si>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</si>
  <si>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</si>
  <si>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</si>
  <si>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</si>
  <si>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</si>
  <si>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</si>
  <si>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</si>
  <si>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</si>
  <si>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</si>
  <si>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</si>
  <si>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</si>
  <si>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</si>
  <si>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</si>
  <si>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</si>
  <si>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</si>
  <si>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</si>
  <si>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</si>
  <si>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</si>
  <si>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</si>
  <si>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</si>
  <si>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</si>
  <si>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</si>
  <si>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</si>
  <si>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</si>
  <si>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</si>
  <si>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</si>
  <si>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</si>
  <si>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</si>
  <si>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</si>
  <si>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</si>
  <si>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</si>
  <si>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</si>
  <si>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</si>
  <si>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</si>
  <si>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</si>
  <si>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</si>
  <si>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</si>
  <si>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</si>
  <si>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</si>
  <si>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</si>
  <si>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</si>
  <si>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</si>
  <si>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</si>
  <si>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</si>
  <si>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</si>
  <si>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</si>
  <si>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</si>
  <si>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</si>
  <si>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</si>
  <si>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</si>
  <si>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</si>
  <si>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</si>
  <si>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</si>
  <si>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</si>
  <si>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</si>
  <si>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</si>
  <si>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</si>
  <si>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</si>
  <si>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</si>
  <si>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</si>
  <si>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</si>
  <si>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</si>
  <si>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</si>
  <si>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</si>
  <si>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</si>
  <si>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</si>
  <si>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</si>
  <si>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</si>
  <si>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</si>
  <si>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</si>
  <si>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</si>
  <si>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</si>
  <si>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</si>
  <si>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</si>
  <si>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</si>
  <si>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</si>
  <si>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</si>
  <si>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</si>
  <si>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</si>
  <si>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</si>
  <si>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</si>
  <si>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</si>
  <si>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</si>
  <si>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</si>
  <si>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</si>
  <si>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</si>
  <si>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</si>
  <si>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</si>
  <si>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</si>
  <si>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</si>
  <si>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</si>
  <si>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</si>
  <si>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</si>
  <si>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</si>
  <si>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</si>
  <si>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</si>
  <si>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</si>
  <si>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</si>
  <si>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</si>
  <si>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</si>
  <si>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</si>
  <si>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</si>
  <si>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</si>
  <si>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</si>
  <si>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</si>
  <si>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</si>
  <si>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</si>
  <si>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</si>
  <si>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</si>
  <si>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</si>
  <si>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</si>
  <si>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</si>
  <si>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</si>
  <si>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</si>
  <si>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</si>
  <si>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</si>
  <si>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</si>
  <si>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</si>
  <si>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</si>
  <si>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</si>
  <si>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</si>
  <si>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</si>
  <si>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</si>
  <si>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</si>
  <si>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</si>
  <si>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</si>
  <si>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</si>
  <si>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</si>
  <si>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</si>
  <si>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</si>
  <si>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</si>
  <si>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</si>
  <si>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</si>
  <si>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</si>
  <si>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</si>
  <si>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</si>
  <si>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</si>
  <si>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</si>
  <si>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</si>
  <si>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</si>
  <si>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</si>
  <si>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</si>
  <si>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</si>
  <si>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</si>
  <si>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</si>
  <si>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</si>
  <si>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</si>
  <si>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</si>
  <si>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</si>
  <si>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</si>
  <si>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</si>
  <si>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</si>
  <si>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</si>
  <si>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</si>
  <si>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</si>
  <si>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</si>
  <si>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</si>
  <si>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</si>
  <si>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</si>
  <si>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</si>
  <si>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</si>
  <si>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</si>
  <si>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</si>
  <si>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</si>
  <si>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</si>
  <si>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</si>
  <si>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</si>
  <si>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</si>
  <si>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</si>
  <si>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</si>
  <si>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</si>
  <si>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</si>
  <si>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</si>
  <si>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</si>
  <si>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</si>
  <si>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</si>
  <si>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</si>
  <si>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</si>
  <si>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</si>
  <si>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</si>
  <si>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</si>
  <si>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</si>
  <si>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</si>
  <si>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</si>
  <si>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</si>
  <si>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</si>
  <si>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</si>
  <si>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</si>
  <si>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</si>
  <si>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</si>
  <si>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</si>
  <si>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</si>
  <si>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</si>
  <si>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</si>
  <si>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</si>
  <si>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</si>
  <si>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</si>
  <si>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</si>
  <si>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</si>
  <si>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</si>
  <si>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</si>
  <si>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</si>
  <si>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</si>
  <si>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</si>
  <si>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</si>
  <si>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</si>
  <si>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</si>
  <si>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</si>
  <si>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</si>
  <si>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</si>
  <si>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</si>
  <si>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</si>
  <si>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</si>
  <si>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</si>
  <si>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</si>
  <si>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</si>
  <si>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</si>
  <si>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</si>
  <si>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</si>
  <si>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</si>
  <si>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</si>
  <si>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</si>
  <si>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</si>
  <si>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</si>
  <si>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</si>
  <si>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</si>
  <si>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</si>
  <si>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</si>
  <si>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</si>
  <si>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</si>
  <si>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</si>
  <si>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</si>
  <si>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</si>
  <si>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</si>
  <si>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</si>
  <si>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</si>
  <si>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</si>
  <si>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</si>
  <si>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</si>
  <si>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</si>
  <si>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</si>
  <si>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</si>
  <si>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</si>
  <si>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</si>
  <si>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</si>
  <si>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</si>
  <si>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</si>
  <si>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</si>
  <si>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</si>
  <si>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</si>
  <si>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</si>
  <si>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</si>
  <si>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</si>
  <si>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</si>
  <si>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</si>
  <si>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</si>
  <si>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</si>
  <si>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</si>
  <si>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</si>
  <si>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</si>
  <si>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</si>
  <si>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</si>
  <si>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</si>
  <si>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</si>
  <si>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</si>
  <si>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</si>
  <si>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</si>
  <si>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</si>
  <si>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</si>
  <si>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</si>
  <si>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</si>
  <si>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</si>
  <si>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</si>
  <si>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</si>
  <si>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</si>
  <si>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</si>
  <si>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</si>
  <si>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</si>
  <si>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</si>
  <si>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</si>
  <si>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</si>
  <si>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</si>
  <si>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</si>
  <si>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</si>
  <si>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</si>
  <si>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</si>
  <si>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</si>
  <si>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</si>
  <si>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</si>
  <si>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</si>
  <si>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</si>
  <si>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</si>
  <si>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</si>
  <si>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</si>
  <si>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</si>
  <si>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</si>
  <si>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</si>
  <si>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</si>
  <si>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</si>
  <si>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</si>
  <si>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</si>
  <si>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</si>
  <si>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</si>
  <si>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</si>
  <si>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</si>
  <si>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</si>
  <si>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</si>
  <si>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</si>
  <si>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</si>
  <si>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</si>
  <si>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</si>
  <si>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</si>
  <si>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</si>
  <si>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</si>
  <si>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</si>
  <si>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</si>
  <si>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</si>
  <si>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</si>
  <si>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</si>
  <si>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</si>
  <si>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</si>
  <si>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</si>
  <si>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</si>
  <si>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</si>
  <si>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</si>
  <si>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</si>
  <si>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</si>
  <si>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</si>
  <si>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</si>
  <si>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</si>
  <si>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</si>
  <si>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</si>
  <si>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</si>
  <si>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</si>
  <si>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</si>
  <si>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</si>
  <si>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</si>
  <si>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</si>
  <si>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</si>
  <si>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</si>
  <si>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</si>
  <si>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</si>
  <si>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</si>
  <si>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</si>
  <si>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</si>
  <si>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</si>
  <si>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</si>
  <si>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</si>
  <si>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</si>
  <si>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</si>
  <si>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</si>
  <si>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</si>
  <si>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</si>
  <si>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</si>
  <si>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</si>
  <si>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</si>
  <si>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</si>
  <si>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</si>
  <si>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</si>
  <si>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</si>
  <si>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</si>
  <si>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</si>
  <si>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</si>
  <si>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</si>
  <si>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</si>
  <si>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</si>
  <si>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</si>
  <si>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</si>
  <si>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</si>
  <si>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</si>
  <si>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</si>
  <si>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</si>
  <si>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</si>
  <si>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</si>
  <si>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</si>
  <si>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</si>
  <si>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</si>
  <si>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</si>
  <si>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</si>
  <si>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</si>
  <si>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</si>
  <si>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</si>
  <si>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</si>
  <si>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</si>
  <si>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</si>
  <si>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</si>
  <si>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</si>
  <si>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</si>
  <si>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</si>
  <si>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</si>
  <si>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</si>
  <si>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</si>
  <si>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</si>
  <si>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</si>
  <si>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</si>
  <si>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</si>
  <si>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</si>
  <si>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</si>
  <si>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</si>
  <si>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</si>
  <si>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</si>
  <si>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</si>
  <si>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</si>
  <si>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</si>
  <si>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</si>
  <si>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</si>
  <si>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</si>
  <si>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</si>
  <si>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</si>
  <si>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</si>
  <si>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</si>
  <si>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</si>
  <si>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</si>
  <si>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</si>
  <si>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</si>
  <si>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</si>
  <si>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</si>
  <si>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</si>
  <si>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</si>
  <si>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</si>
  <si>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</si>
  <si>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</si>
  <si>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</si>
  <si>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</si>
  <si>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</si>
  <si>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</si>
  <si>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</si>
  <si>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</si>
  <si>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</si>
  <si>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</si>
  <si>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</si>
  <si>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</si>
  <si>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</si>
  <si>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</si>
  <si>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</si>
  <si>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</si>
  <si>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</si>
  <si>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</si>
  <si>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</si>
  <si>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</si>
  <si>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</si>
  <si>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</si>
  <si>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</si>
  <si>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</si>
  <si>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</si>
  <si>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</si>
  <si>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</si>
  <si>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</si>
  <si>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</si>
  <si>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</si>
  <si>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</si>
  <si>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</si>
  <si>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</si>
  <si>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</si>
  <si>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</si>
  <si>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</si>
  <si>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</si>
  <si>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</si>
  <si>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</si>
  <si>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</si>
  <si>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</si>
  <si>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</si>
  <si>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</si>
  <si>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</si>
  <si>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</si>
  <si>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</si>
  <si>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</si>
  <si>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</si>
  <si>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</si>
  <si>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</si>
  <si>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</si>
  <si>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</si>
  <si>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</si>
  <si>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</si>
  <si>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</si>
  <si>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</si>
  <si>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</si>
  <si>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</si>
  <si>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</si>
  <si>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</si>
  <si>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</si>
  <si>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</si>
  <si>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</si>
  <si>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</si>
  <si>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</si>
  <si>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</si>
  <si>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</si>
  <si>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</si>
  <si>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</si>
  <si>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</si>
  <si>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</si>
  <si>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</si>
  <si>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</si>
  <si>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</si>
  <si>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</si>
  <si>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</si>
  <si>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</si>
  <si>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</si>
  <si>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</si>
  <si>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</si>
  <si>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</si>
  <si>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</si>
  <si>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</si>
  <si>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</si>
  <si>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</si>
  <si>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</si>
  <si>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</si>
  <si>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</si>
  <si>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</si>
  <si>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</si>
  <si>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</si>
  <si>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</si>
  <si>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</si>
  <si>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</si>
  <si>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</si>
  <si>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</si>
  <si>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</si>
  <si>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</si>
  <si>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</si>
  <si>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</si>
  <si>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</si>
  <si>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</si>
  <si>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</si>
  <si>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</si>
  <si>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</si>
  <si>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</si>
  <si>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</si>
  <si>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</si>
  <si>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</si>
  <si>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</si>
  <si>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</si>
  <si>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</si>
  <si>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</si>
  <si>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</si>
  <si>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</si>
  <si>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</si>
  <si>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</si>
  <si>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</si>
  <si>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</si>
  <si>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</si>
  <si>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</si>
  <si>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</si>
  <si>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</si>
  <si>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</si>
  <si>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</si>
  <si>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</si>
  <si>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</si>
  <si>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</si>
  <si>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</si>
  <si>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</si>
  <si>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</si>
  <si>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</si>
  <si>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</si>
  <si>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</si>
  <si>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</si>
  <si>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</si>
  <si>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</si>
  <si>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</si>
  <si>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</si>
  <si>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</si>
  <si>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</si>
  <si>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</si>
  <si>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</si>
  <si>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</si>
  <si>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</si>
  <si>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</si>
  <si>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</si>
  <si>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</si>
  <si>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</si>
  <si>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</si>
  <si>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</si>
  <si>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</si>
  <si>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</si>
  <si>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</si>
  <si>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</si>
  <si>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</si>
  <si>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</si>
  <si>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</si>
  <si>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</si>
  <si>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</si>
  <si>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</si>
  <si>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</si>
  <si>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</si>
  <si>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</si>
  <si>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</si>
  <si>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</si>
  <si>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</si>
  <si>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</si>
  <si>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</si>
  <si>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</si>
  <si>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</si>
  <si>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</si>
  <si>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</si>
  <si>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</si>
  <si>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</si>
  <si>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</si>
  <si>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</si>
  <si>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</si>
  <si>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</si>
  <si>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</si>
  <si>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</si>
  <si>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</si>
  <si>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</si>
  <si>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</si>
  <si>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</si>
  <si>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</si>
  <si>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</si>
  <si>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</si>
  <si>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</si>
  <si>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</si>
  <si>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</si>
  <si>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</si>
  <si>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</si>
  <si>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</si>
  <si>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</si>
  <si>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</si>
  <si>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</si>
  <si>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</si>
  <si>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</si>
  <si>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</si>
  <si>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</si>
  <si>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</si>
  <si>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</si>
  <si>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</si>
  <si>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</si>
  <si>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</si>
  <si>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</si>
  <si>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</si>
  <si>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</si>
  <si>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</si>
  <si>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</si>
  <si>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</si>
  <si>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</si>
  <si>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</si>
  <si>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</si>
  <si>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</si>
  <si>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</si>
  <si>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</si>
  <si>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</si>
  <si>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</si>
  <si>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</si>
  <si>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</si>
  <si>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</si>
  <si>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</si>
  <si>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</si>
  <si>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</si>
  <si>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</si>
  <si>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</si>
  <si>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</si>
  <si>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</si>
  <si>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</si>
  <si>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</si>
  <si>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</si>
  <si>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</si>
  <si>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</si>
  <si>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</si>
  <si>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</si>
  <si>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</si>
  <si>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</si>
  <si>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</si>
  <si>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</si>
  <si>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</si>
  <si>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</si>
  <si>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</si>
  <si>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</si>
  <si>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</si>
  <si>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</si>
  <si>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</si>
  <si>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</si>
  <si>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</si>
  <si>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</si>
  <si>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</si>
  <si>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</si>
  <si>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</si>
  <si>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</si>
  <si>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</si>
  <si>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</si>
  <si>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</si>
  <si>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</si>
  <si>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</si>
  <si>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</si>
  <si>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</si>
  <si>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</si>
  <si>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</si>
  <si>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</si>
  <si>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</si>
  <si>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</si>
  <si>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</si>
  <si>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</si>
  <si>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</si>
  <si>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</si>
  <si>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</si>
  <si>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</si>
  <si>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</si>
  <si>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</si>
  <si>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</si>
  <si>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</si>
  <si>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</si>
  <si>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</si>
  <si>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</si>
  <si>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</si>
  <si>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</si>
  <si>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</si>
  <si>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</si>
  <si>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</si>
  <si>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</si>
  <si>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</si>
  <si>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</si>
  <si>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</si>
  <si>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</si>
  <si>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</si>
  <si>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</si>
  <si>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</si>
  <si>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</si>
  <si>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</si>
  <si>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</si>
  <si>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</si>
  <si>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</si>
  <si>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</si>
  <si>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</si>
  <si>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</si>
  <si>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</si>
  <si>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</si>
  <si>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</si>
  <si>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</si>
  <si>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</si>
  <si>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</si>
  <si>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</si>
  <si>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</si>
  <si>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</si>
  <si>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</si>
  <si>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</si>
  <si>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</si>
  <si>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</si>
  <si>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</si>
  <si>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</si>
  <si>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</si>
  <si>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</si>
  <si>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</si>
  <si>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</si>
  <si>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</si>
  <si>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</si>
  <si>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</si>
  <si>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</si>
  <si>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</si>
  <si>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</si>
  <si>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</si>
  <si>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</si>
  <si>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</si>
  <si>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</si>
  <si>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</si>
  <si>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</si>
  <si>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</si>
  <si>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</si>
  <si>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</si>
  <si>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</si>
  <si>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</si>
  <si>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</si>
  <si>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</si>
  <si>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</si>
  <si>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</si>
  <si>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</si>
  <si>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</si>
  <si>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</si>
  <si>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</si>
  <si>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</si>
  <si>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</si>
  <si>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</si>
  <si>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</si>
  <si>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</si>
  <si>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</si>
  <si>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</si>
  <si>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</si>
  <si>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</si>
  <si>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</si>
  <si>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</si>
  <si>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</si>
  <si>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</si>
  <si>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</si>
  <si>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</si>
  <si>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</si>
  <si>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</si>
  <si>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</si>
  <si>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</si>
  <si>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</si>
  <si>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</si>
  <si>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</si>
  <si>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</si>
  <si>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</si>
  <si>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</si>
  <si>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</si>
  <si>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</si>
  <si>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</si>
  <si>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</si>
  <si>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</si>
  <si>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</si>
  <si>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</si>
  <si>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</si>
  <si>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</si>
  <si>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</si>
  <si>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</si>
  <si>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</si>
  <si>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</si>
  <si>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</si>
  <si>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</si>
  <si>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</si>
  <si>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</si>
  <si>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</si>
  <si>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</si>
  <si>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</si>
  <si>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</si>
  <si>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</si>
  <si>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</si>
  <si>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</si>
  <si>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</si>
  <si>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</si>
  <si>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</si>
  <si>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</si>
  <si>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</si>
  <si>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</si>
  <si>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</si>
  <si>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</si>
  <si>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</si>
  <si>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</si>
  <si>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</si>
  <si>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</si>
  <si>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</si>
  <si>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</si>
  <si>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</si>
  <si>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</si>
  <si>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</si>
  <si>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</si>
  <si>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</si>
  <si>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</si>
  <si>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</si>
  <si>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</si>
  <si>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</si>
  <si>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</si>
  <si>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</si>
  <si>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</si>
  <si>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</si>
  <si>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</si>
  <si>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</si>
  <si>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</si>
  <si>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</si>
  <si>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</si>
  <si>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</si>
  <si>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</si>
  <si>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</si>
  <si>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</si>
  <si>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</si>
  <si>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</si>
  <si>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</si>
  <si>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</si>
  <si>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</si>
  <si>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</si>
  <si>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</si>
  <si>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</si>
  <si>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</si>
  <si>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</si>
  <si>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</si>
  <si>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</si>
  <si>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</si>
  <si>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</si>
  <si>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</si>
  <si>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</si>
  <si>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</si>
  <si>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</si>
  <si>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</si>
  <si>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</si>
  <si>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</si>
  <si>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</si>
  <si>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</si>
  <si>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</si>
  <si>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</si>
  <si>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</si>
  <si>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</si>
  <si>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</si>
  <si>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</si>
  <si>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</si>
  <si>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</si>
  <si>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</si>
  <si>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</si>
  <si>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</si>
  <si>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</si>
  <si>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</si>
  <si>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</si>
  <si>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</si>
  <si>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</si>
  <si>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</si>
  <si>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</si>
  <si>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</si>
  <si>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</si>
  <si>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</si>
  <si>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</si>
  <si>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</si>
  <si>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</si>
  <si>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</si>
  <si>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</si>
  <si>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</si>
  <si>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</si>
  <si>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</si>
  <si>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</si>
  <si>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</si>
  <si>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</si>
  <si>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</si>
  <si>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</si>
  <si>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</si>
  <si>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</si>
  <si>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</si>
  <si>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</si>
  <si>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</si>
  <si>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</si>
  <si>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</si>
  <si>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</si>
  <si>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</si>
  <si>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</si>
  <si>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</si>
  <si>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</si>
  <si>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</si>
  <si>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</si>
  <si>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</si>
  <si>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</si>
  <si>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</si>
  <si>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</si>
  <si>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</si>
  <si>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</si>
  <si>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</si>
  <si>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</si>
  <si>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</si>
  <si>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</si>
  <si>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</si>
  <si>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</si>
  <si>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</si>
  <si>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</si>
  <si>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</si>
  <si>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</si>
  <si>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</si>
  <si>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</si>
  <si>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</si>
  <si>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</si>
  <si>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</si>
  <si>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</si>
  <si>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</si>
  <si>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</si>
  <si>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</si>
  <si>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</si>
  <si>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</si>
  <si>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</si>
  <si>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</si>
  <si>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</si>
  <si>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</si>
  <si>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</si>
  <si>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</si>
  <si>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</si>
  <si>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</si>
  <si>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</si>
  <si>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</si>
  <si>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</si>
  <si>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</si>
  <si>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</si>
  <si>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</si>
  <si>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</si>
  <si>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</si>
  <si>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</si>
  <si>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</si>
  <si>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</si>
  <si>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</si>
  <si>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</si>
  <si>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</si>
  <si>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</si>
  <si>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</si>
  <si>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</si>
  <si>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</si>
  <si>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</si>
  <si>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</si>
  <si>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</si>
  <si>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</si>
  <si>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</si>
  <si>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</si>
  <si>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</si>
  <si>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</si>
  <si>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</si>
  <si>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</si>
  <si>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</si>
  <si>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</si>
  <si>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</si>
  <si>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</si>
  <si>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</si>
  <si>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</si>
  <si>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</si>
  <si>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</si>
  <si>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</si>
  <si>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</si>
  <si>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</si>
  <si>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</si>
  <si>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</si>
  <si>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</si>
  <si>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</si>
  <si>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</si>
  <si>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</si>
  <si>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</si>
  <si>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</si>
  <si>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</si>
  <si>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</si>
  <si>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</si>
  <si>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</si>
  <si>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</si>
  <si>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</si>
  <si>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</si>
  <si>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</si>
  <si>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</si>
  <si>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</si>
  <si>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</si>
  <si>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</si>
  <si>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</si>
  <si>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</si>
  <si>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</si>
  <si>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</si>
  <si>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</si>
  <si>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</si>
  <si>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</si>
  <si>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</si>
  <si>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</si>
  <si>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</si>
  <si>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</si>
  <si>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</si>
  <si>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</si>
  <si>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</si>
  <si>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</si>
  <si>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</si>
  <si>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</si>
  <si>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</si>
  <si>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</si>
  <si>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</si>
  <si>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</si>
  <si>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</si>
  <si>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</si>
  <si>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</si>
  <si>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</si>
  <si>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</si>
  <si>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</si>
  <si>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</si>
  <si>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</si>
  <si>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</si>
  <si>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</si>
  <si>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</si>
  <si>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</si>
  <si>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</si>
  <si>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</si>
  <si>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</si>
  <si>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</si>
  <si>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</si>
  <si>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</si>
  <si>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</si>
  <si>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</si>
  <si>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</si>
  <si>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</si>
  <si>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</si>
  <si>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</si>
  <si>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</si>
  <si>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</si>
  <si>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</si>
  <si>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</si>
  <si>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</si>
  <si>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</si>
  <si>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</si>
  <si>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</si>
  <si>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</si>
  <si>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</si>
  <si>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</si>
  <si>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</si>
  <si>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</si>
  <si>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</si>
  <si>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</si>
  <si>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</si>
  <si>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</si>
  <si>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</si>
  <si>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</si>
  <si>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</si>
  <si>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</si>
  <si>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</si>
  <si>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</si>
  <si>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</si>
  <si>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</si>
  <si>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</si>
  <si>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</si>
  <si>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</si>
  <si>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</si>
  <si>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</si>
  <si>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</si>
  <si>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</si>
  <si>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</si>
  <si>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</si>
  <si>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</si>
  <si>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</si>
  <si>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</si>
  <si>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</si>
  <si>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</si>
  <si>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</si>
  <si>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</si>
  <si>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</si>
  <si>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</si>
  <si>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</si>
  <si>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</si>
  <si>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</si>
  <si>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</si>
  <si>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</si>
  <si>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</si>
  <si>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</si>
  <si>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</si>
  <si>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</si>
  <si>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</si>
  <si>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</si>
  <si>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</si>
  <si>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</si>
  <si>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</si>
  <si>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</si>
  <si>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</si>
  <si>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</si>
  <si>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</si>
  <si>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</si>
  <si>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</si>
  <si>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</si>
  <si>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</si>
  <si>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</si>
  <si>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</si>
  <si>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</si>
  <si>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</si>
  <si>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</si>
  <si>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</si>
  <si>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</si>
  <si>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</si>
  <si>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</si>
  <si>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</si>
  <si>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</si>
  <si>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</si>
  <si>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</si>
  <si>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</si>
  <si>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</si>
  <si>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</si>
  <si>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</si>
  <si>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</si>
  <si>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</si>
  <si>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</si>
  <si>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</si>
  <si>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</si>
  <si>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</si>
  <si>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</si>
  <si>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</si>
  <si>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</si>
  <si>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</si>
  <si>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</si>
  <si>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</si>
  <si>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</si>
  <si>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</si>
  <si>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</si>
  <si>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</si>
  <si>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</si>
  <si>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</si>
  <si>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</si>
  <si>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</si>
  <si>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</si>
  <si>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</si>
  <si>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</si>
  <si>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</si>
  <si>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</si>
  <si>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</si>
  <si>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</si>
  <si>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</si>
  <si>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</si>
  <si>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</si>
  <si>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</si>
  <si>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</si>
  <si>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</si>
  <si>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</si>
  <si>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</si>
  <si>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</si>
  <si>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</si>
  <si>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</si>
  <si>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</si>
  <si>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</si>
  <si>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</si>
  <si>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</si>
  <si>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</si>
  <si>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</si>
  <si>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</si>
  <si>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</si>
  <si>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</si>
  <si>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</si>
  <si>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</si>
  <si>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</si>
  <si>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</si>
  <si>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</si>
  <si>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</si>
  <si>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</si>
  <si>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</si>
  <si>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</si>
  <si>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</si>
  <si>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</si>
  <si>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</si>
  <si>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</si>
  <si>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</si>
  <si>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</si>
  <si>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</si>
  <si>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</si>
  <si>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</si>
  <si>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</si>
  <si>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</si>
  <si>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</si>
  <si>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</si>
  <si>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</si>
  <si>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</si>
  <si>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</si>
  <si>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</si>
  <si>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</si>
  <si>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</si>
  <si>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</si>
  <si>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</si>
  <si>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</si>
  <si>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</si>
  <si>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</si>
  <si>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</si>
  <si>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</si>
  <si>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</si>
  <si>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</si>
  <si>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</si>
  <si>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</si>
  <si>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</si>
  <si>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</si>
  <si>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</si>
  <si>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</si>
  <si>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</si>
  <si>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</si>
  <si>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</si>
  <si>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</si>
  <si>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</si>
  <si>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</si>
  <si>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</si>
  <si>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</si>
  <si>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</si>
  <si>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</si>
  <si>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</si>
  <si>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</si>
  <si>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</si>
  <si>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</si>
  <si>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</si>
  <si>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</si>
  <si>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</si>
  <si>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</si>
  <si>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</si>
  <si>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</si>
  <si>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</si>
  <si>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</si>
  <si>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</si>
  <si>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</si>
  <si>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</si>
  <si>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</si>
  <si>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</si>
  <si>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</si>
  <si>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</si>
  <si>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</si>
  <si>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</si>
  <si>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</si>
  <si>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</si>
  <si>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</si>
  <si>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</si>
  <si>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</si>
  <si>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</si>
  <si>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</si>
  <si>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</si>
  <si>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</si>
  <si>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</si>
  <si>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</si>
  <si>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</si>
  <si>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</si>
  <si>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</si>
  <si>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</si>
  <si>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</si>
  <si>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</si>
  <si>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</si>
  <si>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</si>
  <si>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</si>
  <si>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</si>
  <si>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</si>
  <si>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</si>
  <si>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</si>
  <si>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</si>
  <si>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</si>
  <si>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</si>
  <si>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</si>
  <si>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</si>
  <si>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</si>
  <si>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</si>
  <si>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</si>
  <si>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</si>
  <si>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</si>
  <si>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</si>
  <si>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</si>
  <si>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</si>
  <si>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</si>
  <si>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</si>
  <si>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</si>
  <si>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</si>
  <si>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</si>
  <si>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</si>
  <si>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</si>
  <si>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</si>
  <si>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</si>
  <si>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</si>
  <si>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</si>
  <si>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</si>
  <si>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</si>
  <si>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</si>
  <si>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</si>
  <si>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</si>
  <si>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</si>
  <si>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</si>
  <si>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</si>
  <si>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</si>
  <si>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</si>
  <si>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</si>
  <si>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</si>
  <si>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</si>
  <si>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</si>
  <si>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</si>
  <si>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</si>
  <si>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</si>
  <si>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</si>
  <si>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</si>
  <si>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</si>
  <si>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</si>
  <si>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</si>
  <si>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</si>
  <si>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</si>
  <si>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</si>
  <si>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</si>
  <si>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</si>
  <si>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</si>
  <si>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</si>
  <si>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</si>
  <si>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</si>
  <si>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</si>
  <si>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</si>
  <si>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</si>
  <si>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</si>
  <si>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</si>
  <si>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</si>
  <si>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</si>
  <si>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</si>
  <si>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</si>
  <si>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</si>
  <si>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</si>
  <si>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</si>
  <si>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</si>
  <si>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</si>
  <si>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</si>
  <si>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</si>
  <si>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</si>
  <si>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</si>
  <si>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</si>
  <si>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</si>
  <si>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</si>
  <si>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</si>
  <si>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</si>
  <si>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</si>
  <si>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</si>
  <si>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</si>
  <si>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</si>
  <si>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</si>
  <si>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</si>
  <si>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</si>
  <si>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</si>
  <si>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</si>
  <si>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</si>
  <si>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</si>
  <si>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</si>
  <si>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</si>
  <si>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</si>
  <si>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</si>
  <si>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</si>
  <si>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</si>
  <si>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</si>
  <si>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</si>
  <si>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</si>
  <si>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</si>
  <si>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</si>
  <si>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</si>
  <si>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</si>
  <si>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</si>
  <si>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</si>
  <si>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</si>
  <si>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</si>
  <si>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</si>
  <si>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</si>
  <si>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</si>
  <si>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</si>
  <si>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</si>
  <si>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</si>
  <si>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</si>
  <si>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</si>
  <si>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</si>
  <si>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</si>
  <si>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</si>
  <si>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</si>
  <si>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</si>
  <si>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</si>
  <si>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</si>
  <si>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</si>
  <si>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</si>
  <si>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</si>
  <si>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</si>
  <si>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</si>
  <si>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</si>
  <si>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</si>
  <si>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</si>
  <si>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</si>
  <si>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</si>
  <si>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</si>
  <si>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</si>
  <si>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</si>
  <si>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</si>
  <si>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</si>
  <si>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</si>
  <si>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</si>
  <si>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</si>
  <si>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</si>
  <si>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</si>
  <si>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</si>
  <si>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</si>
  <si>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</si>
  <si>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</si>
  <si>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</si>
  <si>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</si>
  <si>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</si>
  <si>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</si>
  <si>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</si>
  <si>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</si>
  <si>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</si>
  <si>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</si>
  <si>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</si>
  <si>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</si>
  <si>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</si>
  <si>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</si>
  <si>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</si>
  <si>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</si>
  <si>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</si>
  <si>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</si>
  <si>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</si>
  <si>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</si>
  <si>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</si>
  <si>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</si>
  <si>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</si>
  <si>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</si>
  <si>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</si>
  <si>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</si>
  <si>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</si>
  <si>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</si>
  <si>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</si>
  <si>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</si>
  <si>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</si>
  <si>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</si>
  <si>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</si>
  <si>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</si>
  <si>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</si>
  <si>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</si>
  <si>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</si>
  <si>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</si>
  <si>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</si>
  <si>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</si>
  <si>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</si>
  <si>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</si>
  <si>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</si>
  <si>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</si>
  <si>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</si>
  <si>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</si>
  <si>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</si>
  <si>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</si>
  <si>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</si>
  <si>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</si>
  <si>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</si>
  <si>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</si>
  <si>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</si>
  <si>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</si>
  <si>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</si>
  <si>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</si>
  <si>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</si>
  <si>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</si>
  <si>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</si>
  <si>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</si>
  <si>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</si>
  <si>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</si>
  <si>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</si>
  <si>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</si>
  <si>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</si>
  <si>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</si>
  <si>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</si>
  <si>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</si>
  <si>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</si>
  <si>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</si>
  <si>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drawer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</si>
  <si>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</si>
  <si>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</si>
  <si>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</si>
  <si>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</si>
  <si>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</si>
  <si>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</si>
  <si>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</si>
  <si>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</si>
  <si>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</si>
  <si>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</si>
  <si>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</si>
  <si>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</si>
  <si>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</si>
  <si>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</si>
  <si>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</si>
  <si>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</si>
  <si>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</si>
  <si>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</si>
  <si>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</si>
  <si>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</si>
  <si>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</si>
  <si>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</si>
  <si>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</si>
  <si>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</si>
  <si>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</si>
  <si>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</si>
  <si>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</si>
  <si>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</si>
  <si>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</si>
  <si>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</si>
  <si>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</si>
  <si>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</si>
  <si>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</si>
  <si>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</si>
  <si>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</si>
  <si>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</si>
  <si>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</si>
  <si>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</si>
  <si>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</si>
  <si>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</si>
  <si>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</si>
  <si>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</si>
  <si>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</si>
  <si>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</si>
  <si>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</si>
  <si>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</si>
  <si>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</si>
  <si>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</si>
  <si>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</si>
  <si>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</si>
  <si>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</si>
  <si>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</si>
  <si>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</si>
  <si>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</si>
  <si>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</si>
  <si>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</si>
  <si>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</si>
  <si>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</si>
  <si>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</si>
  <si>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</si>
  <si>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</si>
  <si>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</si>
  <si>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</si>
  <si>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</si>
  <si>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</si>
  <si>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</si>
  <si>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</si>
  <si>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</si>
  <si>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</si>
  <si>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</si>
  <si>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</si>
  <si>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</si>
  <si>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</si>
  <si>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</si>
  <si>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</si>
  <si>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</si>
  <si>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</si>
  <si>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</si>
  <si>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</si>
  <si>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</si>
  <si>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</si>
  <si>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</si>
  <si>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</si>
  <si>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</si>
  <si>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</si>
  <si>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</si>
  <si>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</si>
  <si>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</si>
  <si>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</si>
  <si>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</si>
  <si>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</si>
  <si>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</si>
  <si>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</si>
  <si>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</si>
  <si>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</si>
  <si>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</si>
  <si>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</si>
  <si>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</si>
  <si>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</si>
  <si>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</si>
  <si>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</si>
  <si>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</si>
  <si>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</si>
  <si>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</si>
  <si>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</si>
  <si>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</si>
  <si>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</si>
  <si>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</si>
  <si>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</si>
  <si>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</si>
  <si>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</si>
  <si>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</si>
  <si>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</si>
  <si>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</si>
  <si>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</si>
  <si>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</si>
  <si>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</si>
  <si>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</si>
  <si>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</si>
  <si>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</si>
  <si>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</si>
  <si>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</si>
  <si>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</si>
  <si>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</si>
  <si>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</si>
  <si>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</si>
  <si>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</si>
  <si>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</si>
  <si>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</si>
  <si>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</si>
  <si>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</si>
  <si>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</si>
  <si>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</si>
  <si>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</si>
  <si>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</si>
  <si>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</si>
  <si>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</si>
  <si>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</si>
  <si>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</si>
  <si>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</si>
  <si>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</si>
  <si>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</si>
  <si>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</si>
  <si>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</si>
  <si>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</si>
  <si>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</si>
  <si>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</si>
  <si>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</si>
  <si>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</si>
  <si>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</si>
  <si>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</si>
  <si>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</si>
  <si>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</si>
  <si>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</si>
  <si>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saneet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</si>
</sst>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9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3"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792" totalsRowShown="0" headerRowDxfId="82" dataDxfId="81">
  <autoFilter ref="A1:R792" xr:uid="{97E63F84-BDFB-4C38-B1FD-28318E0D1D3F}"/>
  <tableColumns count="18">
    <tableColumn id="1" xr3:uid="{DEBB3640-E433-4779-93BC-95B8FB492623}" name="S.NO" dataDxfId="80">
      <calculatedColumnFormula>ROW()-1</calculatedColumnFormula>
    </tableColumn>
    <tableColumn id="13" xr3:uid="{86C56767-9BFE-4154-9FC1-CEA7C183815E}" name="APPLICATION NO." dataDxfId="79"/>
    <tableColumn id="2" xr3:uid="{6ABB4EDF-0F58-40D7-979C-D37D8D91A6BC}" name="CHASSIS" dataDxfId="78"/>
    <tableColumn id="17" xr3:uid="{0BBF5E4D-B8B0-4055-8D5F-3A6BB4D4A4DA}" name="ENGINE NO." dataDxfId="77"/>
    <tableColumn id="3" xr3:uid="{285CC4F4-4CD1-4FFC-A101-ED051DA40438}" name="NAME" dataDxfId="76"/>
    <tableColumn id="4" xr3:uid="{28DC8B59-EFA0-4502-86B0-033B0B60D615}" name="MODEL" dataDxfId="75"/>
    <tableColumn id="14" xr3:uid="{B25F5A6A-3B72-4772-B75C-D86670F35131}" name="COLOR" dataDxfId="74"/>
    <tableColumn id="15" xr3:uid="{22F5E9AE-FC4E-4EBD-ADBF-5C93F85B331F}" name="RTO" dataDxfId="73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2"/>
    <tableColumn id="6" xr3:uid="{9942893D-0703-456F-8072-CD136C7B4052}" name="DATE OF REG" dataDxfId="71"/>
    <tableColumn id="12" xr3:uid="{CC83ADC7-1924-4CE0-83FB-B2DFBEF7A193}" name="CONTACT" dataDxfId="70"/>
    <tableColumn id="7" xr3:uid="{3AD2B0D9-D7A5-46E0-B596-F6B7F1CDDEA6}" name="DSE" dataDxfId="69"/>
    <tableColumn id="8" xr3:uid="{475221AE-3FDC-4CED-B76C-4DA1DD4F8AD9}" name="RC RECEIVED BY" dataDxfId="68"/>
    <tableColumn id="9" xr3:uid="{F594ED7D-6966-47AC-A5C3-25754B73A3CC}" name="DATE" dataDxfId="67"/>
    <tableColumn id="10" xr3:uid="{452E3ECD-E927-4EC7-A8A2-4A866233750E}" name="FASTTAG" dataDxfId="66"/>
    <tableColumn id="11" xr3:uid="{CFEE5573-D700-4B26-B382-BCA8210C54C2}" name="DATED" dataDxfId="65"/>
    <tableColumn id="16" xr3:uid="{07363D0C-2FBE-403B-A617-BDB5768FAC43}" name="FT STATUS" dataDxfId="64"/>
    <tableColumn id="19" xr3:uid="{9456CF5E-F4D1-41FB-BAEA-332735A8583D}" name="REMARKS" dataDxfId="6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2" dataDxfId="60" headerRowBorderDxfId="61" tableBorderDxfId="59">
  <autoFilter ref="A1:U1475" xr:uid="{D370B51C-D08F-47BE-AAB1-EC19B1CB5D0A}"/>
  <tableColumns count="21">
    <tableColumn id="1" xr3:uid="{F2AB5776-2910-4922-8F7A-A29B241AFBFB}" name="S.NO" dataDxfId="58"/>
    <tableColumn id="2" xr3:uid="{BD6FD91D-E737-4D6A-B00A-D80EC1A61CA8}" name="DATE" dataDxfId="57"/>
    <tableColumn id="3" xr3:uid="{523BFE7D-9361-4DD0-92B3-69A6F8F0C3E9}" name="CUSTOMER NAME" dataDxfId="56"/>
    <tableColumn id="4" xr3:uid="{D470DE80-5E84-419F-ABF9-6269311CD45E}" name="MARUTI" dataDxfId="55"/>
    <tableColumn id="5" xr3:uid="{89C10B6F-C9EE-4AD2-A610-262BFCF29B4E}" name="MODEL OR VARIANT" dataDxfId="54"/>
    <tableColumn id="6" xr3:uid="{9CB69D3E-706F-4EED-A315-D5399BE00D5C}" name="RTO" dataDxfId="53"/>
    <tableColumn id="7" xr3:uid="{2FB81954-C8D6-43B3-92E2-574B07BBFCCB}" name="VEHICLE CLASS" dataDxfId="52"/>
    <tableColumn id="8" xr3:uid="{1892A735-1187-4E6C-8786-9B173567AAD2}" name="REG. NO" dataDxfId="51"/>
    <tableColumn id="9" xr3:uid="{AFB37B1C-50E7-42BE-BC49-27B4D7E4E829}" name="VIN" dataDxfId="50"/>
    <tableColumn id="10" xr3:uid="{A3569458-1056-4E90-B079-94E3430A5743}" name="APPLICATION NO." dataDxfId="49"/>
    <tableColumn id="11" xr3:uid="{E25E7D92-4EC4-485D-93B8-A15B0538604A}" name="RTO AMMOUNT " dataDxfId="48"/>
    <tableColumn id="12" xr3:uid="{DB89535A-8F36-4EF8-B62C-86ABB378F51F}" name="HSRP" dataDxfId="47"/>
    <tableColumn id="13" xr3:uid="{6BD25826-954F-49C4-BE9E-24422B1B85BE}" name="ACCOUNT" dataDxfId="46"/>
    <tableColumn id="14" xr3:uid="{974951AE-D99C-487A-9DB5-065DA8DD25D4}" name="RM NAME" dataDxfId="45"/>
    <tableColumn id="15" xr3:uid="{FA4014CD-BE60-4554-9D6D-C0CC54B2CA05}" name="PAYMENT MODE" dataDxfId="44"/>
    <tableColumn id="16" xr3:uid="{84C48B22-72C9-4BD7-86AD-D8ECD87C3A64}" name="FILE PUNCHED BY" dataDxfId="43"/>
    <tableColumn id="17" xr3:uid="{87E46E14-6F6C-41D4-BBF8-CEAFAFE4CA8F}" name="PAYMENT ID" dataDxfId="42"/>
    <tableColumn id="18" xr3:uid="{0F2CD467-C868-4769-B436-AE2A25413B52}" name="RC STATUS" dataDxfId="41"/>
    <tableColumn id="19" xr3:uid="{0A9FDBF9-6418-4F2B-8B46-BE05C8150A04}" name="RC GIVEN DATE" dataDxfId="40"/>
    <tableColumn id="20" xr3:uid="{3A50F2B6-47D6-4A09-AA43-188FC568EA57}" name="FASTTAG ISSUE" dataDxfId="39"/>
    <tableColumn id="21" xr3:uid="{E4802D5D-D65F-42D3-B57E-E27729185964}" name="FASTTAG ISSUE DATE " dataDxfId="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01" totalsRowShown="0" headerRowDxfId="37" dataDxfId="36">
  <autoFilter ref="A2:H501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5"/>
    <tableColumn id="11" xr3:uid="{7AA66E15-5D81-45A6-A480-BC2F7EFDEB4C}" name="Name" dataDxfId="34"/>
    <tableColumn id="10" xr3:uid="{DA1D923C-25B3-4F76-823C-435E6464FF55}" name="Contact" dataDxfId="33"/>
    <tableColumn id="2" xr3:uid="{5FEBD558-5EB7-4421-BA25-DCAC1134B168}" name="Barcode No." dataDxfId="32"/>
    <tableColumn id="12" xr3:uid="{77758C8B-F2C8-47C0-B104-570729F9693B}" name="Reg Num" dataDxfId="31"/>
    <tableColumn id="5" xr3:uid="{9AC97A3F-3009-4A59-ACCF-A178780E6F61}" name="Date" dataDxfId="30"/>
    <tableColumn id="7" xr3:uid="{82C8F4C5-8489-4228-83CC-0B9666328CDD}" name="CHANNEL" dataDxfId="29"/>
    <tableColumn id="8" xr3:uid="{DDF1FC61-A0D6-46E9-9515-6DDC5AB1E932}" name="Status" dataDxfId="2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7" dataDxfId="26">
  <autoFilter ref="A2:I9" xr:uid="{74ED0DA7-B29F-4043-B63E-2DC322D6021E}"/>
  <tableColumns count="9">
    <tableColumn id="1" xr3:uid="{245016D5-DEB3-4F3E-B449-3096C2EF947B}" name="S.No." dataDxfId="25">
      <calculatedColumnFormula>ROW()-2</calculatedColumnFormula>
    </tableColumn>
    <tableColumn id="2" xr3:uid="{77ED4F47-8FDC-4F18-AB35-3830D899313B}" name="Dated" dataDxfId="24"/>
    <tableColumn id="3" xr3:uid="{67393A8B-58A2-4A4E-AA68-362B9B4F4E28}" name="Vehicle Num." dataDxfId="23"/>
    <tableColumn id="4" xr3:uid="{2C031EFD-E44B-468B-BEF0-3C97412F5E2E}" name="Name" dataDxfId="22"/>
    <tableColumn id="5" xr3:uid="{73873638-799E-44F5-B857-93DAE5E0F2FF}" name="Payment Mode" dataDxfId="21"/>
    <tableColumn id="6" xr3:uid="{BFB6E8F7-43C7-4B39-8FF0-E41A5EA5B2D3}" name="Trans Id." dataDxfId="20"/>
    <tableColumn id="8" xr3:uid="{3B1BF0B9-13BC-4A4E-B215-A3056576D199}" name="Trans. Date" dataDxfId="19"/>
    <tableColumn id="9" xr3:uid="{F64CF3FC-8352-46AE-80D1-01DDCE0247AC}" name="Amount" dataDxfId="18"/>
    <tableColumn id="7" xr3:uid="{22AF1F96-D5EA-48BA-A958-A42C203B5287}" name="Remarks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960"/>
  <sheetViews>
    <sheetView topLeftCell="M763" zoomScaleNormal="100" workbookViewId="0">
      <selection activeCell="Q776" sqref="Q77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10670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10669</v>
      </c>
      <c r="J95" s="22">
        <v>45979</v>
      </c>
      <c r="K95" s="21">
        <v>9419687942</v>
      </c>
      <c r="L95" s="21" t="s">
        <v>47</v>
      </c>
      <c r="M95" s="23"/>
      <c r="N95" s="22"/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7149</v>
      </c>
      <c r="C203" s="21" t="s">
        <v>7146</v>
      </c>
      <c r="D203" s="21" t="s">
        <v>7147</v>
      </c>
      <c r="E203" s="21" t="s">
        <v>7148</v>
      </c>
      <c r="F203" s="21" t="s">
        <v>116</v>
      </c>
      <c r="G203" s="21" t="s">
        <v>172</v>
      </c>
      <c r="H203" s="21" t="str">
        <f t="shared" si="7"/>
        <v>PULWAMA</v>
      </c>
      <c r="I203" s="21" t="s">
        <v>7160</v>
      </c>
      <c r="J203" s="22">
        <v>46007</v>
      </c>
      <c r="K203" s="21">
        <v>7889354231</v>
      </c>
      <c r="L203" s="21" t="s">
        <v>6515</v>
      </c>
      <c r="M203" s="23" t="s">
        <v>7662</v>
      </c>
      <c r="N203" s="22">
        <v>46021</v>
      </c>
      <c r="O203" s="21"/>
      <c r="P203" s="24"/>
      <c r="Q203" s="21"/>
      <c r="R203" s="21" t="s">
        <v>7184</v>
      </c>
    </row>
    <row r="204" spans="1:18" x14ac:dyDescent="0.25">
      <c r="A204" s="21">
        <f t="shared" si="6"/>
        <v>203</v>
      </c>
      <c r="B204" s="21" t="s">
        <v>7133</v>
      </c>
      <c r="C204" s="21" t="s">
        <v>7130</v>
      </c>
      <c r="D204" s="21" t="s">
        <v>7131</v>
      </c>
      <c r="E204" s="21" t="s">
        <v>7132</v>
      </c>
      <c r="F204" s="21" t="s">
        <v>116</v>
      </c>
      <c r="G204" s="21" t="s">
        <v>197</v>
      </c>
      <c r="H204" s="21" t="str">
        <f t="shared" si="7"/>
        <v>BUDGAM</v>
      </c>
      <c r="I204" s="21" t="s">
        <v>7163</v>
      </c>
      <c r="J204" s="22">
        <v>46007</v>
      </c>
      <c r="K204" s="21">
        <v>9622878211</v>
      </c>
      <c r="L204" s="21" t="s">
        <v>6515</v>
      </c>
      <c r="M204" s="23" t="s">
        <v>7766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7143</v>
      </c>
      <c r="C205" s="21" t="s">
        <v>7144</v>
      </c>
      <c r="D205" s="21" t="s">
        <v>7145</v>
      </c>
      <c r="E205" s="21" t="s">
        <v>3489</v>
      </c>
      <c r="F205" s="21" t="s">
        <v>116</v>
      </c>
      <c r="G205" s="21" t="s">
        <v>171</v>
      </c>
      <c r="H205" s="21" t="str">
        <f t="shared" si="7"/>
        <v>PULWAMA</v>
      </c>
      <c r="I205" s="21" t="s">
        <v>7161</v>
      </c>
      <c r="J205" s="22">
        <v>46007</v>
      </c>
      <c r="K205" s="21">
        <v>8492997838</v>
      </c>
      <c r="L205" s="21" t="s">
        <v>6446</v>
      </c>
      <c r="M205" s="23"/>
      <c r="N205" s="22"/>
      <c r="O205" s="21"/>
      <c r="P205" s="24"/>
      <c r="Q205" s="21"/>
      <c r="R205" s="21" t="s">
        <v>7166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/>
      <c r="N228" s="22"/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8015</v>
      </c>
      <c r="C333" s="21" t="s">
        <v>8016</v>
      </c>
      <c r="D333" s="21" t="s">
        <v>8017</v>
      </c>
      <c r="E333" s="21" t="s">
        <v>8018</v>
      </c>
      <c r="F333" s="21" t="s">
        <v>1682</v>
      </c>
      <c r="G333" s="21" t="s">
        <v>196</v>
      </c>
      <c r="H333" s="21" t="str">
        <f t="shared" si="11"/>
        <v>SRINAGAR</v>
      </c>
      <c r="I333" s="21" t="s">
        <v>8020</v>
      </c>
      <c r="J333" s="22">
        <v>46025</v>
      </c>
      <c r="K333" s="21">
        <v>7051417712</v>
      </c>
      <c r="L333" s="21" t="s">
        <v>6446</v>
      </c>
      <c r="M333" s="23" t="s">
        <v>8227</v>
      </c>
      <c r="N333" s="22">
        <v>46032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7986</v>
      </c>
      <c r="C334" s="21" t="s">
        <v>7988</v>
      </c>
      <c r="D334" s="21" t="s">
        <v>7989</v>
      </c>
      <c r="E334" s="21" t="s">
        <v>7990</v>
      </c>
      <c r="F334" s="21" t="s">
        <v>122</v>
      </c>
      <c r="G334" s="21" t="s">
        <v>171</v>
      </c>
      <c r="H334" s="21" t="str">
        <f t="shared" si="11"/>
        <v>SRINAGAR</v>
      </c>
      <c r="I334" s="21" t="s">
        <v>7991</v>
      </c>
      <c r="J334" s="22">
        <v>46025</v>
      </c>
      <c r="K334" s="21">
        <v>9419004044</v>
      </c>
      <c r="L334" s="21" t="s">
        <v>47</v>
      </c>
      <c r="M334" s="23" t="s">
        <v>7765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7974</v>
      </c>
      <c r="C335" s="21" t="s">
        <v>7972</v>
      </c>
      <c r="D335" s="21" t="s">
        <v>7973</v>
      </c>
      <c r="E335" s="21" t="s">
        <v>4280</v>
      </c>
      <c r="F335" s="21" t="s">
        <v>190</v>
      </c>
      <c r="G335" s="21" t="s">
        <v>196</v>
      </c>
      <c r="H335" s="21" t="str">
        <f t="shared" si="11"/>
        <v>SRINAGAR</v>
      </c>
      <c r="I335" s="21" t="s">
        <v>7975</v>
      </c>
      <c r="J335" s="22">
        <v>46025</v>
      </c>
      <c r="K335" s="21">
        <v>8899926488</v>
      </c>
      <c r="L335" s="21" t="s">
        <v>104</v>
      </c>
      <c r="M335" s="23" t="s">
        <v>7591</v>
      </c>
      <c r="N335" s="22">
        <v>46027</v>
      </c>
      <c r="O335" s="21" t="s">
        <v>23</v>
      </c>
      <c r="P335" s="24">
        <v>46029</v>
      </c>
      <c r="Q335" s="21" t="s">
        <v>6454</v>
      </c>
      <c r="R335" s="21"/>
    </row>
    <row r="336" spans="1:18" x14ac:dyDescent="0.25">
      <c r="A336" s="21">
        <f t="shared" si="10"/>
        <v>335</v>
      </c>
      <c r="B336" s="21" t="s">
        <v>7992</v>
      </c>
      <c r="C336" s="21" t="s">
        <v>7993</v>
      </c>
      <c r="D336" s="21" t="s">
        <v>7994</v>
      </c>
      <c r="E336" s="21" t="s">
        <v>7995</v>
      </c>
      <c r="F336" s="21" t="s">
        <v>31</v>
      </c>
      <c r="G336" s="21" t="s">
        <v>196</v>
      </c>
      <c r="H336" s="21" t="str">
        <f t="shared" si="11"/>
        <v>SRINAGAR</v>
      </c>
      <c r="I336" s="21" t="s">
        <v>7996</v>
      </c>
      <c r="J336" s="22">
        <v>46025</v>
      </c>
      <c r="K336" s="21">
        <v>7889441591</v>
      </c>
      <c r="L336" s="21" t="s">
        <v>107</v>
      </c>
      <c r="M336" s="23" t="s">
        <v>8794</v>
      </c>
      <c r="N336" s="22">
        <v>46031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7966</v>
      </c>
      <c r="C337" s="21" t="s">
        <v>7960</v>
      </c>
      <c r="D337" s="21" t="s">
        <v>7961</v>
      </c>
      <c r="E337" s="21" t="s">
        <v>7962</v>
      </c>
      <c r="F337" s="21" t="s">
        <v>7963</v>
      </c>
      <c r="G337" s="21" t="s">
        <v>197</v>
      </c>
      <c r="H337" s="21" t="str">
        <f t="shared" si="11"/>
        <v>SRINAGAR</v>
      </c>
      <c r="I337" s="21" t="s">
        <v>7964</v>
      </c>
      <c r="J337" s="22">
        <v>46025</v>
      </c>
      <c r="K337" s="21">
        <v>9149592772</v>
      </c>
      <c r="L337" s="21" t="s">
        <v>191</v>
      </c>
      <c r="M337" s="23" t="s">
        <v>7585</v>
      </c>
      <c r="N337" s="22">
        <v>46028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7985</v>
      </c>
      <c r="C338" s="21" t="s">
        <v>7981</v>
      </c>
      <c r="D338" s="21" t="s">
        <v>7982</v>
      </c>
      <c r="E338" s="21" t="s">
        <v>7983</v>
      </c>
      <c r="F338" s="21" t="s">
        <v>31</v>
      </c>
      <c r="G338" s="21" t="s">
        <v>172</v>
      </c>
      <c r="H338" s="21" t="str">
        <f t="shared" si="11"/>
        <v>SRINAGAR</v>
      </c>
      <c r="I338" s="21" t="s">
        <v>7984</v>
      </c>
      <c r="J338" s="22">
        <v>46025</v>
      </c>
      <c r="K338" s="21">
        <v>9906863125</v>
      </c>
      <c r="L338" s="21" t="s">
        <v>2168</v>
      </c>
      <c r="M338" s="23" t="s">
        <v>7704</v>
      </c>
      <c r="N338" s="22">
        <v>46028</v>
      </c>
      <c r="O338" s="21"/>
      <c r="P338" s="24"/>
      <c r="Q338" s="21"/>
      <c r="R338" s="21"/>
    </row>
    <row r="339" spans="1:18" x14ac:dyDescent="0.25">
      <c r="A339" s="21">
        <f t="shared" si="10"/>
        <v>338</v>
      </c>
      <c r="B339" s="21" t="s">
        <v>7979</v>
      </c>
      <c r="C339" s="21" t="s">
        <v>7976</v>
      </c>
      <c r="D339" s="21" t="s">
        <v>7977</v>
      </c>
      <c r="E339" s="21" t="s">
        <v>7978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7980</v>
      </c>
      <c r="J339" s="22">
        <v>46025</v>
      </c>
      <c r="K339" s="21">
        <v>9596382727</v>
      </c>
      <c r="L339" s="21" t="s">
        <v>104</v>
      </c>
      <c r="M339" s="23" t="s">
        <v>7591</v>
      </c>
      <c r="N339" s="22">
        <v>46027</v>
      </c>
      <c r="O339" s="21" t="s">
        <v>23</v>
      </c>
      <c r="P339" s="24">
        <v>46029</v>
      </c>
      <c r="Q339" s="21" t="s">
        <v>6454</v>
      </c>
      <c r="R339" s="21"/>
    </row>
    <row r="340" spans="1:18" x14ac:dyDescent="0.25">
      <c r="A340" s="21">
        <f t="shared" si="10"/>
        <v>339</v>
      </c>
      <c r="B340" s="21" t="s">
        <v>7970</v>
      </c>
      <c r="C340" s="21" t="s">
        <v>7967</v>
      </c>
      <c r="D340" s="21" t="s">
        <v>7968</v>
      </c>
      <c r="E340" s="21" t="s">
        <v>7969</v>
      </c>
      <c r="F340" s="21" t="s">
        <v>286</v>
      </c>
      <c r="G340" s="21" t="s">
        <v>197</v>
      </c>
      <c r="H340" s="21" t="str">
        <f t="shared" si="11"/>
        <v>SRINAGAR</v>
      </c>
      <c r="I340" s="21" t="s">
        <v>7971</v>
      </c>
      <c r="J340" s="22">
        <v>46025</v>
      </c>
      <c r="K340" s="21">
        <v>9149592772</v>
      </c>
      <c r="L340" s="21" t="s">
        <v>47</v>
      </c>
      <c r="M340" s="23" t="s">
        <v>7763</v>
      </c>
      <c r="N340" s="22">
        <v>46027</v>
      </c>
      <c r="O340" s="21" t="s">
        <v>23</v>
      </c>
      <c r="P340" s="24">
        <v>46055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7997</v>
      </c>
      <c r="C341" s="21" t="s">
        <v>7998</v>
      </c>
      <c r="D341" s="21" t="s">
        <v>8000</v>
      </c>
      <c r="E341" s="21" t="s">
        <v>7999</v>
      </c>
      <c r="F341" s="21" t="s">
        <v>116</v>
      </c>
      <c r="G341" s="21" t="s">
        <v>171</v>
      </c>
      <c r="H341" s="21" t="str">
        <f t="shared" si="11"/>
        <v>SRINAGAR</v>
      </c>
      <c r="I341" s="21" t="s">
        <v>8001</v>
      </c>
      <c r="J341" s="22">
        <v>46025</v>
      </c>
      <c r="K341" s="21">
        <v>7006441266</v>
      </c>
      <c r="L341" s="21" t="s">
        <v>42</v>
      </c>
      <c r="M341" s="23" t="s">
        <v>7607</v>
      </c>
      <c r="N341" s="22">
        <v>46029</v>
      </c>
      <c r="O341" s="21" t="s">
        <v>23</v>
      </c>
      <c r="P341" s="24">
        <v>46029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8007</v>
      </c>
      <c r="C342" s="21" t="s">
        <v>8008</v>
      </c>
      <c r="D342" s="21" t="s">
        <v>8009</v>
      </c>
      <c r="E342" s="21" t="s">
        <v>5413</v>
      </c>
      <c r="F342" s="21" t="s">
        <v>12</v>
      </c>
      <c r="G342" s="21" t="s">
        <v>178</v>
      </c>
      <c r="H342" s="21" t="str">
        <f t="shared" si="11"/>
        <v>ANANTNAG</v>
      </c>
      <c r="I342" s="21" t="s">
        <v>8019</v>
      </c>
      <c r="J342" s="22">
        <v>46025</v>
      </c>
      <c r="K342" s="21">
        <v>7889730611</v>
      </c>
      <c r="L342" s="21" t="s">
        <v>6534</v>
      </c>
      <c r="M342" s="23" t="s">
        <v>7606</v>
      </c>
      <c r="N342" s="22">
        <v>46034</v>
      </c>
      <c r="O342" s="21"/>
      <c r="P342" s="24"/>
      <c r="Q342" s="21"/>
      <c r="R342" s="21"/>
    </row>
    <row r="343" spans="1:18" x14ac:dyDescent="0.25">
      <c r="A343" s="21">
        <f t="shared" si="10"/>
        <v>342</v>
      </c>
      <c r="B343" s="21" t="s">
        <v>8013</v>
      </c>
      <c r="C343" s="21" t="s">
        <v>8010</v>
      </c>
      <c r="D343" s="21" t="s">
        <v>8011</v>
      </c>
      <c r="E343" s="21" t="s">
        <v>8012</v>
      </c>
      <c r="F343" s="21" t="s">
        <v>12</v>
      </c>
      <c r="G343" s="21" t="s">
        <v>197</v>
      </c>
      <c r="H343" s="21" t="str">
        <f t="shared" si="11"/>
        <v>KUPWARA</v>
      </c>
      <c r="I343" s="21" t="s">
        <v>8014</v>
      </c>
      <c r="J343" s="22">
        <v>46025</v>
      </c>
      <c r="K343" s="21">
        <v>6005210447</v>
      </c>
      <c r="L343" s="21" t="s">
        <v>2244</v>
      </c>
      <c r="M343" s="23" t="s">
        <v>7607</v>
      </c>
      <c r="N343" s="22">
        <v>46028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7954</v>
      </c>
      <c r="C344" s="21" t="s">
        <v>7951</v>
      </c>
      <c r="D344" s="21" t="s">
        <v>7952</v>
      </c>
      <c r="E344" s="21" t="s">
        <v>7953</v>
      </c>
      <c r="F344" s="21" t="s">
        <v>116</v>
      </c>
      <c r="G344" s="21" t="s">
        <v>197</v>
      </c>
      <c r="H344" s="21" t="str">
        <f t="shared" si="11"/>
        <v>PULWAMA</v>
      </c>
      <c r="I344" s="21" t="s">
        <v>7955</v>
      </c>
      <c r="J344" s="22">
        <v>46025</v>
      </c>
      <c r="K344" s="21">
        <v>7006861153</v>
      </c>
      <c r="L344" s="21" t="s">
        <v>6515</v>
      </c>
      <c r="M344" s="23" t="s">
        <v>7662</v>
      </c>
      <c r="N344" s="22">
        <v>46030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30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8507</v>
      </c>
      <c r="C426" s="21" t="s">
        <v>8508</v>
      </c>
      <c r="D426" s="21" t="s">
        <v>8509</v>
      </c>
      <c r="E426" s="21" t="s">
        <v>8510</v>
      </c>
      <c r="F426" s="21" t="s">
        <v>12</v>
      </c>
      <c r="G426" s="21" t="s">
        <v>197</v>
      </c>
      <c r="H426" s="21" t="str">
        <f t="shared" si="13"/>
        <v>SHOPIAN</v>
      </c>
      <c r="I426" s="21" t="s">
        <v>8516</v>
      </c>
      <c r="J426" s="22">
        <v>46053</v>
      </c>
      <c r="K426" s="21">
        <v>7006268218</v>
      </c>
      <c r="L426" s="21" t="s">
        <v>6515</v>
      </c>
      <c r="M426" s="23" t="s">
        <v>8604</v>
      </c>
      <c r="N426" s="22">
        <v>46057</v>
      </c>
      <c r="O426" s="21"/>
      <c r="P426" s="24"/>
      <c r="Q426" s="21"/>
      <c r="R426" s="21" t="s">
        <v>8609</v>
      </c>
    </row>
    <row r="427" spans="1:18" x14ac:dyDescent="0.25">
      <c r="A427" s="21">
        <f t="shared" si="12"/>
        <v>426</v>
      </c>
      <c r="B427" s="21" t="s">
        <v>8514</v>
      </c>
      <c r="C427" s="21" t="s">
        <v>8511</v>
      </c>
      <c r="D427" s="21" t="s">
        <v>8512</v>
      </c>
      <c r="E427" s="21" t="s">
        <v>8513</v>
      </c>
      <c r="F427" s="21" t="s">
        <v>65</v>
      </c>
      <c r="G427" s="21" t="s">
        <v>196</v>
      </c>
      <c r="H427" s="21" t="str">
        <f t="shared" si="13"/>
        <v>PULWAMA</v>
      </c>
      <c r="I427" s="21" t="s">
        <v>8515</v>
      </c>
      <c r="J427" s="22">
        <v>46053</v>
      </c>
      <c r="K427" s="21">
        <v>7006019277</v>
      </c>
      <c r="L427" s="21" t="s">
        <v>6446</v>
      </c>
      <c r="M427" s="23" t="s">
        <v>9548</v>
      </c>
      <c r="N427" s="22">
        <v>46107</v>
      </c>
      <c r="O427" s="21"/>
      <c r="P427" s="24"/>
      <c r="Q427" s="21"/>
      <c r="R427" s="21"/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8800</v>
      </c>
      <c r="C464" s="21" t="s">
        <v>8797</v>
      </c>
      <c r="D464" s="21" t="s">
        <v>8798</v>
      </c>
      <c r="E464" s="21" t="s">
        <v>8799</v>
      </c>
      <c r="F464" s="21" t="s">
        <v>31</v>
      </c>
      <c r="G464" s="21" t="s">
        <v>197</v>
      </c>
      <c r="H464" s="21" t="str">
        <f t="shared" si="15"/>
        <v>PULWAMA</v>
      </c>
      <c r="I464" s="21" t="s">
        <v>8803</v>
      </c>
      <c r="J464" s="22">
        <v>46066</v>
      </c>
      <c r="K464" s="21">
        <v>7889419178</v>
      </c>
      <c r="L464" s="21" t="s">
        <v>6446</v>
      </c>
      <c r="M464" s="23" t="s">
        <v>9549</v>
      </c>
      <c r="N464" s="22">
        <v>46107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8811</v>
      </c>
      <c r="C465" s="21" t="s">
        <v>8812</v>
      </c>
      <c r="D465" s="21" t="s">
        <v>8813</v>
      </c>
      <c r="E465" s="21" t="s">
        <v>8814</v>
      </c>
      <c r="F465" s="21" t="s">
        <v>98</v>
      </c>
      <c r="G465" s="21" t="s">
        <v>197</v>
      </c>
      <c r="H465" s="21" t="str">
        <f t="shared" si="15"/>
        <v>PULWAMA</v>
      </c>
      <c r="I465" s="21" t="s">
        <v>8815</v>
      </c>
      <c r="J465" s="22">
        <v>46066</v>
      </c>
      <c r="K465" s="21">
        <v>7780958146</v>
      </c>
      <c r="L465" s="21" t="s">
        <v>8663</v>
      </c>
      <c r="M465" s="23" t="s">
        <v>8215</v>
      </c>
      <c r="N465" s="22">
        <v>46071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9005</v>
      </c>
      <c r="C495" s="21" t="s">
        <v>9006</v>
      </c>
      <c r="D495" s="21" t="s">
        <v>9007</v>
      </c>
      <c r="E495" s="21" t="s">
        <v>9008</v>
      </c>
      <c r="F495" s="21" t="s">
        <v>31</v>
      </c>
      <c r="G495" s="21" t="s">
        <v>196</v>
      </c>
      <c r="H495" s="21" t="str">
        <f t="shared" si="15"/>
        <v>PULWAMA</v>
      </c>
      <c r="I495" s="21" t="s">
        <v>9015</v>
      </c>
      <c r="J495" s="22">
        <v>46077</v>
      </c>
      <c r="K495" s="21">
        <v>7889678128</v>
      </c>
      <c r="L495" s="21" t="s">
        <v>9009</v>
      </c>
      <c r="M495" s="21" t="s">
        <v>7705</v>
      </c>
      <c r="N495" s="22">
        <v>46129</v>
      </c>
      <c r="O495" s="21"/>
      <c r="P495" s="24"/>
      <c r="Q495" s="21"/>
      <c r="R495" s="21"/>
    </row>
    <row r="496" spans="1:18" x14ac:dyDescent="0.25">
      <c r="A496" s="21">
        <f t="shared" si="14"/>
        <v>495</v>
      </c>
      <c r="B496" s="21" t="s">
        <v>9013</v>
      </c>
      <c r="C496" s="21" t="s">
        <v>9010</v>
      </c>
      <c r="D496" s="21" t="s">
        <v>9011</v>
      </c>
      <c r="E496" s="21" t="s">
        <v>9012</v>
      </c>
      <c r="F496" s="21" t="s">
        <v>116</v>
      </c>
      <c r="G496" s="21" t="s">
        <v>172</v>
      </c>
      <c r="H496" s="21" t="str">
        <f t="shared" si="15"/>
        <v>BARAMULLA</v>
      </c>
      <c r="I496" s="21" t="s">
        <v>9014</v>
      </c>
      <c r="J496" s="22">
        <v>46077</v>
      </c>
      <c r="K496" s="21">
        <v>7051998124</v>
      </c>
      <c r="L496" s="21" t="s">
        <v>8949</v>
      </c>
      <c r="M496" s="23" t="s">
        <v>9039</v>
      </c>
      <c r="N496" s="22">
        <v>46078</v>
      </c>
      <c r="O496" s="21" t="s">
        <v>23</v>
      </c>
      <c r="P496" s="24">
        <v>46078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9017</v>
      </c>
      <c r="C497" s="21" t="s">
        <v>9022</v>
      </c>
      <c r="D497" s="21" t="s">
        <v>9023</v>
      </c>
      <c r="E497" s="21" t="s">
        <v>9021</v>
      </c>
      <c r="F497" s="21" t="s">
        <v>116</v>
      </c>
      <c r="G497" s="21" t="s">
        <v>197</v>
      </c>
      <c r="H497" s="21" t="str">
        <f t="shared" si="15"/>
        <v>BUDGAM</v>
      </c>
      <c r="I497" s="21" t="s">
        <v>9020</v>
      </c>
      <c r="J497" s="22">
        <v>46077</v>
      </c>
      <c r="K497" s="21">
        <v>7889588319</v>
      </c>
      <c r="L497" s="21" t="s">
        <v>68</v>
      </c>
      <c r="M497" s="23" t="s">
        <v>7943</v>
      </c>
      <c r="N497" s="22">
        <v>46081</v>
      </c>
      <c r="O497" s="21" t="s">
        <v>23</v>
      </c>
      <c r="P497" s="24">
        <v>46081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9027</v>
      </c>
      <c r="C498" s="21" t="s">
        <v>9024</v>
      </c>
      <c r="D498" s="21" t="s">
        <v>9025</v>
      </c>
      <c r="E498" s="21" t="s">
        <v>9026</v>
      </c>
      <c r="F498" s="21" t="s">
        <v>99</v>
      </c>
      <c r="G498" s="21" t="s">
        <v>197</v>
      </c>
      <c r="H498" s="21" t="str">
        <f t="shared" si="15"/>
        <v>BARAMULLA</v>
      </c>
      <c r="I498" s="21" t="s">
        <v>9028</v>
      </c>
      <c r="J498" s="22">
        <v>46077</v>
      </c>
      <c r="K498" s="21">
        <v>9906483469</v>
      </c>
      <c r="L498" s="21" t="s">
        <v>1122</v>
      </c>
      <c r="M498" s="23" t="s">
        <v>7690</v>
      </c>
      <c r="N498" s="22">
        <v>46078</v>
      </c>
      <c r="O498" s="21" t="s">
        <v>23</v>
      </c>
      <c r="P498" s="24">
        <v>46077</v>
      </c>
      <c r="Q498" s="21" t="s">
        <v>6454</v>
      </c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9288</v>
      </c>
      <c r="C539" s="21" t="s">
        <v>9289</v>
      </c>
      <c r="D539" s="21" t="s">
        <v>9290</v>
      </c>
      <c r="E539" s="21" t="s">
        <v>9291</v>
      </c>
      <c r="F539" s="21" t="s">
        <v>116</v>
      </c>
      <c r="G539" s="21" t="s">
        <v>172</v>
      </c>
      <c r="H539" s="21" t="str">
        <f t="shared" si="17"/>
        <v>PULWAMA</v>
      </c>
      <c r="I539" s="21" t="s">
        <v>9294</v>
      </c>
      <c r="J539" s="22">
        <v>46095</v>
      </c>
      <c r="K539" s="21">
        <v>9541885239</v>
      </c>
      <c r="L539" s="21" t="s">
        <v>9292</v>
      </c>
      <c r="M539" s="21" t="s">
        <v>7705</v>
      </c>
      <c r="N539" s="22">
        <v>46129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9282</v>
      </c>
      <c r="C540" s="21" t="s">
        <v>9283</v>
      </c>
      <c r="D540" s="21" t="s">
        <v>9284</v>
      </c>
      <c r="E540" s="21" t="s">
        <v>1946</v>
      </c>
      <c r="F540" s="21" t="s">
        <v>6540</v>
      </c>
      <c r="G540" s="21" t="s">
        <v>6469</v>
      </c>
      <c r="H540" s="21" t="str">
        <f t="shared" si="17"/>
        <v>SHOPIAN</v>
      </c>
      <c r="I540" s="21" t="s">
        <v>9293</v>
      </c>
      <c r="J540" s="22">
        <v>46095</v>
      </c>
      <c r="K540" s="21">
        <v>7006544713</v>
      </c>
      <c r="L540" s="21" t="s">
        <v>9241</v>
      </c>
      <c r="M540" s="23" t="s">
        <v>7662</v>
      </c>
      <c r="N540" s="22">
        <v>46108</v>
      </c>
      <c r="O540" s="21"/>
      <c r="P540" s="24"/>
      <c r="Q540" s="21"/>
      <c r="R540" s="21"/>
    </row>
    <row r="541" spans="1:18" x14ac:dyDescent="0.25">
      <c r="A541" s="21">
        <f t="shared" si="16"/>
        <v>540</v>
      </c>
      <c r="B541" s="21" t="s">
        <v>9295</v>
      </c>
      <c r="C541" s="21" t="s">
        <v>9296</v>
      </c>
      <c r="D541" s="21" t="s">
        <v>9297</v>
      </c>
      <c r="E541" s="21" t="s">
        <v>9298</v>
      </c>
      <c r="F541" s="21" t="s">
        <v>116</v>
      </c>
      <c r="G541" s="21" t="s">
        <v>197</v>
      </c>
      <c r="H541" s="21" t="str">
        <f t="shared" si="17"/>
        <v>BUDGAM</v>
      </c>
      <c r="I541" s="21" t="s">
        <v>9306</v>
      </c>
      <c r="J541" s="22">
        <v>46095</v>
      </c>
      <c r="K541" s="21">
        <v>8825070162</v>
      </c>
      <c r="L541" s="21" t="s">
        <v>68</v>
      </c>
      <c r="M541" s="23" t="s">
        <v>7943</v>
      </c>
      <c r="N541" s="22">
        <v>46095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9299</v>
      </c>
      <c r="C542" s="21" t="s">
        <v>9300</v>
      </c>
      <c r="D542" s="21" t="s">
        <v>9301</v>
      </c>
      <c r="E542" s="21" t="s">
        <v>9302</v>
      </c>
      <c r="F542" s="21" t="s">
        <v>65</v>
      </c>
      <c r="G542" s="21" t="s">
        <v>196</v>
      </c>
      <c r="H542" s="21" t="str">
        <f t="shared" si="17"/>
        <v>SRINAGAR</v>
      </c>
      <c r="I542" s="21" t="s">
        <v>9305</v>
      </c>
      <c r="J542" s="22">
        <v>46095</v>
      </c>
      <c r="K542" s="21">
        <v>7051413490</v>
      </c>
      <c r="L542" s="21" t="s">
        <v>18</v>
      </c>
      <c r="M542" s="23" t="s">
        <v>7604</v>
      </c>
      <c r="N542" s="22">
        <v>46097</v>
      </c>
      <c r="O542" s="21" t="s">
        <v>23</v>
      </c>
      <c r="P542" s="24">
        <v>46095</v>
      </c>
      <c r="Q542" s="21" t="s">
        <v>6454</v>
      </c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77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9688</v>
      </c>
      <c r="C601" s="21" t="s">
        <v>9689</v>
      </c>
      <c r="D601" s="21" t="s">
        <v>9690</v>
      </c>
      <c r="E601" s="21" t="s">
        <v>9691</v>
      </c>
      <c r="F601" s="21" t="s">
        <v>31</v>
      </c>
      <c r="G601" s="21" t="s">
        <v>172</v>
      </c>
      <c r="H601" s="21" t="str">
        <f t="shared" si="19"/>
        <v>PULWAMA</v>
      </c>
      <c r="I601" s="21" t="s">
        <v>9730</v>
      </c>
      <c r="J601" s="22">
        <v>46112</v>
      </c>
      <c r="K601" s="21">
        <v>7780858453</v>
      </c>
      <c r="L601" s="21" t="s">
        <v>9902</v>
      </c>
      <c r="M601" s="21" t="s">
        <v>7705</v>
      </c>
      <c r="N601" s="22">
        <v>46139</v>
      </c>
      <c r="O601" s="21" t="s">
        <v>23</v>
      </c>
      <c r="P601" s="24">
        <v>46139</v>
      </c>
      <c r="Q601" s="21" t="s">
        <v>6454</v>
      </c>
      <c r="R601" s="21"/>
    </row>
    <row r="602" spans="1:18" x14ac:dyDescent="0.25">
      <c r="A602" s="21">
        <f t="shared" si="18"/>
        <v>601</v>
      </c>
      <c r="B602" s="21" t="s">
        <v>9714</v>
      </c>
      <c r="C602" s="21" t="s">
        <v>9715</v>
      </c>
      <c r="D602" s="21" t="s">
        <v>9716</v>
      </c>
      <c r="E602" s="21" t="s">
        <v>9717</v>
      </c>
      <c r="F602" s="21" t="s">
        <v>6415</v>
      </c>
      <c r="G602" s="21" t="s">
        <v>197</v>
      </c>
      <c r="H602" s="21" t="str">
        <f t="shared" si="19"/>
        <v>SHOPIAN</v>
      </c>
      <c r="I602" s="21" t="s">
        <v>9731</v>
      </c>
      <c r="J602" s="22">
        <v>46112</v>
      </c>
      <c r="K602" s="21">
        <v>7051049912</v>
      </c>
      <c r="L602" s="21" t="s">
        <v>6515</v>
      </c>
      <c r="M602" s="21" t="s">
        <v>7705</v>
      </c>
      <c r="N602" s="22">
        <v>46128</v>
      </c>
      <c r="O602" s="21"/>
      <c r="P602" s="24"/>
      <c r="Q602" s="21"/>
      <c r="R602" s="21"/>
    </row>
    <row r="603" spans="1:18" x14ac:dyDescent="0.25">
      <c r="A603" s="21">
        <f t="shared" si="18"/>
        <v>602</v>
      </c>
      <c r="B603" s="21" t="s">
        <v>9684</v>
      </c>
      <c r="C603" s="21" t="s">
        <v>9685</v>
      </c>
      <c r="D603" s="21" t="s">
        <v>9686</v>
      </c>
      <c r="E603" s="21" t="s">
        <v>9687</v>
      </c>
      <c r="F603" s="21" t="s">
        <v>36</v>
      </c>
      <c r="G603" s="21" t="s">
        <v>196</v>
      </c>
      <c r="H603" s="21" t="str">
        <f t="shared" si="19"/>
        <v>PULWAMA</v>
      </c>
      <c r="I603" s="21" t="s">
        <v>9729</v>
      </c>
      <c r="J603" s="22">
        <v>46112</v>
      </c>
      <c r="K603" s="21">
        <v>6006032793</v>
      </c>
      <c r="L603" s="21" t="s">
        <v>9902</v>
      </c>
      <c r="M603" s="23" t="s">
        <v>7662</v>
      </c>
      <c r="N603" s="22">
        <v>46121</v>
      </c>
      <c r="O603" s="21"/>
      <c r="P603" s="24"/>
      <c r="Q603" s="21"/>
      <c r="R603" s="21"/>
    </row>
    <row r="604" spans="1:18" x14ac:dyDescent="0.25">
      <c r="A604" s="21">
        <f t="shared" si="18"/>
        <v>603</v>
      </c>
      <c r="B604" s="21" t="s">
        <v>9692</v>
      </c>
      <c r="C604" s="21" t="s">
        <v>9693</v>
      </c>
      <c r="D604" s="21" t="s">
        <v>9694</v>
      </c>
      <c r="E604" s="21" t="s">
        <v>9695</v>
      </c>
      <c r="F604" s="21" t="s">
        <v>482</v>
      </c>
      <c r="G604" s="21" t="s">
        <v>197</v>
      </c>
      <c r="H604" s="21" t="str">
        <f t="shared" si="19"/>
        <v>SRINAGAR</v>
      </c>
      <c r="I604" s="21" t="s">
        <v>9725</v>
      </c>
      <c r="J604" s="22">
        <v>46112</v>
      </c>
      <c r="K604" s="21">
        <v>9419571210</v>
      </c>
      <c r="L604" s="21" t="s">
        <v>1122</v>
      </c>
      <c r="M604" s="23"/>
      <c r="N604" s="22"/>
      <c r="O604" s="21" t="s">
        <v>23</v>
      </c>
      <c r="P604" s="24">
        <v>46113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9701</v>
      </c>
      <c r="C605" s="21" t="s">
        <v>9697</v>
      </c>
      <c r="D605" s="21" t="s">
        <v>9698</v>
      </c>
      <c r="E605" s="21" t="s">
        <v>9700</v>
      </c>
      <c r="F605" s="21" t="s">
        <v>9699</v>
      </c>
      <c r="G605" s="21" t="s">
        <v>196</v>
      </c>
      <c r="H605" s="21" t="str">
        <f t="shared" si="19"/>
        <v>SRINAGAR</v>
      </c>
      <c r="I605" s="21" t="s">
        <v>9726</v>
      </c>
      <c r="J605" s="22">
        <v>46112</v>
      </c>
      <c r="K605" s="21">
        <v>7006317414</v>
      </c>
      <c r="L605" s="21" t="s">
        <v>163</v>
      </c>
      <c r="M605" s="23" t="s">
        <v>9851</v>
      </c>
      <c r="N605" s="22">
        <v>46120</v>
      </c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9703</v>
      </c>
      <c r="C606" s="21" t="s">
        <v>9704</v>
      </c>
      <c r="D606" s="21" t="s">
        <v>9705</v>
      </c>
      <c r="E606" s="21" t="s">
        <v>9706</v>
      </c>
      <c r="F606" s="21" t="s">
        <v>65</v>
      </c>
      <c r="G606" s="21" t="s">
        <v>196</v>
      </c>
      <c r="H606" s="21" t="str">
        <f t="shared" si="19"/>
        <v>SRINAGAR</v>
      </c>
      <c r="I606" s="21" t="s">
        <v>9724</v>
      </c>
      <c r="J606" s="22">
        <v>46112</v>
      </c>
      <c r="K606" s="21">
        <v>7006446177</v>
      </c>
      <c r="L606" s="21" t="s">
        <v>1513</v>
      </c>
      <c r="M606" s="23" t="s">
        <v>9032</v>
      </c>
      <c r="N606" s="22">
        <v>46114</v>
      </c>
      <c r="O606" s="21" t="s">
        <v>23</v>
      </c>
      <c r="P606" s="24">
        <v>46114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9709</v>
      </c>
      <c r="C607" s="21" t="s">
        <v>9711</v>
      </c>
      <c r="D607" s="21" t="s">
        <v>9712</v>
      </c>
      <c r="E607" s="21" t="s">
        <v>9710</v>
      </c>
      <c r="F607" s="21" t="s">
        <v>98</v>
      </c>
      <c r="G607" s="21" t="s">
        <v>197</v>
      </c>
      <c r="H607" s="21" t="str">
        <f t="shared" si="19"/>
        <v>BUDGAM</v>
      </c>
      <c r="I607" s="21" t="s">
        <v>9728</v>
      </c>
      <c r="J607" s="22">
        <v>46112</v>
      </c>
      <c r="K607" s="21">
        <v>9797429247</v>
      </c>
      <c r="L607" s="21" t="s">
        <v>9713</v>
      </c>
      <c r="M607" s="23"/>
      <c r="N607" s="22"/>
      <c r="O607" s="21" t="s">
        <v>23</v>
      </c>
      <c r="P607" s="24">
        <v>46113</v>
      </c>
      <c r="Q607" s="21" t="s">
        <v>6454</v>
      </c>
      <c r="R607" s="21"/>
    </row>
    <row r="608" spans="1:18" x14ac:dyDescent="0.25">
      <c r="A608" s="21">
        <f t="shared" si="18"/>
        <v>607</v>
      </c>
      <c r="B608" s="21" t="s">
        <v>9734</v>
      </c>
      <c r="C608" s="21" t="s">
        <v>9732</v>
      </c>
      <c r="D608" s="21" t="s">
        <v>9733</v>
      </c>
      <c r="E608" s="21" t="s">
        <v>9722</v>
      </c>
      <c r="F608" s="21" t="s">
        <v>31</v>
      </c>
      <c r="G608" s="21" t="s">
        <v>172</v>
      </c>
      <c r="H608" s="21" t="str">
        <f t="shared" si="19"/>
        <v>SRINAGAR</v>
      </c>
      <c r="I608" s="21" t="s">
        <v>9723</v>
      </c>
      <c r="J608" s="22">
        <v>46112</v>
      </c>
      <c r="K608" s="21">
        <v>7006759393</v>
      </c>
      <c r="L608" s="21" t="s">
        <v>191</v>
      </c>
      <c r="M608" s="23" t="s">
        <v>8215</v>
      </c>
      <c r="N608" s="22">
        <v>46114</v>
      </c>
      <c r="O608" s="21" t="s">
        <v>23</v>
      </c>
      <c r="P608" s="24">
        <v>46113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9718</v>
      </c>
      <c r="C609" s="21" t="s">
        <v>9719</v>
      </c>
      <c r="D609" s="21" t="s">
        <v>9720</v>
      </c>
      <c r="E609" s="21" t="s">
        <v>9721</v>
      </c>
      <c r="F609" s="21" t="s">
        <v>36</v>
      </c>
      <c r="G609" s="21" t="s">
        <v>197</v>
      </c>
      <c r="H609" s="21" t="str">
        <f t="shared" si="19"/>
        <v>SRINAGAR</v>
      </c>
      <c r="I609" s="21" t="s">
        <v>9727</v>
      </c>
      <c r="J609" s="22">
        <v>46112</v>
      </c>
      <c r="K609" s="21">
        <v>7006387624</v>
      </c>
      <c r="L609" s="21" t="s">
        <v>9902</v>
      </c>
      <c r="M609" s="23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9738</v>
      </c>
      <c r="C610" s="21" t="s">
        <v>9735</v>
      </c>
      <c r="D610" s="21" t="s">
        <v>9736</v>
      </c>
      <c r="E610" s="21" t="s">
        <v>9737</v>
      </c>
      <c r="F610" s="21" t="s">
        <v>1682</v>
      </c>
      <c r="G610" s="21" t="s">
        <v>196</v>
      </c>
      <c r="H610" s="21" t="str">
        <f t="shared" si="19"/>
        <v>SRINAGAR</v>
      </c>
      <c r="I610" s="21" t="s">
        <v>9743</v>
      </c>
      <c r="J610" s="22">
        <v>46113</v>
      </c>
      <c r="K610" s="21">
        <v>7006675147</v>
      </c>
      <c r="L610" s="21" t="s">
        <v>104</v>
      </c>
      <c r="M610" s="23"/>
      <c r="N610" s="22"/>
      <c r="O610" s="21" t="s">
        <v>23</v>
      </c>
      <c r="P610" s="24">
        <v>46113</v>
      </c>
      <c r="Q610" s="21" t="s">
        <v>6454</v>
      </c>
      <c r="R610" s="21"/>
    </row>
    <row r="611" spans="1:18" x14ac:dyDescent="0.25">
      <c r="A611" s="21">
        <f t="shared" si="18"/>
        <v>610</v>
      </c>
      <c r="B611" s="21" t="s">
        <v>9739</v>
      </c>
      <c r="C611" s="21" t="s">
        <v>9740</v>
      </c>
      <c r="D611" s="21" t="s">
        <v>9741</v>
      </c>
      <c r="E611" s="21" t="s">
        <v>9742</v>
      </c>
      <c r="F611" s="21" t="s">
        <v>31</v>
      </c>
      <c r="G611" s="21" t="s">
        <v>218</v>
      </c>
      <c r="H611" s="21" t="str">
        <f t="shared" si="19"/>
        <v>BUDGAM</v>
      </c>
      <c r="I611" s="21" t="s">
        <v>9744</v>
      </c>
      <c r="J611" s="22">
        <v>46113</v>
      </c>
      <c r="K611" s="21">
        <v>7006313164</v>
      </c>
      <c r="L611" s="21" t="s">
        <v>26</v>
      </c>
      <c r="M611" s="23" t="s">
        <v>9906</v>
      </c>
      <c r="N611" s="22">
        <v>46122</v>
      </c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9750</v>
      </c>
      <c r="C612" s="21" t="s">
        <v>9751</v>
      </c>
      <c r="D612" s="21" t="s">
        <v>9753</v>
      </c>
      <c r="E612" s="21" t="s">
        <v>9752</v>
      </c>
      <c r="F612" s="21" t="s">
        <v>3126</v>
      </c>
      <c r="G612" s="21" t="s">
        <v>6469</v>
      </c>
      <c r="H612" s="21" t="str">
        <f t="shared" si="19"/>
        <v>BUDGAM</v>
      </c>
      <c r="I612" s="21" t="s">
        <v>9759</v>
      </c>
      <c r="J612" s="22">
        <v>46113</v>
      </c>
      <c r="K612" s="21">
        <v>7006248705</v>
      </c>
      <c r="L612" s="21" t="s">
        <v>68</v>
      </c>
      <c r="M612" s="23" t="s">
        <v>7943</v>
      </c>
      <c r="N612" s="22">
        <v>46116</v>
      </c>
      <c r="O612" s="21" t="s">
        <v>23</v>
      </c>
      <c r="P612" s="24">
        <v>46114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9765</v>
      </c>
      <c r="C613" s="21" t="s">
        <v>9762</v>
      </c>
      <c r="D613" s="21" t="s">
        <v>9763</v>
      </c>
      <c r="E613" s="21" t="s">
        <v>9764</v>
      </c>
      <c r="F613" s="21" t="s">
        <v>116</v>
      </c>
      <c r="G613" s="21" t="s">
        <v>172</v>
      </c>
      <c r="H613" s="21" t="str">
        <f t="shared" si="19"/>
        <v>SRINAGAR</v>
      </c>
      <c r="I613" s="21" t="s">
        <v>9779</v>
      </c>
      <c r="J613" s="22">
        <v>46115</v>
      </c>
      <c r="K613" s="21">
        <v>9596989763</v>
      </c>
      <c r="L613" s="21" t="s">
        <v>3509</v>
      </c>
      <c r="M613" s="23" t="s">
        <v>7607</v>
      </c>
      <c r="N613" s="22">
        <v>46140</v>
      </c>
      <c r="O613" s="21" t="s">
        <v>23</v>
      </c>
      <c r="P613" s="24">
        <v>46123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9770</v>
      </c>
      <c r="C614" s="21" t="s">
        <v>9771</v>
      </c>
      <c r="D614" s="21" t="s">
        <v>9772</v>
      </c>
      <c r="E614" s="21" t="s">
        <v>9773</v>
      </c>
      <c r="F614" s="21" t="s">
        <v>122</v>
      </c>
      <c r="G614" s="21" t="s">
        <v>197</v>
      </c>
      <c r="H614" s="21" t="str">
        <f t="shared" si="19"/>
        <v>SRINAGAR</v>
      </c>
      <c r="I614" s="21" t="s">
        <v>9774</v>
      </c>
      <c r="J614" s="22">
        <v>46115</v>
      </c>
      <c r="K614" s="21">
        <v>9906605500</v>
      </c>
      <c r="L614" s="21" t="s">
        <v>59</v>
      </c>
      <c r="M614" s="23" t="s">
        <v>7607</v>
      </c>
      <c r="N614" s="22">
        <v>46118</v>
      </c>
      <c r="O614" s="21" t="s">
        <v>23</v>
      </c>
      <c r="P614" s="24">
        <v>46115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9778</v>
      </c>
      <c r="C615" s="21" t="s">
        <v>9775</v>
      </c>
      <c r="D615" s="21" t="s">
        <v>9776</v>
      </c>
      <c r="E615" s="21" t="s">
        <v>9777</v>
      </c>
      <c r="F615" s="21" t="s">
        <v>31</v>
      </c>
      <c r="G615" s="21" t="s">
        <v>197</v>
      </c>
      <c r="H615" s="21" t="str">
        <f t="shared" si="19"/>
        <v>POONCH</v>
      </c>
      <c r="I615" s="21" t="s">
        <v>9780</v>
      </c>
      <c r="J615" s="22">
        <v>46115</v>
      </c>
      <c r="K615" s="21">
        <v>7006462986</v>
      </c>
      <c r="L615" s="21" t="s">
        <v>192</v>
      </c>
      <c r="M615" s="23" t="s">
        <v>9080</v>
      </c>
      <c r="N615" s="22">
        <v>46130</v>
      </c>
      <c r="O615" s="21" t="s">
        <v>23</v>
      </c>
      <c r="P615" s="24">
        <v>46137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9781</v>
      </c>
      <c r="C616" s="21" t="s">
        <v>9782</v>
      </c>
      <c r="D616" s="21" t="s">
        <v>9783</v>
      </c>
      <c r="E616" s="21" t="s">
        <v>9784</v>
      </c>
      <c r="F616" s="21" t="s">
        <v>65</v>
      </c>
      <c r="G616" s="21" t="s">
        <v>197</v>
      </c>
      <c r="H616" s="21" t="str">
        <f t="shared" si="19"/>
        <v>BARAMULLA</v>
      </c>
      <c r="I616" s="21" t="s">
        <v>9785</v>
      </c>
      <c r="J616" s="22">
        <v>46115</v>
      </c>
      <c r="K616" s="21">
        <v>9622886443</v>
      </c>
      <c r="L616" s="21" t="s">
        <v>26</v>
      </c>
      <c r="M616" s="23" t="s">
        <v>7445</v>
      </c>
      <c r="N616" s="22">
        <v>46121</v>
      </c>
      <c r="O616" s="21" t="s">
        <v>23</v>
      </c>
      <c r="P616" s="24">
        <v>46116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9787</v>
      </c>
      <c r="C617" s="21" t="s">
        <v>9788</v>
      </c>
      <c r="D617" s="21" t="s">
        <v>9789</v>
      </c>
      <c r="E617" s="21" t="s">
        <v>9790</v>
      </c>
      <c r="F617" s="21" t="s">
        <v>122</v>
      </c>
      <c r="G617" s="21" t="s">
        <v>197</v>
      </c>
      <c r="H617" s="21" t="str">
        <f t="shared" si="19"/>
        <v>POONCH</v>
      </c>
      <c r="I617" s="21" t="s">
        <v>9794</v>
      </c>
      <c r="J617" s="22">
        <v>46115</v>
      </c>
      <c r="K617" s="21">
        <v>9596721265</v>
      </c>
      <c r="L617" s="21" t="s">
        <v>192</v>
      </c>
      <c r="M617" s="23" t="s">
        <v>9080</v>
      </c>
      <c r="N617" s="22">
        <v>46130</v>
      </c>
      <c r="O617" s="21"/>
      <c r="P617" s="24"/>
      <c r="Q617" s="21"/>
      <c r="R617" s="21"/>
    </row>
    <row r="618" spans="1:18" x14ac:dyDescent="0.25">
      <c r="A618" s="21">
        <f t="shared" si="18"/>
        <v>617</v>
      </c>
      <c r="B618" s="21" t="s">
        <v>9791</v>
      </c>
      <c r="C618" s="21" t="s">
        <v>9792</v>
      </c>
      <c r="D618" s="21" t="s">
        <v>9793</v>
      </c>
      <c r="E618" s="21" t="s">
        <v>1568</v>
      </c>
      <c r="F618" s="21" t="s">
        <v>5</v>
      </c>
      <c r="G618" s="21" t="s">
        <v>197</v>
      </c>
      <c r="H618" s="21" t="str">
        <f t="shared" si="19"/>
        <v>PULWAMA</v>
      </c>
      <c r="I618" s="21" t="s">
        <v>9795</v>
      </c>
      <c r="J618" s="22">
        <v>46115</v>
      </c>
      <c r="K618" s="21">
        <v>9469030391</v>
      </c>
      <c r="L618" s="21" t="s">
        <v>26</v>
      </c>
      <c r="M618" s="23" t="s">
        <v>7606</v>
      </c>
      <c r="N618" s="22">
        <v>46133</v>
      </c>
      <c r="O618" s="21" t="s">
        <v>23</v>
      </c>
      <c r="P618" s="24">
        <v>46116</v>
      </c>
      <c r="Q618" s="21" t="s">
        <v>6454</v>
      </c>
      <c r="R618" s="21"/>
    </row>
    <row r="619" spans="1:18" x14ac:dyDescent="0.25">
      <c r="A619" s="21">
        <f t="shared" si="18"/>
        <v>618</v>
      </c>
      <c r="B619" s="21" t="s">
        <v>9798</v>
      </c>
      <c r="C619" s="21" t="s">
        <v>9799</v>
      </c>
      <c r="D619" s="21" t="s">
        <v>9800</v>
      </c>
      <c r="E619" s="21" t="s">
        <v>9801</v>
      </c>
      <c r="F619" s="21" t="s">
        <v>31</v>
      </c>
      <c r="G619" s="21" t="s">
        <v>197</v>
      </c>
      <c r="H619" s="21" t="str">
        <f t="shared" si="19"/>
        <v>POONCH</v>
      </c>
      <c r="I619" s="21" t="s">
        <v>9802</v>
      </c>
      <c r="J619" s="22">
        <v>46116</v>
      </c>
      <c r="K619" s="21">
        <v>7006569087</v>
      </c>
      <c r="L619" s="21" t="s">
        <v>192</v>
      </c>
      <c r="M619" s="23" t="s">
        <v>9080</v>
      </c>
      <c r="N619" s="22">
        <v>46130</v>
      </c>
      <c r="O619" s="21" t="s">
        <v>23</v>
      </c>
      <c r="P619" s="24">
        <v>46137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9803</v>
      </c>
      <c r="C620" s="21" t="s">
        <v>9804</v>
      </c>
      <c r="D620" s="21" t="s">
        <v>9805</v>
      </c>
      <c r="E620" s="21" t="s">
        <v>9806</v>
      </c>
      <c r="F620" s="21" t="s">
        <v>116</v>
      </c>
      <c r="G620" s="21" t="s">
        <v>197</v>
      </c>
      <c r="H620" s="21" t="str">
        <f t="shared" si="19"/>
        <v>SRINAGAR</v>
      </c>
      <c r="I620" s="21" t="s">
        <v>9809</v>
      </c>
      <c r="J620" s="22">
        <v>46116</v>
      </c>
      <c r="K620" s="21">
        <v>7889391399</v>
      </c>
      <c r="L620" s="21" t="s">
        <v>480</v>
      </c>
      <c r="M620" s="23"/>
      <c r="N620" s="22"/>
      <c r="O620" s="21" t="s">
        <v>23</v>
      </c>
      <c r="P620" s="24">
        <v>46116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9812</v>
      </c>
      <c r="C621" s="21" t="s">
        <v>9814</v>
      </c>
      <c r="D621" s="21" t="s">
        <v>9815</v>
      </c>
      <c r="E621" s="21" t="s">
        <v>9813</v>
      </c>
      <c r="F621" s="21" t="s">
        <v>277</v>
      </c>
      <c r="G621" s="21" t="s">
        <v>178</v>
      </c>
      <c r="H621" s="21" t="str">
        <f t="shared" si="19"/>
        <v>ANANTNAG</v>
      </c>
      <c r="I621" s="21" t="s">
        <v>9816</v>
      </c>
      <c r="J621" s="22">
        <v>46118</v>
      </c>
      <c r="K621" s="21">
        <v>9682339805</v>
      </c>
      <c r="L621" s="21" t="s">
        <v>26</v>
      </c>
      <c r="M621" s="23" t="s">
        <v>8215</v>
      </c>
      <c r="N621" s="22">
        <v>46121</v>
      </c>
      <c r="O621" s="21" t="s">
        <v>23</v>
      </c>
      <c r="P621" s="24">
        <v>46118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9818</v>
      </c>
      <c r="C622" s="21" t="s">
        <v>9820</v>
      </c>
      <c r="D622" s="21" t="s">
        <v>9823</v>
      </c>
      <c r="E622" s="21" t="s">
        <v>9819</v>
      </c>
      <c r="F622" s="21" t="s">
        <v>31</v>
      </c>
      <c r="G622" s="21" t="s">
        <v>197</v>
      </c>
      <c r="H622" s="21" t="str">
        <f t="shared" si="19"/>
        <v>SRINAGAR</v>
      </c>
      <c r="I622" s="21" t="s">
        <v>9824</v>
      </c>
      <c r="J622" s="22">
        <v>46119</v>
      </c>
      <c r="K622" s="21">
        <v>7889626233</v>
      </c>
      <c r="L622" s="21" t="s">
        <v>303</v>
      </c>
      <c r="M622" s="23" t="s">
        <v>8081</v>
      </c>
      <c r="N622" s="22">
        <v>46119</v>
      </c>
      <c r="O622" s="21" t="s">
        <v>23</v>
      </c>
      <c r="P622" s="24">
        <v>46119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9769</v>
      </c>
      <c r="C623" s="21" t="s">
        <v>9766</v>
      </c>
      <c r="D623" s="21" t="s">
        <v>9767</v>
      </c>
      <c r="E623" s="21" t="s">
        <v>9768</v>
      </c>
      <c r="F623" s="21" t="s">
        <v>5</v>
      </c>
      <c r="G623" s="21" t="s">
        <v>196</v>
      </c>
      <c r="H623" s="21" t="str">
        <f t="shared" si="19"/>
        <v>BHARAT</v>
      </c>
      <c r="I623" s="21" t="s">
        <v>9825</v>
      </c>
      <c r="J623" s="22">
        <v>46119</v>
      </c>
      <c r="K623" s="21">
        <v>9149899595</v>
      </c>
      <c r="L623" s="21" t="s">
        <v>6564</v>
      </c>
      <c r="M623" s="23" t="s">
        <v>10468</v>
      </c>
      <c r="N623" s="22">
        <v>46120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9829</v>
      </c>
      <c r="C624" s="21" t="s">
        <v>9826</v>
      </c>
      <c r="D624" s="21" t="s">
        <v>9827</v>
      </c>
      <c r="E624" s="21" t="s">
        <v>9828</v>
      </c>
      <c r="F624" s="21" t="s">
        <v>116</v>
      </c>
      <c r="G624" s="21" t="s">
        <v>218</v>
      </c>
      <c r="H624" s="21" t="str">
        <f t="shared" si="19"/>
        <v>BUDGAM</v>
      </c>
      <c r="I624" s="21" t="s">
        <v>9830</v>
      </c>
      <c r="J624" s="22">
        <v>46119</v>
      </c>
      <c r="K624" s="21">
        <v>9697398972</v>
      </c>
      <c r="L624" s="21" t="s">
        <v>8857</v>
      </c>
      <c r="M624" s="23" t="s">
        <v>8581</v>
      </c>
      <c r="N624" s="22">
        <v>46121</v>
      </c>
      <c r="O624" s="21" t="s">
        <v>23</v>
      </c>
      <c r="P624" s="24">
        <v>46121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9833</v>
      </c>
      <c r="C625" s="21" t="s">
        <v>9834</v>
      </c>
      <c r="D625" s="21" t="s">
        <v>9835</v>
      </c>
      <c r="E625" s="21" t="s">
        <v>4926</v>
      </c>
      <c r="F625" s="21" t="s">
        <v>122</v>
      </c>
      <c r="G625" s="21" t="s">
        <v>171</v>
      </c>
      <c r="H625" s="21" t="str">
        <f t="shared" si="19"/>
        <v>KULGAM</v>
      </c>
      <c r="I625" s="21" t="s">
        <v>9844</v>
      </c>
      <c r="J625" s="22">
        <v>46120</v>
      </c>
      <c r="K625" s="21">
        <v>8825053411</v>
      </c>
      <c r="L625" s="21" t="s">
        <v>434</v>
      </c>
      <c r="M625" s="23"/>
      <c r="N625" s="22"/>
      <c r="O625" s="21" t="s">
        <v>23</v>
      </c>
      <c r="P625" s="24">
        <v>46120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9836</v>
      </c>
      <c r="C626" s="21" t="s">
        <v>9838</v>
      </c>
      <c r="D626" s="21" t="s">
        <v>9839</v>
      </c>
      <c r="E626" s="21" t="s">
        <v>9837</v>
      </c>
      <c r="F626" s="21" t="s">
        <v>116</v>
      </c>
      <c r="G626" s="21" t="s">
        <v>197</v>
      </c>
      <c r="H626" s="21" t="str">
        <f t="shared" si="19"/>
        <v>SRINAGAR</v>
      </c>
      <c r="I626" s="21" t="s">
        <v>9845</v>
      </c>
      <c r="J626" s="22">
        <v>46120</v>
      </c>
      <c r="K626" s="21">
        <v>7780848903</v>
      </c>
      <c r="L626" s="21" t="s">
        <v>480</v>
      </c>
      <c r="M626" s="23" t="s">
        <v>7763</v>
      </c>
      <c r="N626" s="22">
        <v>46121</v>
      </c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9840</v>
      </c>
      <c r="C627" s="21" t="s">
        <v>9841</v>
      </c>
      <c r="D627" s="21" t="s">
        <v>9842</v>
      </c>
      <c r="E627" s="21" t="s">
        <v>9843</v>
      </c>
      <c r="F627" s="21" t="s">
        <v>116</v>
      </c>
      <c r="G627" s="21" t="s">
        <v>218</v>
      </c>
      <c r="H627" s="21" t="str">
        <f t="shared" si="19"/>
        <v>BARAMULLA</v>
      </c>
      <c r="I627" s="21" t="s">
        <v>9846</v>
      </c>
      <c r="J627" s="22">
        <v>46120</v>
      </c>
      <c r="K627" s="21">
        <v>9541046722</v>
      </c>
      <c r="L627" s="21" t="s">
        <v>104</v>
      </c>
      <c r="M627" s="23" t="s">
        <v>7883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9850</v>
      </c>
      <c r="C628" s="21" t="s">
        <v>9847</v>
      </c>
      <c r="D628" s="21" t="s">
        <v>9848</v>
      </c>
      <c r="E628" s="21" t="s">
        <v>9849</v>
      </c>
      <c r="F628" s="21" t="s">
        <v>12</v>
      </c>
      <c r="G628" s="21" t="s">
        <v>178</v>
      </c>
      <c r="H628" s="21" t="str">
        <f t="shared" si="19"/>
        <v>SRINAGAR</v>
      </c>
      <c r="I628" s="21" t="s">
        <v>9852</v>
      </c>
      <c r="J628" s="22">
        <v>46120</v>
      </c>
      <c r="K628" s="21">
        <v>9622429731</v>
      </c>
      <c r="L628" s="21" t="s">
        <v>303</v>
      </c>
      <c r="M628" s="23" t="s">
        <v>7445</v>
      </c>
      <c r="N628" s="22">
        <v>46122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9854</v>
      </c>
      <c r="C629" s="21" t="s">
        <v>9855</v>
      </c>
      <c r="D629" s="21" t="s">
        <v>9862</v>
      </c>
      <c r="E629" s="21" t="s">
        <v>9856</v>
      </c>
      <c r="F629" s="21" t="s">
        <v>31</v>
      </c>
      <c r="G629" s="21" t="s">
        <v>171</v>
      </c>
      <c r="H629" s="21" t="str">
        <f t="shared" si="19"/>
        <v>SRINAGAR</v>
      </c>
      <c r="I629" s="21" t="s">
        <v>9857</v>
      </c>
      <c r="J629" s="22">
        <v>46120</v>
      </c>
      <c r="K629" s="21">
        <v>7006487784</v>
      </c>
      <c r="L629" s="21" t="s">
        <v>26</v>
      </c>
      <c r="M629" s="23" t="s">
        <v>9907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9858</v>
      </c>
      <c r="C630" s="21" t="s">
        <v>9859</v>
      </c>
      <c r="D630" s="21" t="s">
        <v>9863</v>
      </c>
      <c r="E630" s="21" t="s">
        <v>9860</v>
      </c>
      <c r="F630" s="21" t="s">
        <v>31</v>
      </c>
      <c r="G630" s="21" t="s">
        <v>197</v>
      </c>
      <c r="H630" s="21" t="str">
        <f t="shared" si="19"/>
        <v>BUDGAM</v>
      </c>
      <c r="I630" s="21" t="s">
        <v>9861</v>
      </c>
      <c r="J630" s="22">
        <v>46120</v>
      </c>
      <c r="K630" s="21">
        <v>7006744435</v>
      </c>
      <c r="L630" s="21" t="s">
        <v>26</v>
      </c>
      <c r="M630" s="23" t="s">
        <v>7765</v>
      </c>
      <c r="N630" s="22">
        <v>46130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9876</v>
      </c>
      <c r="C631" s="21" t="s">
        <v>9874</v>
      </c>
      <c r="D631" s="21" t="s">
        <v>9875</v>
      </c>
      <c r="E631" s="21" t="s">
        <v>9873</v>
      </c>
      <c r="F631" s="21" t="s">
        <v>116</v>
      </c>
      <c r="G631" s="21" t="s">
        <v>218</v>
      </c>
      <c r="H631" s="21" t="str">
        <f t="shared" si="19"/>
        <v>PULWAMA</v>
      </c>
      <c r="I631" s="21" t="s">
        <v>9881</v>
      </c>
      <c r="J631" s="22">
        <v>46121</v>
      </c>
      <c r="K631" s="21">
        <v>9906638017</v>
      </c>
      <c r="L631" s="21" t="s">
        <v>6515</v>
      </c>
      <c r="M631" s="21" t="s">
        <v>10069</v>
      </c>
      <c r="N631" s="22">
        <v>46125</v>
      </c>
      <c r="O631" s="21"/>
      <c r="P631" s="24"/>
      <c r="Q631" s="21"/>
      <c r="R631" s="21"/>
    </row>
    <row r="632" spans="1:18" x14ac:dyDescent="0.25">
      <c r="A632" s="21">
        <f t="shared" si="18"/>
        <v>631</v>
      </c>
      <c r="B632" s="21" t="s">
        <v>9883</v>
      </c>
      <c r="C632" s="21" t="s">
        <v>9884</v>
      </c>
      <c r="D632" s="21" t="s">
        <v>9893</v>
      </c>
      <c r="E632" s="21" t="s">
        <v>9885</v>
      </c>
      <c r="F632" s="21" t="s">
        <v>116</v>
      </c>
      <c r="G632" s="21" t="s">
        <v>197</v>
      </c>
      <c r="H632" s="21" t="str">
        <f t="shared" si="19"/>
        <v>PULWAMA</v>
      </c>
      <c r="I632" s="21" t="s">
        <v>9889</v>
      </c>
      <c r="J632" s="22">
        <v>46121</v>
      </c>
      <c r="K632" s="21">
        <v>8082812529</v>
      </c>
      <c r="L632" s="21" t="s">
        <v>6515</v>
      </c>
      <c r="M632" s="21" t="s">
        <v>10069</v>
      </c>
      <c r="N632" s="22">
        <v>46125</v>
      </c>
      <c r="O632" s="21"/>
      <c r="P632" s="24"/>
      <c r="Q632" s="21"/>
      <c r="R632" s="21"/>
    </row>
    <row r="633" spans="1:18" s="37" customFormat="1" x14ac:dyDescent="0.25">
      <c r="A633" s="21">
        <f t="shared" si="18"/>
        <v>632</v>
      </c>
      <c r="B633" s="21" t="s">
        <v>9872</v>
      </c>
      <c r="C633" s="21" t="s">
        <v>9870</v>
      </c>
      <c r="D633" s="21" t="s">
        <v>9871</v>
      </c>
      <c r="E633" s="21" t="s">
        <v>3450</v>
      </c>
      <c r="F633" s="21" t="s">
        <v>31</v>
      </c>
      <c r="G633" s="21" t="s">
        <v>197</v>
      </c>
      <c r="H633" s="21" t="str">
        <f t="shared" si="19"/>
        <v>BUDGAM</v>
      </c>
      <c r="I633" s="21" t="s">
        <v>9882</v>
      </c>
      <c r="J633" s="22">
        <v>46121</v>
      </c>
      <c r="K633" s="21">
        <v>9622744936</v>
      </c>
      <c r="L633" s="21" t="s">
        <v>2168</v>
      </c>
      <c r="M633" s="23" t="s">
        <v>7706</v>
      </c>
      <c r="N633" s="22">
        <v>46121</v>
      </c>
      <c r="O633" s="21" t="s">
        <v>23</v>
      </c>
      <c r="P633" s="24">
        <v>46121</v>
      </c>
      <c r="Q633" s="21" t="s">
        <v>6454</v>
      </c>
      <c r="R633" s="21"/>
    </row>
    <row r="634" spans="1:18" x14ac:dyDescent="0.25">
      <c r="A634" s="21">
        <f t="shared" si="18"/>
        <v>633</v>
      </c>
      <c r="B634" s="21" t="s">
        <v>9877</v>
      </c>
      <c r="C634" s="21" t="s">
        <v>9878</v>
      </c>
      <c r="D634" s="21" t="s">
        <v>9879</v>
      </c>
      <c r="E634" s="21" t="s">
        <v>826</v>
      </c>
      <c r="F634" s="21" t="s">
        <v>65</v>
      </c>
      <c r="G634" s="21" t="s">
        <v>197</v>
      </c>
      <c r="H634" s="21" t="str">
        <f t="shared" si="19"/>
        <v>PULWAMA</v>
      </c>
      <c r="I634" s="21" t="s">
        <v>9880</v>
      </c>
      <c r="J634" s="22">
        <v>46121</v>
      </c>
      <c r="K634" s="21">
        <v>9541285629</v>
      </c>
      <c r="L634" s="21" t="s">
        <v>6446</v>
      </c>
      <c r="M634" s="23"/>
      <c r="N634" s="22"/>
      <c r="O634" s="21"/>
      <c r="P634" s="24"/>
      <c r="Q634" s="21"/>
      <c r="R634" s="21"/>
    </row>
    <row r="635" spans="1:18" s="37" customFormat="1" x14ac:dyDescent="0.25">
      <c r="A635" s="21">
        <f t="shared" si="18"/>
        <v>634</v>
      </c>
      <c r="B635" s="21" t="s">
        <v>9894</v>
      </c>
      <c r="C635" s="21" t="s">
        <v>9896</v>
      </c>
      <c r="D635" s="21" t="s">
        <v>9895</v>
      </c>
      <c r="E635" s="21" t="s">
        <v>4191</v>
      </c>
      <c r="F635" s="21" t="s">
        <v>6415</v>
      </c>
      <c r="G635" s="21" t="s">
        <v>172</v>
      </c>
      <c r="H635" s="21" t="str">
        <f t="shared" si="19"/>
        <v>SRINAGAR</v>
      </c>
      <c r="I635" s="21" t="s">
        <v>9905</v>
      </c>
      <c r="J635" s="22">
        <v>46121</v>
      </c>
      <c r="K635" s="21">
        <v>7006338991</v>
      </c>
      <c r="L635" s="21" t="s">
        <v>2168</v>
      </c>
      <c r="M635" s="23" t="s">
        <v>7607</v>
      </c>
      <c r="N635" s="22">
        <v>46122</v>
      </c>
      <c r="O635" s="21" t="s">
        <v>23</v>
      </c>
      <c r="P635" s="24">
        <v>46122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9897</v>
      </c>
      <c r="C636" s="21" t="s">
        <v>9898</v>
      </c>
      <c r="D636" s="21" t="s">
        <v>9899</v>
      </c>
      <c r="E636" s="21" t="s">
        <v>9900</v>
      </c>
      <c r="F636" s="21" t="s">
        <v>6415</v>
      </c>
      <c r="G636" s="21" t="s">
        <v>171</v>
      </c>
      <c r="H636" s="21" t="str">
        <f t="shared" si="19"/>
        <v>SRINAGAR</v>
      </c>
      <c r="I636" s="21" t="s">
        <v>9904</v>
      </c>
      <c r="J636" s="22">
        <v>46121</v>
      </c>
      <c r="K636" s="21">
        <v>7006088212</v>
      </c>
      <c r="L636" s="21" t="s">
        <v>191</v>
      </c>
      <c r="M636" s="23" t="s">
        <v>10027</v>
      </c>
      <c r="N636" s="22">
        <v>46125</v>
      </c>
      <c r="O636" s="21" t="s">
        <v>23</v>
      </c>
      <c r="P636" s="24">
        <v>46123</v>
      </c>
      <c r="Q636" s="21" t="s">
        <v>6454</v>
      </c>
      <c r="R636" s="21"/>
    </row>
    <row r="637" spans="1:18" x14ac:dyDescent="0.25">
      <c r="A637" s="21">
        <f t="shared" si="18"/>
        <v>636</v>
      </c>
      <c r="B637" s="21" t="s">
        <v>9919</v>
      </c>
      <c r="C637" s="21" t="s">
        <v>9920</v>
      </c>
      <c r="D637" s="21" t="s">
        <v>9921</v>
      </c>
      <c r="E637" s="21" t="s">
        <v>9922</v>
      </c>
      <c r="F637" s="21" t="s">
        <v>12</v>
      </c>
      <c r="G637" s="21" t="s">
        <v>197</v>
      </c>
      <c r="H637" s="21" t="str">
        <f t="shared" si="19"/>
        <v>BUDGAM</v>
      </c>
      <c r="I637" s="21" t="s">
        <v>9926</v>
      </c>
      <c r="J637" s="22">
        <v>46122</v>
      </c>
      <c r="K637" s="21">
        <v>9797737824</v>
      </c>
      <c r="L637" s="21" t="s">
        <v>8591</v>
      </c>
      <c r="M637" s="23" t="s">
        <v>9995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9911</v>
      </c>
      <c r="C638" s="21" t="s">
        <v>9908</v>
      </c>
      <c r="D638" s="21" t="s">
        <v>9909</v>
      </c>
      <c r="E638" s="21" t="s">
        <v>9910</v>
      </c>
      <c r="F638" s="21" t="s">
        <v>6415</v>
      </c>
      <c r="G638" s="21" t="s">
        <v>197</v>
      </c>
      <c r="H638" s="21" t="str">
        <f t="shared" si="19"/>
        <v>BUDGAM</v>
      </c>
      <c r="I638" s="21" t="s">
        <v>9912</v>
      </c>
      <c r="J638" s="22">
        <v>46122</v>
      </c>
      <c r="K638" s="21">
        <v>9149702486</v>
      </c>
      <c r="L638" s="21" t="s">
        <v>7534</v>
      </c>
      <c r="M638" s="23" t="s">
        <v>8081</v>
      </c>
      <c r="N638" s="22">
        <v>46127</v>
      </c>
      <c r="O638" s="21" t="s">
        <v>23</v>
      </c>
      <c r="P638" s="24">
        <v>46122</v>
      </c>
      <c r="Q638" s="21" t="s">
        <v>6454</v>
      </c>
      <c r="R638" s="21"/>
    </row>
    <row r="639" spans="1:18" x14ac:dyDescent="0.25">
      <c r="A639" s="21">
        <f t="shared" si="18"/>
        <v>638</v>
      </c>
      <c r="B639" s="21" t="s">
        <v>9918</v>
      </c>
      <c r="C639" s="21" t="s">
        <v>9914</v>
      </c>
      <c r="D639" s="21" t="s">
        <v>9915</v>
      </c>
      <c r="E639" s="21" t="s">
        <v>9916</v>
      </c>
      <c r="F639" s="21" t="s">
        <v>12</v>
      </c>
      <c r="G639" s="21" t="s">
        <v>178</v>
      </c>
      <c r="H639" s="21" t="str">
        <f t="shared" si="19"/>
        <v>BUDGAM</v>
      </c>
      <c r="I639" s="21" t="s">
        <v>9917</v>
      </c>
      <c r="J639" s="22">
        <v>46122</v>
      </c>
      <c r="K639" s="21">
        <v>9103105509</v>
      </c>
      <c r="L639" s="21" t="s">
        <v>1513</v>
      </c>
      <c r="M639" s="23" t="s">
        <v>9032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ref="A640:A703" si="20">ROW()-1</f>
        <v>639</v>
      </c>
      <c r="B640" s="21" t="s">
        <v>9930</v>
      </c>
      <c r="C640" s="21" t="s">
        <v>9931</v>
      </c>
      <c r="D640" s="21" t="s">
        <v>9932</v>
      </c>
      <c r="E640" s="21" t="s">
        <v>9933</v>
      </c>
      <c r="F640" s="21" t="s">
        <v>65</v>
      </c>
      <c r="G640" s="21" t="s">
        <v>223</v>
      </c>
      <c r="H640" s="21" t="str">
        <f t="shared" si="19"/>
        <v>PULWAMA</v>
      </c>
      <c r="I640" s="21" t="s">
        <v>9935</v>
      </c>
      <c r="J640" s="22">
        <v>46123</v>
      </c>
      <c r="K640" s="21">
        <v>8825056800</v>
      </c>
      <c r="L640" s="21" t="s">
        <v>9934</v>
      </c>
      <c r="M640" s="23" t="s">
        <v>7766</v>
      </c>
      <c r="N640" s="22">
        <v>46142</v>
      </c>
      <c r="O640" s="21" t="s">
        <v>23</v>
      </c>
      <c r="P640" s="24">
        <v>46123</v>
      </c>
      <c r="Q640" s="21" t="s">
        <v>6454</v>
      </c>
      <c r="R640" s="21"/>
    </row>
    <row r="641" spans="1:18" x14ac:dyDescent="0.25">
      <c r="A641" s="21">
        <f t="shared" si="20"/>
        <v>640</v>
      </c>
      <c r="B641" s="21" t="s">
        <v>9936</v>
      </c>
      <c r="C641" s="21" t="s">
        <v>9938</v>
      </c>
      <c r="D641" s="21" t="s">
        <v>9939</v>
      </c>
      <c r="E641" s="21" t="s">
        <v>9937</v>
      </c>
      <c r="F641" s="21" t="s">
        <v>277</v>
      </c>
      <c r="G641" s="21" t="s">
        <v>196</v>
      </c>
      <c r="H641" s="21" t="str">
        <f t="shared" si="19"/>
        <v>KUPWARA</v>
      </c>
      <c r="I641" s="21" t="s">
        <v>9945</v>
      </c>
      <c r="J641" s="22">
        <v>46123</v>
      </c>
      <c r="K641" s="21">
        <v>7051986605</v>
      </c>
      <c r="L641" s="21" t="s">
        <v>18</v>
      </c>
      <c r="M641" s="23" t="s">
        <v>7765</v>
      </c>
      <c r="N641" s="22">
        <v>46123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si="20"/>
        <v>641</v>
      </c>
      <c r="B642" s="21" t="s">
        <v>9940</v>
      </c>
      <c r="C642" s="21" t="s">
        <v>9941</v>
      </c>
      <c r="D642" s="21" t="s">
        <v>9942</v>
      </c>
      <c r="E642" s="21" t="s">
        <v>9943</v>
      </c>
      <c r="F642" s="21" t="s">
        <v>31</v>
      </c>
      <c r="G642" s="21" t="s">
        <v>172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SRINAGAR</v>
      </c>
      <c r="I642" s="21" t="s">
        <v>9944</v>
      </c>
      <c r="J642" s="22">
        <v>46123</v>
      </c>
      <c r="K642" s="21">
        <v>7006765311</v>
      </c>
      <c r="L642" s="21" t="s">
        <v>68</v>
      </c>
      <c r="M642" s="23" t="s">
        <v>8152</v>
      </c>
      <c r="N642" s="22">
        <v>46126</v>
      </c>
      <c r="O642" s="21" t="s">
        <v>23</v>
      </c>
      <c r="P642" s="24">
        <v>46126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9946</v>
      </c>
      <c r="C643" s="21" t="s">
        <v>9947</v>
      </c>
      <c r="D643" s="21" t="s">
        <v>9948</v>
      </c>
      <c r="E643" s="21" t="s">
        <v>9949</v>
      </c>
      <c r="F643" s="21" t="s">
        <v>116</v>
      </c>
      <c r="G643" s="21" t="s">
        <v>172</v>
      </c>
      <c r="H643" s="21" t="str">
        <f t="shared" si="21"/>
        <v>BUDGAM</v>
      </c>
      <c r="I643" s="21" t="s">
        <v>9954</v>
      </c>
      <c r="J643" s="22">
        <v>46123</v>
      </c>
      <c r="K643" s="21">
        <v>7889614481</v>
      </c>
      <c r="L643" s="21" t="s">
        <v>68</v>
      </c>
      <c r="M643" s="23" t="s">
        <v>10615</v>
      </c>
      <c r="N643" s="22">
        <v>46156</v>
      </c>
      <c r="O643" s="21" t="s">
        <v>23</v>
      </c>
      <c r="P643" s="24">
        <v>46123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9950</v>
      </c>
      <c r="C644" s="21" t="s">
        <v>9951</v>
      </c>
      <c r="D644" s="21" t="s">
        <v>9952</v>
      </c>
      <c r="E644" s="21" t="s">
        <v>9953</v>
      </c>
      <c r="F644" s="21" t="s">
        <v>116</v>
      </c>
      <c r="G644" s="21" t="s">
        <v>197</v>
      </c>
      <c r="H644" s="21" t="str">
        <f t="shared" si="21"/>
        <v>SHOPIAN</v>
      </c>
      <c r="I644" s="21" t="s">
        <v>9955</v>
      </c>
      <c r="J644" s="22">
        <v>46123</v>
      </c>
      <c r="K644" s="21">
        <v>9541124924</v>
      </c>
      <c r="L644" s="21" t="s">
        <v>6564</v>
      </c>
      <c r="M644" s="23" t="s">
        <v>8302</v>
      </c>
      <c r="N644" s="22">
        <v>46140</v>
      </c>
      <c r="O644" s="21"/>
      <c r="P644" s="24"/>
      <c r="Q644" s="21"/>
      <c r="R644" s="21"/>
    </row>
    <row r="645" spans="1:18" x14ac:dyDescent="0.25">
      <c r="A645" s="21">
        <f t="shared" si="20"/>
        <v>644</v>
      </c>
      <c r="B645" s="21" t="s">
        <v>9961</v>
      </c>
      <c r="C645" s="21" t="s">
        <v>9962</v>
      </c>
      <c r="D645" s="21" t="s">
        <v>9963</v>
      </c>
      <c r="E645" s="21" t="s">
        <v>9964</v>
      </c>
      <c r="F645" s="21" t="s">
        <v>31</v>
      </c>
      <c r="G645" s="21" t="s">
        <v>196</v>
      </c>
      <c r="H645" s="21" t="str">
        <f t="shared" si="21"/>
        <v>PULWAMA</v>
      </c>
      <c r="I645" s="21" t="s">
        <v>9981</v>
      </c>
      <c r="J645" s="22">
        <v>46125</v>
      </c>
      <c r="K645" s="21">
        <v>9797896325</v>
      </c>
      <c r="L645" s="21" t="s">
        <v>9969</v>
      </c>
      <c r="M645" s="21" t="s">
        <v>7705</v>
      </c>
      <c r="N645" s="22">
        <v>46128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10005</v>
      </c>
      <c r="C652" s="21" t="s">
        <v>10006</v>
      </c>
      <c r="D652" s="21" t="s">
        <v>10012</v>
      </c>
      <c r="E652" s="21" t="s">
        <v>10007</v>
      </c>
      <c r="F652" s="21" t="s">
        <v>116</v>
      </c>
      <c r="G652" s="21" t="s">
        <v>172</v>
      </c>
      <c r="H652" s="21" t="str">
        <f t="shared" si="21"/>
        <v>SRINAGAR</v>
      </c>
      <c r="I652" s="21" t="s">
        <v>10014</v>
      </c>
      <c r="J652" s="22">
        <v>46126</v>
      </c>
      <c r="K652" s="21">
        <v>6005377352</v>
      </c>
      <c r="L652" s="21" t="s">
        <v>2244</v>
      </c>
      <c r="M652" s="23" t="s">
        <v>8152</v>
      </c>
      <c r="N652" s="22">
        <v>46127</v>
      </c>
      <c r="O652" s="21" t="s">
        <v>23</v>
      </c>
      <c r="P652" s="24">
        <v>46127</v>
      </c>
      <c r="Q652" s="21" t="s">
        <v>6454</v>
      </c>
      <c r="R652" s="21"/>
    </row>
    <row r="653" spans="1:18" x14ac:dyDescent="0.25">
      <c r="A653" s="21">
        <f t="shared" si="20"/>
        <v>652</v>
      </c>
      <c r="B653" s="21" t="s">
        <v>10008</v>
      </c>
      <c r="C653" s="21" t="s">
        <v>10009</v>
      </c>
      <c r="D653" s="21" t="s">
        <v>10013</v>
      </c>
      <c r="E653" s="21" t="s">
        <v>10011</v>
      </c>
      <c r="F653" s="21" t="s">
        <v>10010</v>
      </c>
      <c r="G653" s="21" t="s">
        <v>178</v>
      </c>
      <c r="H653" s="21" t="str">
        <f t="shared" si="21"/>
        <v>SRINAGAR</v>
      </c>
      <c r="I653" s="21" t="s">
        <v>10015</v>
      </c>
      <c r="J653" s="22">
        <v>46126</v>
      </c>
      <c r="K653" s="21">
        <v>7006763104</v>
      </c>
      <c r="L653" s="21" t="s">
        <v>303</v>
      </c>
      <c r="M653" s="23" t="s">
        <v>7606</v>
      </c>
      <c r="N653" s="22">
        <v>46129</v>
      </c>
      <c r="O653" s="21"/>
      <c r="P653" s="24"/>
      <c r="Q653" s="21"/>
      <c r="R653" s="21"/>
    </row>
    <row r="654" spans="1:18" x14ac:dyDescent="0.25">
      <c r="A654" s="21">
        <f t="shared" si="20"/>
        <v>653</v>
      </c>
      <c r="B654" s="21" t="s">
        <v>10016</v>
      </c>
      <c r="C654" s="21" t="s">
        <v>10018</v>
      </c>
      <c r="D654" s="21" t="s">
        <v>10019</v>
      </c>
      <c r="E654" s="21" t="s">
        <v>10017</v>
      </c>
      <c r="F654" s="21" t="s">
        <v>234</v>
      </c>
      <c r="G654" s="21" t="s">
        <v>197</v>
      </c>
      <c r="H654" s="21" t="str">
        <f t="shared" si="21"/>
        <v>KARGIL</v>
      </c>
      <c r="I654" s="21" t="s">
        <v>10671</v>
      </c>
      <c r="J654" s="22">
        <v>46126</v>
      </c>
      <c r="K654" s="21">
        <v>8492067254</v>
      </c>
      <c r="L654" s="21" t="s">
        <v>480</v>
      </c>
      <c r="M654" s="23"/>
      <c r="N654" s="22"/>
      <c r="O654" s="21"/>
      <c r="P654" s="24"/>
      <c r="Q654" s="21"/>
      <c r="R654" s="21" t="s">
        <v>10022</v>
      </c>
    </row>
    <row r="655" spans="1:18" x14ac:dyDescent="0.25">
      <c r="A655" s="21">
        <f t="shared" si="20"/>
        <v>654</v>
      </c>
      <c r="B655" s="21" t="s">
        <v>10026</v>
      </c>
      <c r="C655" s="21" t="s">
        <v>10023</v>
      </c>
      <c r="D655" s="21" t="s">
        <v>10024</v>
      </c>
      <c r="E655" s="21" t="s">
        <v>10025</v>
      </c>
      <c r="F655" s="21" t="s">
        <v>12</v>
      </c>
      <c r="G655" s="21" t="s">
        <v>197</v>
      </c>
      <c r="H655" s="21" t="str">
        <f t="shared" si="21"/>
        <v>PULWAMA</v>
      </c>
      <c r="I655" s="21" t="s">
        <v>10032</v>
      </c>
      <c r="J655" s="22">
        <v>46127</v>
      </c>
      <c r="K655" s="21">
        <v>6005336023</v>
      </c>
      <c r="L655" s="21" t="s">
        <v>173</v>
      </c>
      <c r="M655" s="23" t="s">
        <v>10127</v>
      </c>
      <c r="N655" s="22">
        <v>46132</v>
      </c>
      <c r="O655" s="21" t="s">
        <v>23</v>
      </c>
      <c r="P655" s="24">
        <v>46127</v>
      </c>
      <c r="Q655" s="21" t="s">
        <v>6454</v>
      </c>
      <c r="R655" s="21"/>
    </row>
    <row r="656" spans="1:18" x14ac:dyDescent="0.25">
      <c r="A656" s="21">
        <f t="shared" si="20"/>
        <v>655</v>
      </c>
      <c r="B656" s="21" t="s">
        <v>10028</v>
      </c>
      <c r="C656" s="21" t="s">
        <v>10029</v>
      </c>
      <c r="D656" s="21" t="s">
        <v>10031</v>
      </c>
      <c r="E656" s="21" t="s">
        <v>10030</v>
      </c>
      <c r="F656" s="21" t="s">
        <v>5</v>
      </c>
      <c r="G656" s="21" t="s">
        <v>197</v>
      </c>
      <c r="H656" s="21" t="str">
        <f t="shared" si="21"/>
        <v>SRINAGAR</v>
      </c>
      <c r="I656" s="21" t="s">
        <v>10033</v>
      </c>
      <c r="J656" s="22">
        <v>46127</v>
      </c>
      <c r="K656" s="21">
        <v>7780912719</v>
      </c>
      <c r="L656" s="21" t="s">
        <v>191</v>
      </c>
      <c r="M656" s="23" t="s">
        <v>10070</v>
      </c>
      <c r="N656" s="22">
        <v>46128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10034</v>
      </c>
      <c r="C657" s="21" t="s">
        <v>10035</v>
      </c>
      <c r="D657" s="21" t="s">
        <v>10036</v>
      </c>
      <c r="E657" s="21" t="s">
        <v>10037</v>
      </c>
      <c r="F657" s="21" t="s">
        <v>116</v>
      </c>
      <c r="G657" s="21" t="s">
        <v>197</v>
      </c>
      <c r="H657" s="21" t="str">
        <f t="shared" si="21"/>
        <v>BARAMULLA</v>
      </c>
      <c r="I657" s="21" t="s">
        <v>10042</v>
      </c>
      <c r="J657" s="22">
        <v>46127</v>
      </c>
      <c r="K657" s="21">
        <v>6005089007</v>
      </c>
      <c r="L657" s="21" t="s">
        <v>59</v>
      </c>
      <c r="M657" s="23" t="s">
        <v>8581</v>
      </c>
      <c r="N657" s="22">
        <v>46128</v>
      </c>
      <c r="O657" s="21" t="s">
        <v>23</v>
      </c>
      <c r="P657" s="24">
        <v>46128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10038</v>
      </c>
      <c r="C658" s="21" t="s">
        <v>10040</v>
      </c>
      <c r="D658" s="21" t="s">
        <v>10041</v>
      </c>
      <c r="E658" s="21" t="s">
        <v>10039</v>
      </c>
      <c r="F658" s="21" t="s">
        <v>12</v>
      </c>
      <c r="G658" s="21" t="s">
        <v>197</v>
      </c>
      <c r="H658" s="21" t="str">
        <f t="shared" si="21"/>
        <v>PULWAMA</v>
      </c>
      <c r="I658" s="21" t="s">
        <v>10043</v>
      </c>
      <c r="J658" s="22">
        <v>46127</v>
      </c>
      <c r="K658" s="21">
        <v>8660969096</v>
      </c>
      <c r="L658" s="21" t="s">
        <v>10044</v>
      </c>
      <c r="M658" s="23" t="s">
        <v>7606</v>
      </c>
      <c r="N658" s="22">
        <v>46129</v>
      </c>
      <c r="O658" s="21" t="s">
        <v>23</v>
      </c>
      <c r="P658" s="24">
        <v>46127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10045</v>
      </c>
      <c r="C659" s="21" t="s">
        <v>10046</v>
      </c>
      <c r="D659" s="21" t="s">
        <v>10047</v>
      </c>
      <c r="E659" s="21" t="s">
        <v>10048</v>
      </c>
      <c r="F659" s="21" t="s">
        <v>116</v>
      </c>
      <c r="G659" s="21" t="s">
        <v>197</v>
      </c>
      <c r="H659" s="21" t="str">
        <f t="shared" si="21"/>
        <v>SRINAGAR</v>
      </c>
      <c r="I659" s="21" t="s">
        <v>10049</v>
      </c>
      <c r="J659" s="22">
        <v>46127</v>
      </c>
      <c r="K659" s="21">
        <v>9906899687</v>
      </c>
      <c r="L659" s="21" t="s">
        <v>59</v>
      </c>
      <c r="M659" s="23" t="s">
        <v>10066</v>
      </c>
      <c r="N659" s="22">
        <v>46128</v>
      </c>
      <c r="O659" s="21" t="s">
        <v>23</v>
      </c>
      <c r="P659" s="24">
        <v>46128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10054</v>
      </c>
      <c r="C660" s="21" t="s">
        <v>10055</v>
      </c>
      <c r="D660" s="21" t="s">
        <v>10056</v>
      </c>
      <c r="E660" s="21" t="s">
        <v>10057</v>
      </c>
      <c r="F660" s="21" t="s">
        <v>98</v>
      </c>
      <c r="G660" s="21" t="s">
        <v>223</v>
      </c>
      <c r="H660" s="21" t="str">
        <f t="shared" si="21"/>
        <v>PULWAMA</v>
      </c>
      <c r="I660" s="21" t="s">
        <v>10059</v>
      </c>
      <c r="J660" s="22">
        <v>46128</v>
      </c>
      <c r="K660" s="21">
        <v>9906077990</v>
      </c>
      <c r="L660" s="21" t="s">
        <v>10058</v>
      </c>
      <c r="M660" s="23" t="s">
        <v>7705</v>
      </c>
      <c r="N660" s="22">
        <v>46137</v>
      </c>
      <c r="O660" s="21"/>
      <c r="P660" s="24"/>
      <c r="Q660" s="21"/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10071</v>
      </c>
      <c r="C662" s="21" t="s">
        <v>10076</v>
      </c>
      <c r="D662" s="21" t="s">
        <v>10077</v>
      </c>
      <c r="E662" s="21" t="s">
        <v>10078</v>
      </c>
      <c r="F662" s="21" t="s">
        <v>5</v>
      </c>
      <c r="G662" s="21" t="s">
        <v>196</v>
      </c>
      <c r="H662" s="21" t="str">
        <f t="shared" si="21"/>
        <v>BUDGAM</v>
      </c>
      <c r="I662" s="21" t="s">
        <v>10079</v>
      </c>
      <c r="J662" s="22">
        <v>46129</v>
      </c>
      <c r="K662" s="21">
        <v>9149775608</v>
      </c>
      <c r="L662" s="21" t="s">
        <v>173</v>
      </c>
      <c r="M662" s="23" t="s">
        <v>8216</v>
      </c>
      <c r="N662" s="22">
        <v>46130</v>
      </c>
      <c r="O662" s="21" t="s">
        <v>23</v>
      </c>
      <c r="P662" s="24">
        <v>46130</v>
      </c>
      <c r="Q662" s="21" t="s">
        <v>6454</v>
      </c>
      <c r="R662" s="21"/>
    </row>
    <row r="663" spans="1:18" x14ac:dyDescent="0.25">
      <c r="A663" s="21">
        <f t="shared" si="20"/>
        <v>662</v>
      </c>
      <c r="B663" s="21" t="s">
        <v>10072</v>
      </c>
      <c r="C663" s="21" t="s">
        <v>10073</v>
      </c>
      <c r="D663" s="21" t="s">
        <v>10074</v>
      </c>
      <c r="E663" s="21" t="s">
        <v>10075</v>
      </c>
      <c r="F663" s="21" t="s">
        <v>116</v>
      </c>
      <c r="G663" s="21" t="s">
        <v>218</v>
      </c>
      <c r="H663" s="21" t="str">
        <f t="shared" si="21"/>
        <v>SRINAGAR</v>
      </c>
      <c r="I663" s="21" t="s">
        <v>10080</v>
      </c>
      <c r="J663" s="22">
        <v>46129</v>
      </c>
      <c r="K663" s="21">
        <v>9622584881</v>
      </c>
      <c r="L663" s="21" t="s">
        <v>2168</v>
      </c>
      <c r="M663" s="23" t="s">
        <v>7607</v>
      </c>
      <c r="N663" s="22">
        <v>46134</v>
      </c>
      <c r="O663" s="21" t="s">
        <v>23</v>
      </c>
      <c r="P663" s="24">
        <v>46129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10081</v>
      </c>
      <c r="C664" s="21" t="s">
        <v>10082</v>
      </c>
      <c r="D664" s="21" t="s">
        <v>10083</v>
      </c>
      <c r="E664" s="21" t="s">
        <v>10084</v>
      </c>
      <c r="F664" s="21" t="s">
        <v>98</v>
      </c>
      <c r="G664" s="21" t="s">
        <v>197</v>
      </c>
      <c r="H664" s="21" t="str">
        <f t="shared" si="21"/>
        <v>KUPWARA</v>
      </c>
      <c r="I664" s="21" t="s">
        <v>10095</v>
      </c>
      <c r="J664" s="22">
        <v>46129</v>
      </c>
      <c r="K664" s="21">
        <v>9596342716</v>
      </c>
      <c r="L664" s="21" t="s">
        <v>547</v>
      </c>
      <c r="M664" s="23" t="s">
        <v>10236</v>
      </c>
      <c r="N664" s="22">
        <v>46137</v>
      </c>
      <c r="O664" s="21" t="s">
        <v>23</v>
      </c>
      <c r="P664" s="24">
        <v>46130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10086</v>
      </c>
      <c r="C665" s="21" t="s">
        <v>10087</v>
      </c>
      <c r="D665" s="21" t="s">
        <v>10088</v>
      </c>
      <c r="E665" s="21" t="s">
        <v>1955</v>
      </c>
      <c r="F665" s="21" t="s">
        <v>116</v>
      </c>
      <c r="G665" s="21" t="s">
        <v>218</v>
      </c>
      <c r="H665" s="21" t="str">
        <f t="shared" si="21"/>
        <v>SRINAGAR</v>
      </c>
      <c r="I665" s="21" t="s">
        <v>10089</v>
      </c>
      <c r="J665" s="22">
        <v>46129</v>
      </c>
      <c r="K665" s="21">
        <v>9622751468</v>
      </c>
      <c r="L665" s="21" t="s">
        <v>9702</v>
      </c>
      <c r="M665" s="23"/>
      <c r="N665" s="22"/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10090</v>
      </c>
      <c r="C666" s="21" t="s">
        <v>10091</v>
      </c>
      <c r="D666" s="21" t="s">
        <v>10092</v>
      </c>
      <c r="E666" s="21" t="s">
        <v>10093</v>
      </c>
      <c r="F666" s="21" t="s">
        <v>277</v>
      </c>
      <c r="G666" s="21" t="s">
        <v>196</v>
      </c>
      <c r="H666" s="21" t="str">
        <f t="shared" si="21"/>
        <v>SRINAGAR</v>
      </c>
      <c r="I666" s="21" t="s">
        <v>10096</v>
      </c>
      <c r="J666" s="22">
        <v>46129</v>
      </c>
      <c r="K666" s="21">
        <v>9796113131</v>
      </c>
      <c r="L666" s="21" t="s">
        <v>2143</v>
      </c>
      <c r="M666" s="23" t="s">
        <v>10099</v>
      </c>
      <c r="N666" s="22">
        <v>46130</v>
      </c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10100</v>
      </c>
      <c r="C667" s="21" t="s">
        <v>10101</v>
      </c>
      <c r="D667" s="21" t="s">
        <v>10102</v>
      </c>
      <c r="E667" s="21" t="s">
        <v>1509</v>
      </c>
      <c r="F667" s="21" t="s">
        <v>98</v>
      </c>
      <c r="G667" s="21" t="s">
        <v>171</v>
      </c>
      <c r="H667" s="21" t="str">
        <f t="shared" si="21"/>
        <v>SRINAGAR</v>
      </c>
      <c r="I667" s="21" t="s">
        <v>10103</v>
      </c>
      <c r="J667" s="22">
        <v>46130</v>
      </c>
      <c r="K667" s="21">
        <v>7006886071</v>
      </c>
      <c r="L667" s="21" t="s">
        <v>191</v>
      </c>
      <c r="M667" s="23" t="s">
        <v>8625</v>
      </c>
      <c r="N667" s="22">
        <v>46132</v>
      </c>
      <c r="O667" s="21" t="s">
        <v>23</v>
      </c>
      <c r="P667" s="24">
        <v>46132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10110</v>
      </c>
      <c r="C668" s="21" t="s">
        <v>10107</v>
      </c>
      <c r="D668" s="21" t="s">
        <v>10108</v>
      </c>
      <c r="E668" s="21" t="s">
        <v>4191</v>
      </c>
      <c r="F668" s="21" t="s">
        <v>116</v>
      </c>
      <c r="G668" s="21" t="s">
        <v>218</v>
      </c>
      <c r="H668" s="21" t="str">
        <f t="shared" si="21"/>
        <v>SRINAGAR</v>
      </c>
      <c r="I668" s="21" t="s">
        <v>10123</v>
      </c>
      <c r="J668" s="22">
        <v>46132</v>
      </c>
      <c r="K668" s="21">
        <v>7006271292</v>
      </c>
      <c r="L668" s="21" t="s">
        <v>10109</v>
      </c>
      <c r="M668" s="23" t="s">
        <v>10146</v>
      </c>
      <c r="N668" s="22">
        <v>46133</v>
      </c>
      <c r="O668" s="21" t="s">
        <v>23</v>
      </c>
      <c r="P668" s="24">
        <v>46133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10111</v>
      </c>
      <c r="C669" s="21" t="s">
        <v>10112</v>
      </c>
      <c r="D669" s="21" t="s">
        <v>10113</v>
      </c>
      <c r="E669" s="21" t="s">
        <v>10114</v>
      </c>
      <c r="F669" s="21" t="s">
        <v>116</v>
      </c>
      <c r="G669" s="21" t="s">
        <v>172</v>
      </c>
      <c r="H669" s="21" t="str">
        <f t="shared" si="21"/>
        <v>SRINAGAR</v>
      </c>
      <c r="I669" s="21" t="s">
        <v>10124</v>
      </c>
      <c r="J669" s="22">
        <v>46132</v>
      </c>
      <c r="K669" s="21">
        <v>9906727473</v>
      </c>
      <c r="L669" s="21" t="s">
        <v>2168</v>
      </c>
      <c r="M669" s="23" t="s">
        <v>7607</v>
      </c>
      <c r="N669" s="22">
        <v>46134</v>
      </c>
      <c r="O669" s="21"/>
      <c r="P669" s="24"/>
      <c r="Q669" s="21"/>
      <c r="R669" s="21"/>
    </row>
    <row r="670" spans="1:18" x14ac:dyDescent="0.25">
      <c r="A670" s="21">
        <f t="shared" si="20"/>
        <v>669</v>
      </c>
      <c r="B670" s="21" t="s">
        <v>10115</v>
      </c>
      <c r="C670" s="21" t="s">
        <v>10116</v>
      </c>
      <c r="D670" s="21" t="s">
        <v>10122</v>
      </c>
      <c r="E670" s="21" t="s">
        <v>10117</v>
      </c>
      <c r="F670" s="21" t="s">
        <v>116</v>
      </c>
      <c r="G670" s="21" t="s">
        <v>171</v>
      </c>
      <c r="H670" s="21" t="str">
        <f t="shared" si="21"/>
        <v>PULWAMA</v>
      </c>
      <c r="I670" s="21" t="s">
        <v>10125</v>
      </c>
      <c r="J670" s="22">
        <v>46132</v>
      </c>
      <c r="K670" s="21">
        <v>9622557056</v>
      </c>
      <c r="L670" s="21" t="s">
        <v>6515</v>
      </c>
      <c r="M670" s="23" t="s">
        <v>7705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10129</v>
      </c>
      <c r="C672" s="21" t="s">
        <v>10130</v>
      </c>
      <c r="D672" s="21" t="s">
        <v>10141</v>
      </c>
      <c r="E672" s="21" t="s">
        <v>6260</v>
      </c>
      <c r="F672" s="21" t="s">
        <v>36</v>
      </c>
      <c r="G672" s="21" t="s">
        <v>197</v>
      </c>
      <c r="H672" s="21" t="str">
        <f t="shared" si="21"/>
        <v>BUDGAM</v>
      </c>
      <c r="I672" s="21" t="s">
        <v>10131</v>
      </c>
      <c r="J672" s="22">
        <v>46133</v>
      </c>
      <c r="K672" s="21">
        <v>7889822632</v>
      </c>
      <c r="L672" s="22" t="s">
        <v>73</v>
      </c>
      <c r="M672" s="23" t="s">
        <v>7883</v>
      </c>
      <c r="N672" s="22">
        <v>46134</v>
      </c>
      <c r="O672" s="21" t="s">
        <v>23</v>
      </c>
      <c r="P672" s="24">
        <v>46134</v>
      </c>
      <c r="Q672" s="21" t="s">
        <v>6454</v>
      </c>
      <c r="R672" s="21"/>
    </row>
    <row r="673" spans="1:18" x14ac:dyDescent="0.25">
      <c r="A673" s="21">
        <f t="shared" si="20"/>
        <v>672</v>
      </c>
      <c r="B673" s="21" t="s">
        <v>10132</v>
      </c>
      <c r="C673" s="21" t="s">
        <v>10133</v>
      </c>
      <c r="D673" s="21" t="s">
        <v>10139</v>
      </c>
      <c r="E673" s="21" t="s">
        <v>654</v>
      </c>
      <c r="F673" s="21" t="s">
        <v>65</v>
      </c>
      <c r="G673" s="21" t="s">
        <v>223</v>
      </c>
      <c r="H673" s="21" t="str">
        <f t="shared" si="21"/>
        <v>SRINAGAR</v>
      </c>
      <c r="I673" s="21" t="s">
        <v>10134</v>
      </c>
      <c r="J673" s="22">
        <v>46133</v>
      </c>
      <c r="K673" s="21">
        <v>7006769421</v>
      </c>
      <c r="L673" s="21" t="s">
        <v>2143</v>
      </c>
      <c r="M673" s="23"/>
      <c r="N673" s="22"/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10135</v>
      </c>
      <c r="C674" s="21" t="s">
        <v>10136</v>
      </c>
      <c r="D674" s="21" t="s">
        <v>10140</v>
      </c>
      <c r="E674" s="21" t="s">
        <v>10137</v>
      </c>
      <c r="F674" s="21" t="s">
        <v>116</v>
      </c>
      <c r="G674" s="21" t="s">
        <v>197</v>
      </c>
      <c r="H674" s="21" t="str">
        <f t="shared" si="21"/>
        <v>SRINAGAR</v>
      </c>
      <c r="I674" s="21" t="s">
        <v>10138</v>
      </c>
      <c r="J674" s="22">
        <v>46133</v>
      </c>
      <c r="K674" s="21">
        <v>7006967410</v>
      </c>
      <c r="L674" s="21" t="s">
        <v>26</v>
      </c>
      <c r="M674" s="23" t="s">
        <v>7606</v>
      </c>
      <c r="N674" s="22">
        <v>46136</v>
      </c>
      <c r="O674" s="21" t="s">
        <v>23</v>
      </c>
      <c r="P674" s="24">
        <v>46133</v>
      </c>
      <c r="Q674" s="21" t="s">
        <v>8690</v>
      </c>
      <c r="R674" s="21"/>
    </row>
    <row r="675" spans="1:18" x14ac:dyDescent="0.25">
      <c r="A675" s="21">
        <f t="shared" si="20"/>
        <v>674</v>
      </c>
      <c r="B675" s="21" t="s">
        <v>10152</v>
      </c>
      <c r="C675" s="21" t="s">
        <v>10148</v>
      </c>
      <c r="D675" s="21" t="s">
        <v>10149</v>
      </c>
      <c r="E675" s="21" t="s">
        <v>10150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10151</v>
      </c>
      <c r="J675" s="22">
        <v>46134</v>
      </c>
      <c r="K675" s="21">
        <v>9419400079</v>
      </c>
      <c r="L675" s="21" t="s">
        <v>2244</v>
      </c>
      <c r="M675" s="23" t="s">
        <v>8152</v>
      </c>
      <c r="N675" s="22">
        <v>46135</v>
      </c>
      <c r="O675" s="21" t="s">
        <v>23</v>
      </c>
      <c r="P675" s="24">
        <v>46134</v>
      </c>
      <c r="Q675" s="21" t="s">
        <v>6454</v>
      </c>
      <c r="R675" s="21"/>
    </row>
    <row r="676" spans="1:18" x14ac:dyDescent="0.25">
      <c r="A676" s="21">
        <f t="shared" si="20"/>
        <v>675</v>
      </c>
      <c r="B676" s="21" t="s">
        <v>10153</v>
      </c>
      <c r="C676" s="21" t="s">
        <v>10154</v>
      </c>
      <c r="D676" s="21" t="s">
        <v>10155</v>
      </c>
      <c r="E676" s="21" t="s">
        <v>10156</v>
      </c>
      <c r="F676" s="21" t="s">
        <v>116</v>
      </c>
      <c r="G676" s="21" t="s">
        <v>197</v>
      </c>
      <c r="H676" s="21" t="str">
        <f t="shared" si="21"/>
        <v>PULWAMA</v>
      </c>
      <c r="I676" s="21" t="s">
        <v>10157</v>
      </c>
      <c r="J676" s="22">
        <v>46134</v>
      </c>
      <c r="K676" s="21">
        <v>9797996370</v>
      </c>
      <c r="L676" s="21" t="s">
        <v>8591</v>
      </c>
      <c r="M676" s="23" t="s">
        <v>7705</v>
      </c>
      <c r="N676" s="22">
        <v>46135</v>
      </c>
      <c r="O676" s="21" t="s">
        <v>23</v>
      </c>
      <c r="P676" s="24">
        <v>46135</v>
      </c>
      <c r="Q676" s="21" t="s">
        <v>6454</v>
      </c>
      <c r="R676" s="21"/>
    </row>
    <row r="677" spans="1:18" x14ac:dyDescent="0.25">
      <c r="A677" s="21">
        <f t="shared" si="18"/>
        <v>676</v>
      </c>
      <c r="B677" s="21" t="s">
        <v>9682</v>
      </c>
      <c r="C677" s="21" t="s">
        <v>9679</v>
      </c>
      <c r="D677" s="21" t="s">
        <v>9680</v>
      </c>
      <c r="E677" s="21" t="s">
        <v>9681</v>
      </c>
      <c r="F677" s="21" t="s">
        <v>116</v>
      </c>
      <c r="G677" s="21" t="s">
        <v>171</v>
      </c>
      <c r="H677" s="21" t="str">
        <f t="shared" si="21"/>
        <v>BHARAT</v>
      </c>
      <c r="I677" s="21" t="s">
        <v>10158</v>
      </c>
      <c r="J677" s="22">
        <v>46112</v>
      </c>
      <c r="K677" s="21">
        <v>9871157589</v>
      </c>
      <c r="L677" s="21" t="s">
        <v>10163</v>
      </c>
      <c r="M677" s="23" t="s">
        <v>7765</v>
      </c>
      <c r="N677" s="22">
        <v>46136</v>
      </c>
      <c r="O677" s="21"/>
      <c r="P677" s="24"/>
      <c r="Q677" s="21" t="s">
        <v>43</v>
      </c>
      <c r="R677" s="21"/>
    </row>
    <row r="678" spans="1:18" x14ac:dyDescent="0.25">
      <c r="A678" s="21">
        <f t="shared" si="20"/>
        <v>677</v>
      </c>
      <c r="B678" s="21" t="s">
        <v>10159</v>
      </c>
      <c r="C678" s="21" t="s">
        <v>10160</v>
      </c>
      <c r="D678" s="21" t="s">
        <v>10161</v>
      </c>
      <c r="E678" s="21" t="s">
        <v>10162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10170</v>
      </c>
      <c r="J678" s="22">
        <v>46134</v>
      </c>
      <c r="K678" s="21">
        <v>7889536449</v>
      </c>
      <c r="L678" s="21" t="s">
        <v>10163</v>
      </c>
      <c r="M678" s="23" t="s">
        <v>8625</v>
      </c>
      <c r="N678" s="22">
        <v>46134</v>
      </c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10165</v>
      </c>
      <c r="C679" s="21" t="s">
        <v>10166</v>
      </c>
      <c r="D679" s="21" t="s">
        <v>10168</v>
      </c>
      <c r="E679" s="21" t="s">
        <v>10167</v>
      </c>
      <c r="F679" s="21" t="s">
        <v>98</v>
      </c>
      <c r="G679" s="21" t="s">
        <v>197</v>
      </c>
      <c r="H679" s="21" t="str">
        <f t="shared" si="21"/>
        <v>SRINAGAR</v>
      </c>
      <c r="I679" s="21" t="s">
        <v>10169</v>
      </c>
      <c r="J679" s="22">
        <v>46134</v>
      </c>
      <c r="K679" s="21">
        <v>6005669330</v>
      </c>
      <c r="L679" s="21" t="s">
        <v>59</v>
      </c>
      <c r="M679" s="23"/>
      <c r="N679" s="22"/>
      <c r="O679" s="21" t="s">
        <v>23</v>
      </c>
      <c r="P679" s="24">
        <v>46134</v>
      </c>
      <c r="Q679" s="21" t="s">
        <v>6454</v>
      </c>
      <c r="R679" s="21"/>
    </row>
    <row r="680" spans="1:18" x14ac:dyDescent="0.25">
      <c r="A680" s="21">
        <f t="shared" si="20"/>
        <v>679</v>
      </c>
      <c r="B680" s="21" t="s">
        <v>10177</v>
      </c>
      <c r="C680" s="21" t="s">
        <v>10178</v>
      </c>
      <c r="D680" s="21" t="s">
        <v>10179</v>
      </c>
      <c r="E680" s="21" t="s">
        <v>10180</v>
      </c>
      <c r="F680" s="21" t="s">
        <v>98</v>
      </c>
      <c r="G680" s="21" t="s">
        <v>178</v>
      </c>
      <c r="H680" s="21" t="str">
        <f t="shared" si="21"/>
        <v>TEMP</v>
      </c>
      <c r="I680" s="21" t="s">
        <v>10191</v>
      </c>
      <c r="J680" s="22">
        <v>46134</v>
      </c>
      <c r="K680" s="21">
        <v>8492871748</v>
      </c>
      <c r="L680" s="21" t="s">
        <v>14</v>
      </c>
      <c r="M680" s="23"/>
      <c r="N680" s="22"/>
      <c r="O680" s="21"/>
      <c r="P680" s="24"/>
      <c r="Q680" s="21"/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/>
      <c r="P689" s="24"/>
      <c r="Q689" s="21"/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ref="A704:A770" si="22">ROW()-1</f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2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/>
      <c r="N705" s="22"/>
      <c r="O705" s="21"/>
      <c r="P705" s="24"/>
      <c r="Q705" s="21"/>
      <c r="R705" s="21"/>
    </row>
    <row r="706" spans="1:18" x14ac:dyDescent="0.25">
      <c r="A706" s="21">
        <f t="shared" si="22"/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8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10722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10734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10395</v>
      </c>
      <c r="C717" s="21" t="s">
        <v>10396</v>
      </c>
      <c r="D717" s="21" t="s">
        <v>10397</v>
      </c>
      <c r="E717" s="21" t="s">
        <v>808</v>
      </c>
      <c r="F717" s="21" t="s">
        <v>12</v>
      </c>
      <c r="G717" s="21" t="s">
        <v>197</v>
      </c>
      <c r="H717" s="21" t="str">
        <f t="shared" si="23"/>
        <v>BUDGAM</v>
      </c>
      <c r="I717" s="21" t="s">
        <v>10398</v>
      </c>
      <c r="J717" s="22">
        <v>46144</v>
      </c>
      <c r="K717" s="21">
        <v>6005626220</v>
      </c>
      <c r="L717" s="21" t="s">
        <v>2168</v>
      </c>
      <c r="M717" s="23" t="s">
        <v>7706</v>
      </c>
      <c r="N717" s="22">
        <v>46146</v>
      </c>
      <c r="O717" s="21" t="s">
        <v>23</v>
      </c>
      <c r="P717" s="24">
        <v>46144</v>
      </c>
      <c r="Q717" s="21" t="s">
        <v>6454</v>
      </c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/>
      <c r="N718" s="22"/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10403</v>
      </c>
      <c r="C719" s="21" t="s">
        <v>10404</v>
      </c>
      <c r="D719" s="21" t="s">
        <v>10405</v>
      </c>
      <c r="E719" s="21" t="s">
        <v>1955</v>
      </c>
      <c r="F719" s="21" t="s">
        <v>2697</v>
      </c>
      <c r="G719" s="21" t="s">
        <v>171</v>
      </c>
      <c r="H719" s="21" t="str">
        <f t="shared" si="23"/>
        <v>PULWAMA</v>
      </c>
      <c r="I719" s="21" t="s">
        <v>10410</v>
      </c>
      <c r="J719" s="22">
        <v>46144</v>
      </c>
      <c r="K719" s="21">
        <v>7006873615</v>
      </c>
      <c r="L719" s="21" t="s">
        <v>6515</v>
      </c>
      <c r="M719" s="23" t="s">
        <v>7662</v>
      </c>
      <c r="N719" s="22">
        <v>46147</v>
      </c>
      <c r="O719" s="21"/>
      <c r="P719" s="24"/>
      <c r="Q719" s="21"/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/>
      <c r="N730" s="22"/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10495</v>
      </c>
      <c r="C733" s="21" t="s">
        <v>10496</v>
      </c>
      <c r="D733" s="21" t="s">
        <v>10497</v>
      </c>
      <c r="E733" s="21" t="s">
        <v>4508</v>
      </c>
      <c r="F733" s="21" t="s">
        <v>5</v>
      </c>
      <c r="G733" s="21" t="s">
        <v>196</v>
      </c>
      <c r="H733" s="21" t="str">
        <f t="shared" si="23"/>
        <v>SRINAGAR</v>
      </c>
      <c r="I733" s="21" t="s">
        <v>10498</v>
      </c>
      <c r="J733" s="22">
        <v>46149</v>
      </c>
      <c r="K733" s="21">
        <v>9682180757</v>
      </c>
      <c r="L733" s="21" t="s">
        <v>10163</v>
      </c>
      <c r="M733" s="23" t="s">
        <v>10508</v>
      </c>
      <c r="N733" s="22">
        <v>46149</v>
      </c>
      <c r="O733" s="21" t="s">
        <v>23</v>
      </c>
      <c r="P733" s="24">
        <v>46149</v>
      </c>
      <c r="Q733" s="21" t="s">
        <v>6454</v>
      </c>
      <c r="R733" s="21"/>
    </row>
    <row r="734" spans="1:18" x14ac:dyDescent="0.25">
      <c r="A734" s="21">
        <f t="shared" si="22"/>
        <v>733</v>
      </c>
      <c r="B734" s="21" t="s">
        <v>10499</v>
      </c>
      <c r="C734" s="21" t="s">
        <v>10500</v>
      </c>
      <c r="D734" s="21" t="s">
        <v>10501</v>
      </c>
      <c r="E734" s="21" t="s">
        <v>10502</v>
      </c>
      <c r="F734" s="21" t="s">
        <v>12</v>
      </c>
      <c r="G734" s="21" t="s">
        <v>197</v>
      </c>
      <c r="H734" s="21" t="str">
        <f t="shared" si="23"/>
        <v>SHOPIAN</v>
      </c>
      <c r="I734" s="21" t="s">
        <v>10503</v>
      </c>
      <c r="J734" s="22">
        <v>46149</v>
      </c>
      <c r="K734" s="21">
        <v>7006112317</v>
      </c>
      <c r="L734" s="21" t="s">
        <v>6564</v>
      </c>
      <c r="M734" s="23"/>
      <c r="N734" s="22"/>
      <c r="O734" s="21"/>
      <c r="P734" s="24"/>
      <c r="Q734" s="21"/>
      <c r="R734" s="21"/>
    </row>
    <row r="735" spans="1:18" x14ac:dyDescent="0.25">
      <c r="A735" s="21">
        <f t="shared" si="22"/>
        <v>734</v>
      </c>
      <c r="B735" s="21" t="s">
        <v>10509</v>
      </c>
      <c r="C735" s="21" t="s">
        <v>10516</v>
      </c>
      <c r="D735" s="21" t="s">
        <v>10510</v>
      </c>
      <c r="E735" s="21" t="s">
        <v>10511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10522</v>
      </c>
      <c r="J735" s="22">
        <v>46149</v>
      </c>
      <c r="K735" s="21">
        <v>8493884319</v>
      </c>
      <c r="L735" s="21" t="s">
        <v>6515</v>
      </c>
      <c r="M735" s="23"/>
      <c r="N735" s="22"/>
      <c r="O735" s="21"/>
      <c r="P735" s="24"/>
      <c r="Q735" s="21"/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6436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10524</v>
      </c>
      <c r="C738" s="21" t="s">
        <v>10525</v>
      </c>
      <c r="D738" s="21" t="s">
        <v>10526</v>
      </c>
      <c r="E738" s="21" t="s">
        <v>10527</v>
      </c>
      <c r="F738" s="21" t="s">
        <v>12</v>
      </c>
      <c r="G738" s="21" t="s">
        <v>223</v>
      </c>
      <c r="H738" s="21" t="str">
        <f t="shared" si="23"/>
        <v>PULWAMA</v>
      </c>
      <c r="I738" s="21" t="s">
        <v>10548</v>
      </c>
      <c r="J738" s="22">
        <v>46151</v>
      </c>
      <c r="K738" s="21">
        <v>8899923120</v>
      </c>
      <c r="L738" s="21" t="s">
        <v>6506</v>
      </c>
      <c r="M738" s="23"/>
      <c r="N738" s="22"/>
      <c r="O738" s="21" t="s">
        <v>23</v>
      </c>
      <c r="P738" s="24">
        <v>46157</v>
      </c>
      <c r="Q738" s="21" t="s">
        <v>6454</v>
      </c>
      <c r="R738" s="21"/>
    </row>
    <row r="739" spans="1:18" x14ac:dyDescent="0.25">
      <c r="A739" s="21">
        <f t="shared" si="22"/>
        <v>738</v>
      </c>
      <c r="B739" s="21" t="s">
        <v>10542</v>
      </c>
      <c r="C739" s="21" t="s">
        <v>10540</v>
      </c>
      <c r="D739" s="21" t="s">
        <v>10541</v>
      </c>
      <c r="E739" s="21" t="s">
        <v>10529</v>
      </c>
      <c r="F739" s="21" t="s">
        <v>116</v>
      </c>
      <c r="G739" s="21" t="s">
        <v>197</v>
      </c>
      <c r="H739" s="21" t="str">
        <f t="shared" si="23"/>
        <v>SRINAGAR</v>
      </c>
      <c r="I739" s="21" t="s">
        <v>10550</v>
      </c>
      <c r="J739" s="22">
        <v>46151</v>
      </c>
      <c r="K739" s="21">
        <v>6006411019</v>
      </c>
      <c r="L739" s="21" t="s">
        <v>6515</v>
      </c>
      <c r="M739" s="23"/>
      <c r="N739" s="22"/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10539</v>
      </c>
      <c r="C740" s="21" t="s">
        <v>10537</v>
      </c>
      <c r="D740" s="21" t="s">
        <v>10538</v>
      </c>
      <c r="E740" s="21" t="s">
        <v>10530</v>
      </c>
      <c r="F740" s="21" t="s">
        <v>65</v>
      </c>
      <c r="G740" s="21" t="s">
        <v>197</v>
      </c>
      <c r="H740" s="21" t="str">
        <f t="shared" si="23"/>
        <v>BARAMULLA</v>
      </c>
      <c r="I740" s="21" t="s">
        <v>10546</v>
      </c>
      <c r="J740" s="22">
        <v>46151</v>
      </c>
      <c r="K740" s="21">
        <v>7889456974</v>
      </c>
      <c r="L740" s="21" t="s">
        <v>2168</v>
      </c>
      <c r="M740" s="23" t="s">
        <v>7706</v>
      </c>
      <c r="N740" s="22">
        <v>46153</v>
      </c>
      <c r="O740" s="21" t="s">
        <v>23</v>
      </c>
      <c r="P740" s="24">
        <v>46153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10536</v>
      </c>
      <c r="C741" s="21" t="s">
        <v>10534</v>
      </c>
      <c r="D741" s="21" t="s">
        <v>10535</v>
      </c>
      <c r="E741" s="21" t="s">
        <v>10531</v>
      </c>
      <c r="F741" s="21" t="s">
        <v>5</v>
      </c>
      <c r="G741" s="21" t="s">
        <v>196</v>
      </c>
      <c r="H741" s="21" t="str">
        <f t="shared" si="23"/>
        <v>PULWAMA</v>
      </c>
      <c r="I741" s="21" t="s">
        <v>10547</v>
      </c>
      <c r="J741" s="22">
        <v>46151</v>
      </c>
      <c r="K741" s="21">
        <v>6006091335</v>
      </c>
      <c r="L741" s="21" t="s">
        <v>6515</v>
      </c>
      <c r="M741" s="23"/>
      <c r="N741" s="22"/>
      <c r="O741" s="21"/>
      <c r="P741" s="24"/>
      <c r="Q741" s="21"/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10563</v>
      </c>
      <c r="C744" s="21" t="s">
        <v>10560</v>
      </c>
      <c r="D744" s="21" t="s">
        <v>10561</v>
      </c>
      <c r="E744" s="21" t="s">
        <v>10562</v>
      </c>
      <c r="F744" s="21" t="s">
        <v>5</v>
      </c>
      <c r="G744" s="21" t="s">
        <v>196</v>
      </c>
      <c r="H744" s="21" t="str">
        <f t="shared" si="23"/>
        <v>SHOPIAN</v>
      </c>
      <c r="I744" s="21" t="s">
        <v>10578</v>
      </c>
      <c r="J744" s="22">
        <v>46154</v>
      </c>
      <c r="K744" s="21">
        <v>6005768038</v>
      </c>
      <c r="L744" s="21" t="s">
        <v>6446</v>
      </c>
      <c r="M744" s="23"/>
      <c r="N744" s="22"/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10564</v>
      </c>
      <c r="C745" s="21" t="s">
        <v>10565</v>
      </c>
      <c r="D745" s="21" t="s">
        <v>10566</v>
      </c>
      <c r="E745" s="21" t="s">
        <v>10567</v>
      </c>
      <c r="F745" s="21" t="s">
        <v>5</v>
      </c>
      <c r="G745" s="21" t="s">
        <v>196</v>
      </c>
      <c r="H745" s="21" t="str">
        <f t="shared" si="23"/>
        <v>SRINAGAR</v>
      </c>
      <c r="I745" s="21" t="s">
        <v>10573</v>
      </c>
      <c r="J745" s="22">
        <v>46154</v>
      </c>
      <c r="K745" s="21">
        <v>7006263526</v>
      </c>
      <c r="L745" s="21" t="s">
        <v>26</v>
      </c>
      <c r="M745" s="23" t="s">
        <v>7606</v>
      </c>
      <c r="N745" s="22">
        <v>46156</v>
      </c>
      <c r="O745" s="21" t="s">
        <v>23</v>
      </c>
      <c r="P745" s="24">
        <v>46155</v>
      </c>
      <c r="Q745" s="21" t="s">
        <v>6454</v>
      </c>
      <c r="R745" s="21"/>
    </row>
    <row r="746" spans="1:18" x14ac:dyDescent="0.25">
      <c r="A746" s="21">
        <f t="shared" si="22"/>
        <v>745</v>
      </c>
      <c r="B746" s="21" t="s">
        <v>10568</v>
      </c>
      <c r="C746" s="21" t="s">
        <v>10569</v>
      </c>
      <c r="D746" s="21" t="s">
        <v>10570</v>
      </c>
      <c r="E746" s="21" t="s">
        <v>10571</v>
      </c>
      <c r="F746" s="21" t="s">
        <v>5</v>
      </c>
      <c r="G746" s="21" t="s">
        <v>196</v>
      </c>
      <c r="H746" s="21" t="str">
        <f t="shared" si="23"/>
        <v>ANANTNAG</v>
      </c>
      <c r="I746" s="21" t="s">
        <v>10572</v>
      </c>
      <c r="J746" s="22">
        <v>46154</v>
      </c>
      <c r="K746" s="21">
        <v>9149814956</v>
      </c>
      <c r="L746" s="21" t="s">
        <v>2168</v>
      </c>
      <c r="M746" s="23" t="s">
        <v>6436</v>
      </c>
      <c r="N746" s="22">
        <v>46156</v>
      </c>
      <c r="O746" s="21"/>
      <c r="P746" s="24"/>
      <c r="Q746" s="21"/>
      <c r="R746" s="21"/>
    </row>
    <row r="747" spans="1:18" x14ac:dyDescent="0.25">
      <c r="A747" s="21">
        <f t="shared" si="22"/>
        <v>746</v>
      </c>
      <c r="B747" s="21" t="s">
        <v>10574</v>
      </c>
      <c r="C747" s="21" t="s">
        <v>10575</v>
      </c>
      <c r="D747" s="21" t="s">
        <v>10576</v>
      </c>
      <c r="E747" s="21" t="s">
        <v>3539</v>
      </c>
      <c r="F747" s="21" t="s">
        <v>65</v>
      </c>
      <c r="G747" s="21" t="s">
        <v>196</v>
      </c>
      <c r="H747" s="21" t="str">
        <f t="shared" si="23"/>
        <v>PULWAMA</v>
      </c>
      <c r="I747" s="21" t="s">
        <v>10577</v>
      </c>
      <c r="J747" s="22">
        <v>46154</v>
      </c>
      <c r="K747" s="21">
        <v>9906403170</v>
      </c>
      <c r="L747" s="21" t="s">
        <v>6515</v>
      </c>
      <c r="M747" s="23"/>
      <c r="N747" s="22"/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/>
      <c r="N749" s="22"/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10627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/>
      <c r="N751" s="22"/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/>
      <c r="N753" s="22"/>
      <c r="O753" s="21"/>
      <c r="P753" s="24"/>
      <c r="Q753" s="21"/>
      <c r="R753" s="21"/>
    </row>
    <row r="754" spans="1:18" x14ac:dyDescent="0.25">
      <c r="A754" s="21">
        <f t="shared" si="22"/>
        <v>753</v>
      </c>
      <c r="B754" s="21" t="s">
        <v>10616</v>
      </c>
      <c r="C754" s="21" t="s">
        <v>10617</v>
      </c>
      <c r="D754" s="21" t="s">
        <v>10618</v>
      </c>
      <c r="E754" s="21" t="s">
        <v>10619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10624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10620</v>
      </c>
      <c r="C755" s="21" t="s">
        <v>10621</v>
      </c>
      <c r="D755" s="21" t="s">
        <v>10622</v>
      </c>
      <c r="E755" s="21" t="s">
        <v>10623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10625</v>
      </c>
      <c r="J755" s="22">
        <v>46156</v>
      </c>
      <c r="K755" s="21">
        <v>9906441078</v>
      </c>
      <c r="L755" s="21" t="s">
        <v>10672</v>
      </c>
      <c r="M755" s="23"/>
      <c r="N755" s="22"/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10628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10630</v>
      </c>
      <c r="C757" s="21" t="s">
        <v>10631</v>
      </c>
      <c r="D757" s="21" t="s">
        <v>10632</v>
      </c>
      <c r="E757" s="21" t="s">
        <v>10633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10639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10634</v>
      </c>
      <c r="C758" s="21" t="s">
        <v>10636</v>
      </c>
      <c r="D758" s="21" t="s">
        <v>10637</v>
      </c>
      <c r="E758" s="21" t="s">
        <v>10638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10635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10658</v>
      </c>
      <c r="C759" s="21" t="s">
        <v>10641</v>
      </c>
      <c r="D759" s="21" t="s">
        <v>10642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10651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10640</v>
      </c>
      <c r="C760" s="21" t="s">
        <v>10643</v>
      </c>
      <c r="D760" s="21" t="s">
        <v>10644</v>
      </c>
      <c r="E760" s="21" t="s">
        <v>10645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10650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10649</v>
      </c>
      <c r="C761" s="21" t="s">
        <v>10646</v>
      </c>
      <c r="D761" s="21" t="s">
        <v>10647</v>
      </c>
      <c r="E761" s="21" t="s">
        <v>10648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10652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10657</v>
      </c>
      <c r="C762" s="21" t="s">
        <v>10655</v>
      </c>
      <c r="D762" s="21" t="s">
        <v>10656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10661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10662</v>
      </c>
      <c r="C763" s="21" t="s">
        <v>10663</v>
      </c>
      <c r="D763" s="21" t="s">
        <v>10664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10674</v>
      </c>
      <c r="J763" s="22">
        <v>46158</v>
      </c>
      <c r="K763" s="21">
        <v>9797711481</v>
      </c>
      <c r="L763" s="21" t="s">
        <v>6515</v>
      </c>
      <c r="M763" s="23"/>
      <c r="N763" s="22"/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10665</v>
      </c>
      <c r="C764" s="21" t="s">
        <v>10666</v>
      </c>
      <c r="D764" s="21" t="s">
        <v>10667</v>
      </c>
      <c r="E764" s="21" t="s">
        <v>10668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10673</v>
      </c>
      <c r="J764" s="22">
        <v>46158</v>
      </c>
      <c r="K764" s="21">
        <v>9622787355</v>
      </c>
      <c r="L764" s="21" t="s">
        <v>9902</v>
      </c>
      <c r="M764" s="23"/>
      <c r="N764" s="22"/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10685</v>
      </c>
      <c r="C765" s="21" t="s">
        <v>10686</v>
      </c>
      <c r="D765" s="21" t="s">
        <v>10687</v>
      </c>
      <c r="E765" s="21" t="s">
        <v>10688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10689</v>
      </c>
      <c r="J765" s="22">
        <v>46158</v>
      </c>
      <c r="K765" s="21">
        <v>7006975068</v>
      </c>
      <c r="L765" s="21" t="s">
        <v>26</v>
      </c>
      <c r="M765" s="23" t="s">
        <v>6436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10693</v>
      </c>
      <c r="C766" s="21" t="s">
        <v>10691</v>
      </c>
      <c r="D766" s="21" t="s">
        <v>10692</v>
      </c>
      <c r="E766" s="21" t="s">
        <v>10690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10694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ref="A767:A792" si="24">ROW()-1</f>
        <v>766</v>
      </c>
      <c r="B767" s="21" t="s">
        <v>10696</v>
      </c>
      <c r="C767" s="21" t="s">
        <v>10697</v>
      </c>
      <c r="D767" s="21" t="s">
        <v>10698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10699</v>
      </c>
      <c r="J767" s="22">
        <v>46160</v>
      </c>
      <c r="K767" s="21">
        <v>7889482504</v>
      </c>
      <c r="L767" s="21" t="s">
        <v>10243</v>
      </c>
      <c r="M767" s="23"/>
      <c r="N767" s="22"/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4"/>
        <v>767</v>
      </c>
      <c r="B768" s="21" t="s">
        <v>10703</v>
      </c>
      <c r="C768" s="21" t="s">
        <v>10700</v>
      </c>
      <c r="D768" s="21" t="s">
        <v>10701</v>
      </c>
      <c r="E768" s="21" t="s">
        <v>10702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10704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4"/>
        <v>768</v>
      </c>
      <c r="B769" s="21" t="s">
        <v>10708</v>
      </c>
      <c r="C769" s="21" t="s">
        <v>10705</v>
      </c>
      <c r="D769" s="21" t="s">
        <v>10706</v>
      </c>
      <c r="E769" s="21" t="s">
        <v>10707</v>
      </c>
      <c r="F769" s="21" t="s">
        <v>5</v>
      </c>
      <c r="G769" s="21" t="s">
        <v>197</v>
      </c>
      <c r="H769" s="21" t="str">
        <f t="shared" ref="H769" si="25">IF(LEFT(I769,4)="JK13","PULWAMA",IF(LEFT(I769,4)="JK01","SRINAGAR",IF(LEFT(I769,4)="JK04","BUDGAM",IF(LEFT(I769,4)="JK03","ANANTNAG",IF(LEFT(I769,4)="LA01","KARGIL",IF(LEFT(I769,4)="JK05","BARAMULLA",IF(LEFT(I769,4)="26BH","BHARAT",IF(LEFT(I769,4)="25BH","BHARAT",IF(LEFT(I769,4)="JK12","POONCH",IF(LEFT(I769,4)="JK16","GANDERBAL",IF(LEFT(I769,4)="JK18","KULGAM",IF(LEFT(I769,4)="JK22","SHOPIAN",IF(LEFT(I769,4)="JK02","JAMMU",IF(LEFT(I769,4)="JK09","KUPWARA",IF(LEFT(I769,4)="JK15","BANDIPORA",IF(LEFT(I769,4)="JK17","KISHTWAR",IF(LEFT(I769,4)="LA01","KARGIL",IF(LEFT(I769,1)="T","TEMP","NEW"))))))))))))))))))</f>
        <v>ANANTNAG</v>
      </c>
      <c r="I769" s="21" t="s">
        <v>10711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si="22"/>
        <v>769</v>
      </c>
      <c r="B770" s="21" t="s">
        <v>10683</v>
      </c>
      <c r="C770" s="21" t="s">
        <v>10680</v>
      </c>
      <c r="D770" s="21" t="s">
        <v>10681</v>
      </c>
      <c r="E770" s="21" t="s">
        <v>10682</v>
      </c>
      <c r="F770" s="21" t="s">
        <v>12</v>
      </c>
      <c r="G770" s="21" t="s">
        <v>178</v>
      </c>
      <c r="H770" s="21" t="str">
        <f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10721</v>
      </c>
      <c r="J770" s="22">
        <v>46161</v>
      </c>
      <c r="K770" s="21">
        <v>7006036071</v>
      </c>
      <c r="L770" s="21" t="s">
        <v>26</v>
      </c>
      <c r="M770" s="23"/>
      <c r="N770" s="22"/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10737</v>
      </c>
      <c r="C771" s="21" t="s">
        <v>10727</v>
      </c>
      <c r="D771" s="21" t="s">
        <v>10728</v>
      </c>
      <c r="E771" s="21" t="s">
        <v>10735</v>
      </c>
      <c r="F771" s="21" t="s">
        <v>98</v>
      </c>
      <c r="G771" s="21" t="s">
        <v>178</v>
      </c>
      <c r="H771" s="21" t="str">
        <f t="shared" ref="H771:H776" si="26">IF(LEFT(I771,4)="JK13","PULWAMA",IF(LEFT(I771,4)="JK01","SRINAGAR",IF(LEFT(I771,4)="JK04","BUDGAM",IF(LEFT(I771,4)="JK03","ANANTNAG",IF(LEFT(I771,4)="LA01","KARGIL",IF(LEFT(I771,4)="JK05","BARAMULLA",IF(LEFT(I771,4)="26BH","BHARAT",IF(LEFT(I771,4)="25BH","BHARAT",IF(LEFT(I771,4)="JK12","POONCH",IF(LEFT(I771,4)="JK16","GANDERBAL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</f>
        <v>SRINAGAR</v>
      </c>
      <c r="I771" s="21" t="s">
        <v>10729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10738</v>
      </c>
      <c r="C772" s="21" t="s">
        <v>10731</v>
      </c>
      <c r="D772" s="21" t="s">
        <v>10732</v>
      </c>
      <c r="E772" s="21" t="s">
        <v>2956</v>
      </c>
      <c r="F772" s="21" t="s">
        <v>12</v>
      </c>
      <c r="G772" s="21" t="s">
        <v>197</v>
      </c>
      <c r="H772" s="21" t="str">
        <f t="shared" si="26"/>
        <v>SRINAGAR</v>
      </c>
      <c r="I772" s="21" t="s">
        <v>10730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10723</v>
      </c>
      <c r="C773" s="21" t="s">
        <v>10724</v>
      </c>
      <c r="D773" s="21" t="s">
        <v>10726</v>
      </c>
      <c r="E773" s="21" t="s">
        <v>10725</v>
      </c>
      <c r="F773" s="21" t="s">
        <v>5</v>
      </c>
      <c r="G773" s="21" t="s">
        <v>196</v>
      </c>
      <c r="H773" s="21" t="str">
        <f>IF(LEFT(I773,4)="JK13","PULWAMA",IF(LEFT(I773,4)="JK01","SRINAGAR",IF(LEFT(I773,4)="JK04","BUDGAM",IF(LEFT(I773,4)="JK03","ANANTNAG",IF(LEFT(I773,4)="LA01","KARGIL",IF(LEFT(I773,4)="JK05","BARAMULLA",IF(LEFT(I773,4)="26BH","BHARAT",IF(LEFT(I773,4)="25BH","BHARAT",IF(LEFT(I773,4)="JK12","POONCH",IF(LEFT(I773,4)="JK16","GANDERBAL",IF(LEFT(I773,4)="JK18","KULGAM",IF(LEFT(I773,4)="JK22","SHOPIAN",IF(LEFT(I773,4)="JK02","JAMMU",IF(LEFT(I773,4)="JK09","KUPWARA",IF(LEFT(I773,4)="JK15","BANDIPORA",IF(LEFT(I773,4)="JK17","KISHTWAR",IF(LEFT(I773,4)="LA01","KARGIL",IF(LEFT(I773,1)="T","TEMP","NEW"))))))))))))))))))</f>
        <v>BUDGAM</v>
      </c>
      <c r="I773" s="21" t="s">
        <v>10752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10739</v>
      </c>
      <c r="C774" s="21" t="s">
        <v>10741</v>
      </c>
      <c r="D774" s="21" t="s">
        <v>10742</v>
      </c>
      <c r="E774" s="21" t="s">
        <v>10740</v>
      </c>
      <c r="F774" s="21" t="s">
        <v>8401</v>
      </c>
      <c r="G774" s="21" t="s">
        <v>196</v>
      </c>
      <c r="H774" s="21" t="str">
        <f t="shared" si="26"/>
        <v>SRINAGAR</v>
      </c>
      <c r="I774" s="21" t="s">
        <v>10750</v>
      </c>
      <c r="J774" s="22">
        <v>46162</v>
      </c>
      <c r="K774" s="21">
        <v>9906598118</v>
      </c>
      <c r="L774" s="21" t="s">
        <v>59</v>
      </c>
      <c r="M774" s="23"/>
      <c r="N774" s="22"/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10743</v>
      </c>
      <c r="C775" s="21" t="s">
        <v>10744</v>
      </c>
      <c r="D775" s="21" t="s">
        <v>10745</v>
      </c>
      <c r="E775" s="21" t="s">
        <v>1391</v>
      </c>
      <c r="F775" s="21" t="s">
        <v>12</v>
      </c>
      <c r="G775" s="21" t="s">
        <v>197</v>
      </c>
      <c r="H775" s="21" t="str">
        <f t="shared" si="26"/>
        <v>BARAMULLA</v>
      </c>
      <c r="I775" s="21" t="s">
        <v>10751</v>
      </c>
      <c r="J775" s="22">
        <v>46162</v>
      </c>
      <c r="K775" s="21">
        <v>9797279582</v>
      </c>
      <c r="L775" s="21" t="s">
        <v>7240</v>
      </c>
      <c r="M775" s="23"/>
      <c r="N775" s="22"/>
      <c r="O775" s="21"/>
      <c r="P775" s="24"/>
      <c r="Q775" s="21"/>
      <c r="R775" s="21"/>
    </row>
    <row r="776" spans="1:18" x14ac:dyDescent="0.25">
      <c r="A776" s="21">
        <f t="shared" si="24"/>
        <v>775</v>
      </c>
      <c r="B776" s="21" t="s">
        <v>10749</v>
      </c>
      <c r="C776" s="21" t="s">
        <v>10746</v>
      </c>
      <c r="D776" s="21" t="s">
        <v>10747</v>
      </c>
      <c r="E776" s="21" t="s">
        <v>10748</v>
      </c>
      <c r="F776" s="21" t="s">
        <v>31</v>
      </c>
      <c r="G776" s="21" t="s">
        <v>171</v>
      </c>
      <c r="H776" s="21" t="str">
        <f t="shared" si="26"/>
        <v>KUPWARA</v>
      </c>
      <c r="I776" s="21" t="s">
        <v>10753</v>
      </c>
      <c r="J776" s="22">
        <v>46162</v>
      </c>
      <c r="K776" s="21">
        <v>9797984252</v>
      </c>
      <c r="L776" s="21" t="s">
        <v>303</v>
      </c>
      <c r="M776" s="23"/>
      <c r="N776" s="22"/>
      <c r="O776" s="21" t="s">
        <v>23</v>
      </c>
      <c r="P776" s="24">
        <v>46162</v>
      </c>
      <c r="Q776" s="21" t="s">
        <v>6454</v>
      </c>
      <c r="R776" s="21"/>
    </row>
    <row r="777" spans="1:18" x14ac:dyDescent="0.25">
      <c r="A777" s="21">
        <f t="shared" si="24"/>
        <v>776</v>
      </c>
      <c r="B777" s="21" t="s">
        <v>10755</v>
      </c>
      <c r="C777" s="21" t="s">
        <v>10756</v>
      </c>
      <c r="D777" s="21" t="s">
        <v>10758</v>
      </c>
      <c r="E777" s="21" t="s">
        <v>10757</v>
      </c>
      <c r="F777" s="21" t="s">
        <v>5</v>
      </c>
      <c r="G777" s="21" t="s">
        <v>197</v>
      </c>
      <c r="H777" s="54" t="str">
        <f t="shared" ref="H777:H792" si="27">IF(LEFT(I777,4)="JK13","PULWAMA",IF(LEFT(I777,4)="JK01","SRINAGAR",IF(LEFT(I777,4)="JK04","BUDGAM",IF(LEFT(I777,4)="JK03","ANANTNAG",IF(LEFT(I777,4)="LA01","KARGIL",IF(LEFT(I777,4)="JK05","BARAMULLA",IF(LEFT(I777,4)="26BH","BHARAT",IF(LEFT(I777,4)="25BH","BHARAT",IF(LEFT(I777,4)="JK12","POONCH",IF(LEFT(I777,4)="JK16","GANDERBAL",IF(LEFT(I777,4)="JK18","KULGAM",IF(LEFT(I777,4)="JK22","SHOPIAN",IF(LEFT(I777,4)="JK02","JAMMU",IF(LEFT(I777,4)="JK09","KUPWARA",IF(LEFT(I777,4)="JK15","BANDIPORA",IF(LEFT(I777,4)="JK17","KISHTWAR",IF(LEFT(I777,4)="LA01","KARGIL",IF(LEFT(I777,1)="T","TEMP","NEW"))))))))))))))))))</f>
        <v>SRINAGAR</v>
      </c>
      <c r="I777" s="21" t="s">
        <v>10767</v>
      </c>
      <c r="J777" s="55">
        <v>46162</v>
      </c>
      <c r="K777" s="21">
        <v>9622446603</v>
      </c>
      <c r="L777" s="53" t="s">
        <v>73</v>
      </c>
      <c r="M777" s="57"/>
      <c r="N777" s="55"/>
      <c r="O777" s="53"/>
      <c r="P777" s="58"/>
      <c r="Q777" s="53"/>
      <c r="R777" s="53"/>
    </row>
    <row r="778" spans="1:18" x14ac:dyDescent="0.25">
      <c r="A778" s="21">
        <f t="shared" si="24"/>
        <v>777</v>
      </c>
      <c r="B778" s="21" t="s">
        <v>10759</v>
      </c>
      <c r="C778" s="21" t="s">
        <v>10760</v>
      </c>
      <c r="D778" s="21" t="s">
        <v>10761</v>
      </c>
      <c r="E778" s="21" t="s">
        <v>10762</v>
      </c>
      <c r="F778" s="21" t="s">
        <v>277</v>
      </c>
      <c r="G778" s="21" t="s">
        <v>196</v>
      </c>
      <c r="H778" s="54" t="str">
        <f t="shared" si="27"/>
        <v>SRINAGAR</v>
      </c>
      <c r="I778" s="21" t="s">
        <v>10768</v>
      </c>
      <c r="J778" s="55">
        <v>46162</v>
      </c>
      <c r="K778" s="21">
        <v>7889983618</v>
      </c>
      <c r="L778" s="53" t="s">
        <v>303</v>
      </c>
      <c r="M778" s="57"/>
      <c r="N778" s="55"/>
      <c r="O778" s="53"/>
      <c r="P778" s="58"/>
      <c r="Q778" s="53"/>
      <c r="R778" s="53"/>
    </row>
    <row r="779" spans="1:18" x14ac:dyDescent="0.25">
      <c r="A779" s="21">
        <f t="shared" si="24"/>
        <v>778</v>
      </c>
      <c r="B779" s="21" t="s">
        <v>10763</v>
      </c>
      <c r="C779" s="21" t="s">
        <v>10764</v>
      </c>
      <c r="D779" s="21" t="s">
        <v>10765</v>
      </c>
      <c r="E779" s="21" t="s">
        <v>721</v>
      </c>
      <c r="F779" s="21" t="s">
        <v>5</v>
      </c>
      <c r="G779" s="21" t="s">
        <v>196</v>
      </c>
      <c r="H779" s="54" t="str">
        <f t="shared" si="27"/>
        <v>PULWAMA</v>
      </c>
      <c r="I779" s="21" t="s">
        <v>10766</v>
      </c>
      <c r="J779" s="55">
        <v>46162</v>
      </c>
      <c r="K779" s="21">
        <v>9596210841</v>
      </c>
      <c r="L779" s="53" t="s">
        <v>6515</v>
      </c>
      <c r="M779" s="57"/>
      <c r="N779" s="55"/>
      <c r="O779" s="53"/>
      <c r="P779" s="58"/>
      <c r="Q779" s="53"/>
      <c r="R779" s="53"/>
    </row>
    <row r="780" spans="1:18" x14ac:dyDescent="0.25">
      <c r="A780" s="21">
        <f t="shared" si="24"/>
        <v>779</v>
      </c>
      <c r="B780" s="21"/>
      <c r="C780" s="21"/>
      <c r="D780" s="21"/>
      <c r="E780" s="21"/>
      <c r="F780" s="21"/>
      <c r="G780" s="21"/>
      <c r="H780" s="54" t="str">
        <f t="shared" si="27"/>
        <v>NEW</v>
      </c>
      <c r="I780" s="21"/>
      <c r="J780" s="55"/>
      <c r="K780" s="21"/>
      <c r="L780" s="53"/>
      <c r="M780" s="57"/>
      <c r="N780" s="55"/>
      <c r="O780" s="53"/>
      <c r="P780" s="58"/>
      <c r="Q780" s="53"/>
      <c r="R780" s="53"/>
    </row>
    <row r="781" spans="1:18" x14ac:dyDescent="0.25">
      <c r="A781" s="21">
        <f t="shared" si="24"/>
        <v>780</v>
      </c>
      <c r="B781" s="53"/>
      <c r="C781" s="53"/>
      <c r="D781" s="53"/>
      <c r="E781" s="53"/>
      <c r="F781" s="53"/>
      <c r="G781" s="53"/>
      <c r="H781" s="54" t="str">
        <f t="shared" si="27"/>
        <v>NEW</v>
      </c>
      <c r="I781" s="21"/>
      <c r="J781" s="55"/>
      <c r="K781" s="56"/>
      <c r="L781" s="53"/>
      <c r="M781" s="57"/>
      <c r="N781" s="55"/>
      <c r="O781" s="53"/>
      <c r="P781" s="58"/>
      <c r="Q781" s="53"/>
      <c r="R781" s="53"/>
    </row>
    <row r="782" spans="1:18" x14ac:dyDescent="0.25">
      <c r="A782" s="21">
        <f t="shared" si="24"/>
        <v>781</v>
      </c>
      <c r="B782" s="53"/>
      <c r="C782" s="53"/>
      <c r="D782" s="53"/>
      <c r="E782" s="53"/>
      <c r="F782" s="53"/>
      <c r="G782" s="53"/>
      <c r="H782" s="54" t="str">
        <f t="shared" si="27"/>
        <v>NEW</v>
      </c>
      <c r="I782" s="53"/>
      <c r="J782" s="55"/>
      <c r="K782" s="56"/>
      <c r="L782" s="53"/>
      <c r="M782" s="57"/>
      <c r="N782" s="55"/>
      <c r="O782" s="53"/>
      <c r="P782" s="58"/>
      <c r="Q782" s="53"/>
      <c r="R782" s="53"/>
    </row>
    <row r="783" spans="1:18" x14ac:dyDescent="0.25">
      <c r="A783" s="21">
        <f t="shared" si="24"/>
        <v>782</v>
      </c>
      <c r="B783" s="53"/>
      <c r="C783" s="53"/>
      <c r="D783" s="53"/>
      <c r="E783" s="53"/>
      <c r="F783" s="53"/>
      <c r="G783" s="53"/>
      <c r="H783" s="54" t="str">
        <f t="shared" si="27"/>
        <v>NEW</v>
      </c>
      <c r="I783" s="53"/>
      <c r="J783" s="55"/>
      <c r="K783" s="56"/>
      <c r="L783" s="53"/>
      <c r="M783" s="57"/>
      <c r="N783" s="55"/>
      <c r="O783" s="53"/>
      <c r="P783" s="58"/>
      <c r="Q783" s="53"/>
      <c r="R783" s="53"/>
    </row>
    <row r="784" spans="1:18" x14ac:dyDescent="0.25">
      <c r="A784" s="21">
        <f t="shared" si="24"/>
        <v>783</v>
      </c>
      <c r="B784" s="53"/>
      <c r="C784" s="53"/>
      <c r="D784" s="53"/>
      <c r="E784" s="53"/>
      <c r="F784" s="53"/>
      <c r="G784" s="53"/>
      <c r="H784" s="54" t="str">
        <f t="shared" si="27"/>
        <v>NEW</v>
      </c>
      <c r="I784" s="53"/>
      <c r="J784" s="55"/>
      <c r="K784" s="56"/>
      <c r="L784" s="53"/>
      <c r="M784" s="57"/>
      <c r="N784" s="55"/>
      <c r="O784" s="53"/>
      <c r="P784" s="58"/>
      <c r="Q784" s="53"/>
      <c r="R784" s="53"/>
    </row>
    <row r="785" spans="1:18" x14ac:dyDescent="0.25">
      <c r="A785" s="21">
        <f t="shared" si="24"/>
        <v>784</v>
      </c>
      <c r="B785" s="53"/>
      <c r="C785" s="53"/>
      <c r="D785" s="53"/>
      <c r="E785" s="53"/>
      <c r="F785" s="53"/>
      <c r="G785" s="53"/>
      <c r="H785" s="54" t="str">
        <f t="shared" si="27"/>
        <v>NEW</v>
      </c>
      <c r="I785" s="53"/>
      <c r="J785" s="55"/>
      <c r="K785" s="56"/>
      <c r="L785" s="53"/>
      <c r="M785" s="57"/>
      <c r="N785" s="55"/>
      <c r="O785" s="53"/>
      <c r="P785" s="58"/>
      <c r="Q785" s="53"/>
      <c r="R785" s="53"/>
    </row>
    <row r="786" spans="1:18" x14ac:dyDescent="0.25">
      <c r="A786" s="21">
        <f t="shared" si="24"/>
        <v>785</v>
      </c>
      <c r="B786" s="53"/>
      <c r="C786" s="53"/>
      <c r="D786" s="53"/>
      <c r="E786" s="53"/>
      <c r="F786" s="53"/>
      <c r="G786" s="53"/>
      <c r="H786" s="54" t="str">
        <f t="shared" si="27"/>
        <v>NEW</v>
      </c>
      <c r="I786" s="53"/>
      <c r="J786" s="55"/>
      <c r="K786" s="56"/>
      <c r="L786" s="53"/>
      <c r="M786" s="57"/>
      <c r="N786" s="55"/>
      <c r="O786" s="53"/>
      <c r="P786" s="58"/>
      <c r="Q786" s="53"/>
      <c r="R786" s="53"/>
    </row>
    <row r="787" spans="1:18" x14ac:dyDescent="0.25">
      <c r="A787" s="21">
        <f t="shared" si="24"/>
        <v>786</v>
      </c>
      <c r="B787" s="53"/>
      <c r="C787" s="53"/>
      <c r="D787" s="53"/>
      <c r="E787" s="53"/>
      <c r="F787" s="53"/>
      <c r="G787" s="53"/>
      <c r="H787" s="54" t="str">
        <f t="shared" si="27"/>
        <v>NEW</v>
      </c>
      <c r="I787" s="53"/>
      <c r="J787" s="55"/>
      <c r="K787" s="56"/>
      <c r="L787" s="53"/>
      <c r="M787" s="57"/>
      <c r="N787" s="55"/>
      <c r="O787" s="53"/>
      <c r="P787" s="58"/>
      <c r="Q787" s="53"/>
      <c r="R787" s="53"/>
    </row>
    <row r="788" spans="1:18" x14ac:dyDescent="0.25">
      <c r="A788" s="21">
        <f t="shared" si="24"/>
        <v>787</v>
      </c>
      <c r="B788" s="53"/>
      <c r="C788" s="53"/>
      <c r="D788" s="53"/>
      <c r="E788" s="53"/>
      <c r="F788" s="53"/>
      <c r="G788" s="53"/>
      <c r="H788" s="54" t="str">
        <f t="shared" si="27"/>
        <v>NEW</v>
      </c>
      <c r="I788" s="53"/>
      <c r="J788" s="55"/>
      <c r="K788" s="56"/>
      <c r="L788" s="53"/>
      <c r="M788" s="57"/>
      <c r="N788" s="55"/>
      <c r="O788" s="53"/>
      <c r="P788" s="58"/>
      <c r="Q788" s="53"/>
      <c r="R788" s="53"/>
    </row>
    <row r="789" spans="1:18" x14ac:dyDescent="0.25">
      <c r="A789" s="21">
        <f t="shared" si="24"/>
        <v>788</v>
      </c>
      <c r="B789" s="53"/>
      <c r="C789" s="53"/>
      <c r="D789" s="53"/>
      <c r="E789" s="53"/>
      <c r="F789" s="53"/>
      <c r="G789" s="53"/>
      <c r="H789" s="54" t="str">
        <f t="shared" si="27"/>
        <v>NEW</v>
      </c>
      <c r="I789" s="53"/>
      <c r="J789" s="55"/>
      <c r="K789" s="56"/>
      <c r="L789" s="53"/>
      <c r="M789" s="57"/>
      <c r="N789" s="55"/>
      <c r="O789" s="53"/>
      <c r="P789" s="58"/>
      <c r="Q789" s="53"/>
      <c r="R789" s="53"/>
    </row>
    <row r="790" spans="1:18" x14ac:dyDescent="0.25">
      <c r="A790" s="21">
        <f t="shared" si="24"/>
        <v>789</v>
      </c>
      <c r="B790" s="53"/>
      <c r="C790" s="53"/>
      <c r="D790" s="53"/>
      <c r="E790" s="53"/>
      <c r="F790" s="53"/>
      <c r="G790" s="53"/>
      <c r="H790" s="54" t="str">
        <f t="shared" si="27"/>
        <v>NEW</v>
      </c>
      <c r="I790" s="53"/>
      <c r="J790" s="55"/>
      <c r="K790" s="56"/>
      <c r="L790" s="53"/>
      <c r="M790" s="57"/>
      <c r="N790" s="55"/>
      <c r="O790" s="53"/>
      <c r="P790" s="58"/>
      <c r="Q790" s="53"/>
      <c r="R790" s="53"/>
    </row>
    <row r="791" spans="1:18" x14ac:dyDescent="0.25">
      <c r="A791" s="21">
        <f t="shared" si="24"/>
        <v>790</v>
      </c>
      <c r="B791" s="53"/>
      <c r="C791" s="53"/>
      <c r="D791" s="53"/>
      <c r="E791" s="53"/>
      <c r="F791" s="53"/>
      <c r="G791" s="53"/>
      <c r="H791" s="54" t="str">
        <f t="shared" si="27"/>
        <v>NEW</v>
      </c>
      <c r="I791" s="53"/>
      <c r="J791" s="55"/>
      <c r="K791" s="56"/>
      <c r="L791" s="53"/>
      <c r="M791" s="57"/>
      <c r="N791" s="55"/>
      <c r="O791" s="53"/>
      <c r="P791" s="58"/>
      <c r="Q791" s="53"/>
      <c r="R791" s="53"/>
    </row>
    <row r="792" spans="1:18" x14ac:dyDescent="0.25">
      <c r="A792" s="21">
        <f t="shared" si="24"/>
        <v>791</v>
      </c>
      <c r="B792" s="53"/>
      <c r="C792" s="53"/>
      <c r="D792" s="53"/>
      <c r="E792" s="53"/>
      <c r="F792" s="53"/>
      <c r="G792" s="53"/>
      <c r="H792" s="54" t="str">
        <f t="shared" si="27"/>
        <v>NEW</v>
      </c>
      <c r="I792" s="53"/>
      <c r="J792" s="55"/>
      <c r="K792" s="56"/>
      <c r="L792" s="53"/>
      <c r="M792" s="57"/>
      <c r="N792" s="55"/>
      <c r="O792" s="53"/>
      <c r="P792" s="58"/>
      <c r="Q792" s="53"/>
      <c r="R792" s="53"/>
    </row>
    <row r="793" spans="1:18" ht="15.75" x14ac:dyDescent="0.25">
      <c r="A793" s="21"/>
      <c r="B793" s="21"/>
      <c r="C793" s="21"/>
      <c r="D793" s="21"/>
      <c r="E793" s="21"/>
      <c r="F793" s="21"/>
      <c r="G793" s="21"/>
      <c r="H793" s="1"/>
      <c r="I793" s="21"/>
      <c r="J793" s="12"/>
      <c r="K793" s="21"/>
      <c r="L793" s="21"/>
      <c r="M793" t="s">
        <v>43</v>
      </c>
    </row>
    <row r="794" spans="1:18" ht="15.75" x14ac:dyDescent="0.25">
      <c r="A794" s="21"/>
      <c r="B794" s="21"/>
      <c r="C794" s="21"/>
      <c r="D794" s="21"/>
      <c r="E794" s="21"/>
      <c r="F794" s="21"/>
      <c r="G794" s="21"/>
      <c r="H794" s="1"/>
      <c r="I794" s="13"/>
      <c r="K794" s="21"/>
      <c r="L794" s="21"/>
    </row>
    <row r="795" spans="1:18" x14ac:dyDescent="0.25">
      <c r="K795" s="21"/>
    </row>
    <row r="796" spans="1:18" x14ac:dyDescent="0.25">
      <c r="K796" s="21"/>
    </row>
    <row r="797" spans="1:18" x14ac:dyDescent="0.25">
      <c r="K797" s="21"/>
    </row>
    <row r="798" spans="1:18" x14ac:dyDescent="0.25">
      <c r="K798" s="21"/>
    </row>
    <row r="799" spans="1:18" x14ac:dyDescent="0.25">
      <c r="K799" s="21"/>
    </row>
    <row r="800" spans="1:18" x14ac:dyDescent="0.25">
      <c r="K800" s="21"/>
    </row>
    <row r="801" spans="11:11" x14ac:dyDescent="0.25">
      <c r="K801" s="21"/>
    </row>
    <row r="802" spans="11:11" x14ac:dyDescent="0.25">
      <c r="K802" s="21"/>
    </row>
    <row r="803" spans="11:11" x14ac:dyDescent="0.25">
      <c r="K803" s="21"/>
    </row>
    <row r="804" spans="11:11" x14ac:dyDescent="0.25">
      <c r="K804" s="21"/>
    </row>
    <row r="805" spans="11:11" x14ac:dyDescent="0.25">
      <c r="K805" s="21"/>
    </row>
    <row r="806" spans="11:11" x14ac:dyDescent="0.25">
      <c r="K806" s="21"/>
    </row>
    <row r="807" spans="11:11" x14ac:dyDescent="0.25">
      <c r="K807" s="21"/>
    </row>
    <row r="808" spans="11:11" x14ac:dyDescent="0.25">
      <c r="K808" s="21"/>
    </row>
    <row r="809" spans="11:11" x14ac:dyDescent="0.25">
      <c r="K809" s="21"/>
    </row>
    <row r="810" spans="11:11" x14ac:dyDescent="0.25">
      <c r="K810" s="21"/>
    </row>
    <row r="811" spans="11:11" x14ac:dyDescent="0.25">
      <c r="K811" s="21"/>
    </row>
    <row r="812" spans="11:11" x14ac:dyDescent="0.25">
      <c r="K812" s="21"/>
    </row>
    <row r="813" spans="11:11" x14ac:dyDescent="0.25">
      <c r="K813" s="21"/>
    </row>
    <row r="814" spans="11:11" x14ac:dyDescent="0.25">
      <c r="K814" s="21"/>
    </row>
    <row r="815" spans="11:11" x14ac:dyDescent="0.25">
      <c r="K815" s="21"/>
    </row>
    <row r="816" spans="11:11" x14ac:dyDescent="0.25">
      <c r="K816" s="21"/>
    </row>
    <row r="817" spans="11:11" x14ac:dyDescent="0.25">
      <c r="K817" s="21"/>
    </row>
    <row r="818" spans="11:11" x14ac:dyDescent="0.25">
      <c r="K818" s="21"/>
    </row>
    <row r="819" spans="11:11" x14ac:dyDescent="0.25">
      <c r="K819" s="21"/>
    </row>
    <row r="820" spans="11:11" x14ac:dyDescent="0.25">
      <c r="K820" s="21"/>
    </row>
    <row r="821" spans="11:11" x14ac:dyDescent="0.25">
      <c r="K821" s="21"/>
    </row>
    <row r="822" spans="11:11" x14ac:dyDescent="0.25">
      <c r="K822" s="21"/>
    </row>
    <row r="823" spans="11:11" x14ac:dyDescent="0.25">
      <c r="K823" s="21"/>
    </row>
    <row r="824" spans="11:11" x14ac:dyDescent="0.25">
      <c r="K824" s="21"/>
    </row>
    <row r="825" spans="11:11" x14ac:dyDescent="0.25">
      <c r="K825" s="21"/>
    </row>
    <row r="826" spans="11:11" x14ac:dyDescent="0.25">
      <c r="K826" s="21"/>
    </row>
    <row r="827" spans="11:11" x14ac:dyDescent="0.25">
      <c r="K827" s="21"/>
    </row>
    <row r="828" spans="11:11" x14ac:dyDescent="0.25">
      <c r="K828" s="21"/>
    </row>
    <row r="829" spans="11:11" x14ac:dyDescent="0.25">
      <c r="K829" s="21"/>
    </row>
    <row r="830" spans="11:11" x14ac:dyDescent="0.25">
      <c r="K830" s="21"/>
    </row>
    <row r="831" spans="11:11" x14ac:dyDescent="0.25">
      <c r="K831" s="21"/>
    </row>
    <row r="832" spans="11:11" x14ac:dyDescent="0.25">
      <c r="K832" s="21"/>
    </row>
    <row r="833" spans="11:11" x14ac:dyDescent="0.25">
      <c r="K833" s="21"/>
    </row>
    <row r="834" spans="11:11" x14ac:dyDescent="0.25">
      <c r="K834" s="21"/>
    </row>
    <row r="835" spans="11:11" x14ac:dyDescent="0.25">
      <c r="K835" s="21"/>
    </row>
    <row r="836" spans="11:11" x14ac:dyDescent="0.25">
      <c r="K836" s="21"/>
    </row>
    <row r="837" spans="11:11" x14ac:dyDescent="0.25">
      <c r="K837" s="21"/>
    </row>
    <row r="838" spans="11:11" x14ac:dyDescent="0.25">
      <c r="K838" s="21"/>
    </row>
    <row r="839" spans="11:11" x14ac:dyDescent="0.25">
      <c r="K839" s="21"/>
    </row>
    <row r="840" spans="11:11" x14ac:dyDescent="0.25">
      <c r="K840" s="21"/>
    </row>
    <row r="841" spans="11:11" x14ac:dyDescent="0.25">
      <c r="K841" s="21"/>
    </row>
    <row r="842" spans="11:11" x14ac:dyDescent="0.25">
      <c r="K842" s="21"/>
    </row>
    <row r="843" spans="11:11" x14ac:dyDescent="0.25">
      <c r="K843" s="21"/>
    </row>
    <row r="844" spans="11:11" x14ac:dyDescent="0.25">
      <c r="K844" s="21"/>
    </row>
    <row r="845" spans="11:11" x14ac:dyDescent="0.25">
      <c r="K845" s="21"/>
    </row>
    <row r="846" spans="11:11" x14ac:dyDescent="0.25">
      <c r="K846" s="21"/>
    </row>
    <row r="847" spans="11:11" x14ac:dyDescent="0.25">
      <c r="K847" s="21"/>
    </row>
    <row r="848" spans="11:11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ht="15.75" x14ac:dyDescent="0.25">
      <c r="K873" s="12"/>
    </row>
    <row r="874" spans="11:11" ht="15.75" x14ac:dyDescent="0.25">
      <c r="K874" s="12"/>
    </row>
    <row r="875" spans="11:11" ht="15.75" x14ac:dyDescent="0.25">
      <c r="K875" s="12"/>
    </row>
    <row r="876" spans="11:11" ht="15.75" x14ac:dyDescent="0.25">
      <c r="K876" s="12"/>
    </row>
    <row r="877" spans="11:11" ht="15.75" x14ac:dyDescent="0.25">
      <c r="K877" s="12"/>
    </row>
    <row r="878" spans="11:11" ht="15.75" x14ac:dyDescent="0.25">
      <c r="K878" s="12"/>
    </row>
    <row r="879" spans="11:11" ht="15.75" x14ac:dyDescent="0.25">
      <c r="K879" s="12"/>
    </row>
    <row r="880" spans="11:11" ht="15.75" x14ac:dyDescent="0.25">
      <c r="K880" s="12"/>
    </row>
    <row r="881" spans="11:11" ht="15.75" x14ac:dyDescent="0.25">
      <c r="K881" s="12"/>
    </row>
    <row r="882" spans="11:11" ht="15.75" x14ac:dyDescent="0.25">
      <c r="K882" s="12"/>
    </row>
    <row r="883" spans="11:11" ht="15.75" x14ac:dyDescent="0.25">
      <c r="K883" s="12"/>
    </row>
    <row r="884" spans="11:11" ht="15.75" x14ac:dyDescent="0.25">
      <c r="K884" s="12"/>
    </row>
    <row r="885" spans="11:11" ht="15.75" x14ac:dyDescent="0.25">
      <c r="K885" s="12"/>
    </row>
    <row r="886" spans="11:11" ht="15.75" x14ac:dyDescent="0.25">
      <c r="K886" s="12"/>
    </row>
    <row r="887" spans="11:11" ht="15.75" x14ac:dyDescent="0.25">
      <c r="K887" s="12"/>
    </row>
    <row r="888" spans="11:11" ht="15.75" x14ac:dyDescent="0.25">
      <c r="K888" s="12"/>
    </row>
    <row r="889" spans="11:11" ht="15.75" x14ac:dyDescent="0.25">
      <c r="K889" s="12"/>
    </row>
    <row r="890" spans="11:11" ht="15.75" x14ac:dyDescent="0.25">
      <c r="K890" s="12"/>
    </row>
    <row r="891" spans="11:11" ht="15.75" x14ac:dyDescent="0.25">
      <c r="K891" s="12"/>
    </row>
    <row r="892" spans="11:11" ht="15.75" x14ac:dyDescent="0.25">
      <c r="K892" s="12"/>
    </row>
    <row r="893" spans="11:11" ht="15.75" x14ac:dyDescent="0.25">
      <c r="K893" s="12"/>
    </row>
    <row r="894" spans="11:11" ht="15.75" x14ac:dyDescent="0.25">
      <c r="K894" s="12"/>
    </row>
    <row r="895" spans="11:11" ht="15.75" x14ac:dyDescent="0.25">
      <c r="K895" s="12"/>
    </row>
    <row r="896" spans="11:11" ht="15.75" x14ac:dyDescent="0.25">
      <c r="K896" s="12"/>
    </row>
    <row r="897" spans="11:11" ht="15.75" x14ac:dyDescent="0.25">
      <c r="K897" s="12"/>
    </row>
    <row r="898" spans="11:11" ht="15.75" x14ac:dyDescent="0.25">
      <c r="K898" s="12"/>
    </row>
    <row r="899" spans="11:11" ht="15.75" x14ac:dyDescent="0.25">
      <c r="K899" s="12"/>
    </row>
    <row r="900" spans="11:11" ht="15.75" x14ac:dyDescent="0.25">
      <c r="K900" s="12"/>
    </row>
    <row r="901" spans="11:11" ht="15.75" x14ac:dyDescent="0.25">
      <c r="K901" s="12"/>
    </row>
    <row r="902" spans="11:11" ht="15.75" x14ac:dyDescent="0.25">
      <c r="K902" s="12"/>
    </row>
    <row r="903" spans="11:11" ht="15.75" x14ac:dyDescent="0.25">
      <c r="K903" s="12"/>
    </row>
    <row r="904" spans="11:11" ht="15.75" x14ac:dyDescent="0.25">
      <c r="K904" s="12"/>
    </row>
    <row r="905" spans="11:11" ht="15.75" x14ac:dyDescent="0.25">
      <c r="K905" s="12"/>
    </row>
    <row r="906" spans="11:11" ht="15.75" x14ac:dyDescent="0.25">
      <c r="K906" s="12"/>
    </row>
    <row r="907" spans="11:11" ht="15.75" x14ac:dyDescent="0.25">
      <c r="K907" s="12"/>
    </row>
    <row r="908" spans="11:11" ht="15.75" x14ac:dyDescent="0.25">
      <c r="K908" s="12"/>
    </row>
    <row r="909" spans="11:11" ht="15.75" x14ac:dyDescent="0.25">
      <c r="K909" s="12"/>
    </row>
    <row r="910" spans="11:11" ht="15.75" x14ac:dyDescent="0.25">
      <c r="K910" s="12"/>
    </row>
    <row r="911" spans="11:11" ht="15.75" x14ac:dyDescent="0.25">
      <c r="K911" s="12"/>
    </row>
    <row r="912" spans="11:11" ht="15.75" x14ac:dyDescent="0.25">
      <c r="K912" s="12"/>
    </row>
    <row r="913" spans="11:11" ht="15.75" x14ac:dyDescent="0.25">
      <c r="K913" s="12"/>
    </row>
    <row r="914" spans="11:11" ht="15.75" x14ac:dyDescent="0.25">
      <c r="K914" s="12"/>
    </row>
    <row r="915" spans="11:11" ht="15.75" x14ac:dyDescent="0.25">
      <c r="K915" s="12"/>
    </row>
    <row r="916" spans="11:11" ht="15.75" x14ac:dyDescent="0.25">
      <c r="K916" s="12"/>
    </row>
    <row r="917" spans="11:11" ht="15.75" x14ac:dyDescent="0.25">
      <c r="K917" s="12"/>
    </row>
    <row r="918" spans="11:11" ht="15.75" x14ac:dyDescent="0.25">
      <c r="K918" s="12"/>
    </row>
    <row r="919" spans="11:11" ht="15.75" x14ac:dyDescent="0.25">
      <c r="K919" s="12"/>
    </row>
    <row r="920" spans="11:11" ht="15.75" x14ac:dyDescent="0.25">
      <c r="K920" s="12"/>
    </row>
    <row r="921" spans="11:11" ht="15.75" x14ac:dyDescent="0.25">
      <c r="K921" s="12"/>
    </row>
    <row r="922" spans="11:11" x14ac:dyDescent="0.25">
      <c r="K922" s="20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B768:G770 H769 H770:R770 O771 J773 K793:L794 L777:R792 B782:J792 G779:H779 B775:G780 B771:H778 B780:H781 J777:J781 I772:I781">
    <cfRule type="expression" dxfId="16" priority="20">
      <formula>CELL("row")=ROW()</formula>
    </cfRule>
  </conditionalFormatting>
  <conditionalFormatting sqref="B257:G290 B291:B300 C291:G301">
    <cfRule type="expression" dxfId="15" priority="18">
      <formula>CELL("row")=ROW()</formula>
    </cfRule>
  </conditionalFormatting>
  <conditionalFormatting sqref="F398">
    <cfRule type="expression" dxfId="14" priority="13">
      <formula>CELL("row")=ROW()</formula>
    </cfRule>
  </conditionalFormatting>
  <conditionalFormatting sqref="F420">
    <cfRule type="expression" dxfId="13" priority="12">
      <formula>CELL("row")=ROW()</formula>
    </cfRule>
  </conditionalFormatting>
  <conditionalFormatting sqref="F326:G326">
    <cfRule type="expression" dxfId="12" priority="15">
      <formula>CELL("row")=ROW()</formula>
    </cfRule>
  </conditionalFormatting>
  <conditionalFormatting sqref="G266">
    <cfRule type="expression" dxfId="11" priority="17">
      <formula>CELL("row")=ROW()</formula>
    </cfRule>
  </conditionalFormatting>
  <conditionalFormatting sqref="I558">
    <cfRule type="expression" dxfId="10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A793:G794 I793 K793:K872 A767:A792 I774:J774 K774:R776 J775:J776 J773:R773 K775:K780 I772:I781">
    <cfRule type="expression" dxfId="9" priority="6">
      <formula>CELL("row")=ROW()</formula>
    </cfRule>
  </conditionalFormatting>
  <conditionalFormatting sqref="K672:K697 K698:L700 L701">
    <cfRule type="expression" dxfId="8" priority="5">
      <formula>CELL("row")=ROW()</formula>
    </cfRule>
  </conditionalFormatting>
  <conditionalFormatting sqref="K771:K780">
    <cfRule type="expression" dxfId="7" priority="2">
      <formula>CELL("row")=ROW()</formula>
    </cfRule>
  </conditionalFormatting>
  <conditionalFormatting sqref="L532:L535">
    <cfRule type="expression" dxfId="6" priority="10">
      <formula>CELL("row")=ROW()</formula>
    </cfRule>
  </conditionalFormatting>
  <conditionalFormatting sqref="M793:O794">
    <cfRule type="expression" dxfId="5" priority="29">
      <formula>ROW(O93)=HighlightRow</formula>
    </cfRule>
  </conditionalFormatting>
  <conditionalFormatting sqref="N698">
    <cfRule type="expression" dxfId="4" priority="3">
      <formula>CELL("row")=ROW()</formula>
    </cfRule>
  </conditionalFormatting>
  <conditionalFormatting sqref="P793:Q794">
    <cfRule type="expression" dxfId="3" priority="33">
      <formula>ROW(S93)=HighlightRow</formula>
    </cfRule>
  </conditionalFormatting>
  <conditionalFormatting sqref="S105:XFD105">
    <cfRule type="expression" dxfId="2" priority="34">
      <formula>ROW(T94)=HighlightRow</formula>
    </cfRule>
  </conditionalFormatting>
  <conditionalFormatting sqref="S106:XFD114">
    <cfRule type="expression" dxfId="1" priority="31">
      <formula>ROW(T96)=HighlightRow</formula>
    </cfRule>
  </conditionalFormatting>
  <conditionalFormatting sqref="B772:G772">
    <cfRule type="expression" dxfId="0" priority="1">
      <formula>CELL("row")=ROW()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1026" zoomScaleNormal="100" workbookViewId="0">
      <selection activeCell="F1027" sqref="F1027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10684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01"/>
  <sheetViews>
    <sheetView tabSelected="1" topLeftCell="A476" zoomScaleNormal="100" workbookViewId="0">
      <selection activeCell="B497" sqref="B49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01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10626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10629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10653</v>
      </c>
      <c r="E481" s="21" t="s">
        <v>10628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10633</v>
      </c>
      <c r="C482" s="21">
        <v>7051777629</v>
      </c>
      <c r="D482" s="21" t="s">
        <v>10654</v>
      </c>
      <c r="E482" s="21" t="s">
        <v>10639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10638</v>
      </c>
      <c r="C483" s="21">
        <v>9906260598</v>
      </c>
      <c r="D483" s="21" t="s">
        <v>10659</v>
      </c>
      <c r="E483" s="21" t="s">
        <v>10635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10679</v>
      </c>
      <c r="C484" s="21">
        <v>9971997124</v>
      </c>
      <c r="D484" s="21" t="s">
        <v>10660</v>
      </c>
      <c r="E484" s="21" t="s">
        <v>10652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10623</v>
      </c>
      <c r="C485" s="21">
        <v>9906441078</v>
      </c>
      <c r="D485" s="21" t="s">
        <v>10675</v>
      </c>
      <c r="E485" s="21" t="s">
        <v>10625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10676</v>
      </c>
      <c r="C486" s="21">
        <v>9419002969</v>
      </c>
      <c r="D486" s="21" t="s">
        <v>10677</v>
      </c>
      <c r="E486" s="21" t="s">
        <v>10651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10619</v>
      </c>
      <c r="C487" s="21">
        <v>7006333483</v>
      </c>
      <c r="D487" s="21" t="s">
        <v>10678</v>
      </c>
      <c r="E487" s="21" t="s">
        <v>10624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10645</v>
      </c>
      <c r="C488" s="21">
        <v>9797214183</v>
      </c>
      <c r="D488" s="21" t="s">
        <v>10695</v>
      </c>
      <c r="E488" s="21" t="s">
        <v>10650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10709</v>
      </c>
      <c r="E489" s="21" t="s">
        <v>10699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10688</v>
      </c>
      <c r="C490" s="21">
        <v>7006975068</v>
      </c>
      <c r="D490" s="21" t="s">
        <v>10710</v>
      </c>
      <c r="E490" s="21" t="s">
        <v>10689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10702</v>
      </c>
      <c r="C491" s="21">
        <v>9797979206</v>
      </c>
      <c r="D491" s="21" t="s">
        <v>10712</v>
      </c>
      <c r="E491" s="21" t="s">
        <v>10704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10690</v>
      </c>
      <c r="C492" s="21">
        <v>7889405476</v>
      </c>
      <c r="D492" s="21" t="s">
        <v>10713</v>
      </c>
      <c r="E492" s="21" t="s">
        <v>10691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10707</v>
      </c>
      <c r="C493" s="21">
        <v>8803043296</v>
      </c>
      <c r="D493" s="21" t="s">
        <v>10720</v>
      </c>
      <c r="E493" s="21" t="s">
        <v>10711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10682</v>
      </c>
      <c r="C494" s="21">
        <v>7006036071</v>
      </c>
      <c r="D494" s="21" t="s">
        <v>10733</v>
      </c>
      <c r="E494" s="21" t="s">
        <v>10721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10735</v>
      </c>
      <c r="C495" s="21">
        <v>8825065703</v>
      </c>
      <c r="D495" s="21" t="s">
        <v>10736</v>
      </c>
      <c r="E495" s="21" t="s">
        <v>10729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10725</v>
      </c>
      <c r="C496" s="21">
        <v>8899288728</v>
      </c>
      <c r="D496" s="21" t="s">
        <v>10754</v>
      </c>
      <c r="E496" s="21" t="s">
        <v>10752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10770</v>
      </c>
      <c r="C497" s="21"/>
      <c r="D497" s="21" t="s">
        <v>10769</v>
      </c>
      <c r="E497" s="21"/>
      <c r="F497" s="14"/>
      <c r="G497" s="14"/>
      <c r="H497" s="12"/>
    </row>
    <row r="498" spans="1:8" ht="15.75" x14ac:dyDescent="0.25">
      <c r="A498" s="12">
        <f t="shared" si="7"/>
        <v>496</v>
      </c>
      <c r="B498" s="21"/>
      <c r="C498" s="21"/>
      <c r="D498" s="21"/>
      <c r="E498" s="21"/>
      <c r="F498" s="14"/>
      <c r="G498" s="14"/>
      <c r="H498" s="12"/>
    </row>
    <row r="499" spans="1:8" ht="15.75" x14ac:dyDescent="0.25">
      <c r="A499" s="12">
        <f t="shared" si="7"/>
        <v>497</v>
      </c>
      <c r="B499" s="12"/>
      <c r="C499" s="12"/>
      <c r="D499" s="12"/>
      <c r="E499" s="12"/>
      <c r="F499" s="14"/>
      <c r="G499" s="14"/>
      <c r="H499" s="12"/>
    </row>
    <row r="500" spans="1:8" ht="15.75" x14ac:dyDescent="0.25">
      <c r="A500" s="12">
        <f t="shared" si="7"/>
        <v>498</v>
      </c>
      <c r="B500" s="12"/>
      <c r="C500" s="12"/>
      <c r="D500" s="12"/>
      <c r="E500" s="12"/>
      <c r="F500" s="14"/>
      <c r="G500" s="14"/>
      <c r="H500" s="12"/>
    </row>
    <row r="501" spans="1:8" ht="15.75" x14ac:dyDescent="0.25">
      <c r="A501" s="12">
        <f t="shared" si="7"/>
        <v>499</v>
      </c>
      <c r="B501" s="12"/>
      <c r="C501" s="12"/>
      <c r="D501" s="12"/>
      <c r="E501" s="12"/>
      <c r="F501" s="14"/>
      <c r="G501" s="14"/>
      <c r="H501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/>
  <dimension ref="A1:F8"/>
  <sheetViews>
    <sheetView workbookViewId="0">
      <selection activeCell="D16" sqref="D16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10714</v>
      </c>
      <c r="B1" s="51"/>
      <c r="C1" s="42"/>
      <c r="D1" s="36"/>
    </row>
    <row r="2" spans="1:6" ht="23.25" x14ac:dyDescent="0.35">
      <c r="A2" s="52" t="s">
        <v>10715</v>
      </c>
      <c r="B2" s="52"/>
      <c r="C2" s="41"/>
    </row>
    <row r="3" spans="1:6" ht="23.25" x14ac:dyDescent="0.35">
      <c r="A3" s="41" t="s">
        <v>10716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10719</v>
      </c>
      <c r="B5" s="43">
        <f>85+9</f>
        <v>94</v>
      </c>
      <c r="C5" s="41"/>
    </row>
    <row r="6" spans="1:6" ht="23.25" x14ac:dyDescent="0.35">
      <c r="A6" s="41" t="s">
        <v>10717</v>
      </c>
      <c r="B6" s="43">
        <v>159</v>
      </c>
      <c r="C6" s="41"/>
    </row>
    <row r="7" spans="1:6" ht="23.25" x14ac:dyDescent="0.35">
      <c r="A7" s="41" t="s">
        <v>10718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2026-05-20T12:04:42Z</dcterms:modified>
</cp:coreProperties>
</file>