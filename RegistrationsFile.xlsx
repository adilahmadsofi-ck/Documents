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2D0EB6D-8C0F-430D-BCB9-F0C6722CA961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5" i="4" l="1"/>
  <c r="H539" i="4"/>
  <c r="H601" i="4"/>
  <c r="H148" i="4"/>
  <c r="H632" i="4"/>
  <c r="H633" i="4"/>
  <c r="H596" i="4"/>
  <c r="H591" i="4"/>
  <c r="H602" i="4"/>
  <c r="H647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8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04" i="4"/>
  <c r="H480" i="4"/>
  <c r="H511" i="4"/>
  <c r="H605" i="4"/>
  <c r="H606" i="4"/>
  <c r="H607" i="4"/>
  <c r="H608" i="4"/>
  <c r="H188" i="4"/>
  <c r="H107" i="4"/>
  <c r="H609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4" i="4"/>
  <c r="H635" i="4"/>
  <c r="H636" i="4"/>
  <c r="H637" i="4"/>
  <c r="H639" i="4"/>
  <c r="H640" i="4"/>
  <c r="H641" i="4"/>
  <c r="H610" i="4"/>
  <c r="H642" i="4"/>
  <c r="H643" i="4"/>
  <c r="H644" i="4"/>
  <c r="H645" i="4"/>
  <c r="H646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A641" i="4"/>
  <c r="A638" i="4"/>
  <c r="A642" i="4"/>
  <c r="A643" i="4"/>
  <c r="A644" i="4"/>
  <c r="A645" i="4"/>
  <c r="A646" i="4"/>
  <c r="A647" i="4"/>
  <c r="A636" i="4"/>
  <c r="A637" i="4"/>
  <c r="A639" i="4"/>
  <c r="A640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4" i="4"/>
  <c r="A632" i="4"/>
  <c r="A635" i="4"/>
  <c r="A633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2" i="4"/>
  <c r="A610" i="4"/>
  <c r="A609" i="4"/>
  <c r="A601" i="4"/>
  <c r="A605" i="4"/>
  <c r="A606" i="4"/>
  <c r="A607" i="4"/>
  <c r="A608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4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<sst xmlns="http://schemas.openxmlformats.org/spreadsheetml/2006/main" count="25216" uniqueCount="10078">
  <si>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</si>
  <si>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</si>
  <si>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</si>
  <si>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</si>
  <si>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</si>
  <si>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</si>
  <si>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</si>
  <si>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</si>
  <si>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</si>
  <si>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</si>
  <si>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</si>
  <si>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</si>
  <si>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</si>
  <si>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</si>
  <si>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</si>
  <si>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</si>
  <si>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</si>
  <si>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</si>
  <si>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</si>
  <si>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</si>
  <si>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</si>
  <si>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</si>
  <si>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</si>
  <si>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</si>
  <si>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</si>
  <si>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</si>
  <si>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</si>
  <si>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</si>
  <si>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</si>
  <si>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</si>
  <si>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</si>
  <si>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</si>
  <si>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</si>
  <si>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</si>
  <si>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</si>
  <si>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</si>
  <si>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</si>
  <si>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</si>
  <si>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</si>
  <si>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</si>
  <si>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</si>
  <si>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</si>
  <si>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</si>
  <si>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</si>
  <si>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</si>
  <si>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</si>
  <si>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</si>
  <si>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</si>
  <si>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</si>
  <si>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</si>
  <si>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</si>
  <si>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</si>
  <si>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</si>
  <si>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</si>
  <si>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</si>
  <si>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</si>
  <si>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</si>
  <si>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</si>
  <si>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</si>
  <si>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</si>
  <si>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</si>
  <si>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</si>
  <si>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</si>
  <si>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</si>
  <si>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</si>
  <si>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</si>
  <si>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</si>
  <si>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</si>
  <si>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</si>
  <si>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</si>
  <si>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</si>
  <si>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</si>
  <si>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</si>
  <si>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</si>
  <si>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</si>
  <si>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</si>
  <si>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</si>
  <si>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</si>
  <si>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</si>
  <si>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</si>
  <si>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</si>
  <si>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</si>
  <si>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</si>
  <si>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</si>
  <si>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</si>
  <si>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</si>
  <si>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</si>
  <si>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</si>
  <si>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</si>
  <si>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</si>
  <si>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</si>
  <si>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</si>
  <si>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</si>
  <si>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</si>
  <si>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</si>
  <si>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</si>
  <si>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</si>
  <si>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</si>
  <si>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</si>
  <si>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</si>
  <si>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</si>
  <si>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</si>
  <si>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</si>
  <si>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</si>
  <si>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</si>
  <si>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</si>
  <si>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</si>
  <si>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</si>
  <si>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</si>
  <si>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</si>
  <si>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</si>
  <si>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</si>
  <si>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</si>
  <si>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</si>
  <si>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</si>
  <si>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</si>
  <si>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</si>
  <si>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</si>
  <si>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</si>
  <si>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</si>
  <si>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</si>
  <si>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</si>
  <si>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</si>
  <si>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</si>
  <si>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</si>
  <si>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</si>
  <si>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</si>
  <si>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</si>
  <si>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</si>
  <si>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</si>
  <si>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</si>
  <si>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</si>
  <si>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</si>
  <si>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</si>
  <si>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</si>
  <si>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</si>
  <si>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</si>
  <si>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</si>
  <si>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</si>
  <si>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</si>
  <si>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</si>
  <si>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</si>
  <si>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</si>
  <si>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</si>
  <si>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</si>
  <si>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</si>
  <si>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</si>
  <si>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</si>
  <si>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</si>
  <si>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</si>
  <si>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</si>
  <si>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</si>
  <si>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</si>
  <si>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</si>
  <si>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</si>
  <si>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</si>
  <si>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</si>
  <si>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</si>
  <si>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</si>
  <si>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</si>
  <si>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</si>
  <si>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</si>
  <si>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</si>
  <si>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</si>
  <si>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</si>
  <si>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</si>
  <si>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</si>
  <si>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</si>
  <si>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</si>
  <si>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</si>
  <si>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</si>
  <si>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</si>
  <si>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</si>
  <si>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</si>
  <si>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</si>
  <si>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</si>
  <si>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</si>
  <si>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</si>
  <si>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</si>
  <si>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</si>
  <si>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</si>
  <si>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</si>
  <si>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</si>
  <si>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</si>
  <si>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</si>
  <si>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</si>
  <si>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</si>
  <si>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</si>
  <si>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</si>
  <si>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</si>
  <si>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</si>
  <si>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</si>
  <si>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</si>
  <si>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</si>
  <si>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</si>
  <si>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</si>
  <si>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</si>
  <si>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</si>
  <si>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</si>
  <si>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</si>
  <si>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</si>
  <si>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</si>
  <si>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</si>
  <si>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</si>
  <si>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</si>
  <si>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</si>
  <si>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</si>
  <si>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</si>
  <si>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</si>
  <si>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</si>
  <si>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</si>
  <si>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</si>
  <si>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</si>
  <si>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</si>
  <si>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</si>
  <si>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</si>
  <si>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</si>
  <si>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</si>
  <si>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</si>
  <si>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</si>
  <si>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</si>
  <si>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</si>
  <si>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</si>
  <si>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</si>
  <si>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</si>
  <si>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</si>
  <si>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</si>
  <si>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</si>
  <si>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</si>
  <si>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</si>
  <si>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</si>
  <si>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</si>
  <si>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</si>
  <si>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</si>
  <si>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</si>
  <si>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</si>
  <si>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</si>
  <si>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</si>
  <si>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</si>
  <si>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</si>
  <si>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</si>
  <si>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</si>
  <si>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</si>
  <si>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</si>
  <si>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</si>
  <si>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</si>
  <si>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</si>
  <si>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</si>
  <si>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</si>
  <si>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</si>
  <si>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</si>
  <si>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</si>
  <si>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</si>
  <si>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</si>
  <si>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</si>
  <si>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</si>
  <si>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</si>
  <si>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</si>
  <si>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</si>
  <si>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</si>
  <si>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</si>
  <si>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</si>
  <si>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</si>
  <si>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</si>
  <si>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</si>
  <si>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</si>
  <si>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</si>
  <si>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</si>
  <si>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</si>
  <si>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</si>
  <si>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</si>
  <si>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</si>
  <si>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</si>
  <si>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</si>
  <si>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</si>
  <si>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</si>
  <si>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</si>
  <si>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</si>
  <si>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</si>
  <si>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</si>
  <si>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</si>
  <si>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</si>
  <si>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</si>
  <si>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</si>
  <si>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</si>
  <si>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</si>
  <si>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</si>
  <si>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</si>
  <si>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</si>
  <si>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</si>
  <si>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</si>
  <si>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</si>
  <si>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</si>
  <si>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</si>
  <si>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</si>
  <si>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</si>
  <si>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</si>
  <si>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</si>
  <si>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</si>
  <si>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</si>
  <si>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</si>
  <si>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</si>
  <si>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</si>
  <si>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</si>
  <si>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</si>
  <si>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</si>
  <si>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</si>
  <si>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</si>
  <si>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</si>
  <si>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</si>
  <si>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</si>
  <si>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</si>
  <si>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</si>
  <si>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</si>
  <si>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</si>
  <si>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</si>
  <si>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</si>
  <si>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</si>
  <si>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</si>
  <si>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</si>
  <si>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</si>
  <si>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</si>
  <si>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</si>
  <si>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</si>
  <si>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</si>
  <si>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</si>
  <si>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</si>
  <si>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</si>
  <si>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</si>
  <si>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</si>
  <si>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</si>
  <si>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</si>
  <si>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</si>
  <si>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</si>
  <si>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</si>
  <si>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</si>
  <si>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</si>
  <si>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</si>
  <si>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</si>
  <si>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</si>
  <si>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</si>
  <si>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</si>
  <si>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</si>
  <si>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</si>
  <si>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</si>
  <si>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</si>
  <si>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</si>
  <si>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</si>
  <si>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</si>
  <si>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</si>
  <si>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</si>
  <si>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</si>
  <si>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</si>
  <si>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</si>
  <si>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</si>
  <si>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</si>
  <si>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</si>
  <si>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</si>
  <si>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</si>
  <si>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</si>
  <si>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</si>
  <si>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</si>
  <si>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</si>
  <si>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</si>
  <si>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</si>
  <si>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</si>
  <si>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</si>
  <si>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</si>
  <si>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</si>
  <si>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</si>
  <si>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</si>
  <si>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</si>
  <si>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</si>
  <si>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</si>
  <si>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</si>
  <si>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</si>
  <si>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</si>
  <si>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</si>
  <si>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</si>
  <si>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</si>
  <si>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</si>
  <si>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</si>
  <si>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</si>
  <si>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</si>
  <si>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</si>
  <si>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</si>
  <si>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</si>
  <si>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</si>
  <si>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</si>
  <si>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</si>
  <si>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</si>
  <si>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</si>
  <si>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</si>
  <si>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</si>
  <si>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</si>
  <si>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</si>
  <si>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</si>
  <si>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</si>
  <si>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</si>
  <si>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</si>
  <si>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</si>
  <si>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</si>
  <si>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</si>
  <si>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</si>
  <si>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</si>
  <si>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</si>
  <si>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</si>
  <si>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</si>
  <si>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</si>
  <si>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</si>
  <si>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</si>
  <si>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</si>
  <si>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</si>
  <si>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</si>
  <si>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</si>
  <si>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</si>
  <si>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</si>
  <si>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</si>
  <si>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</si>
  <si>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</si>
  <si>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</si>
  <si>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</si>
  <si>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</si>
  <si>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</si>
  <si>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</si>
  <si>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</si>
  <si>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</si>
  <si>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</si>
  <si>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</si>
  <si>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</si>
  <si>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</si>
  <si>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</si>
  <si>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</si>
  <si>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</si>
  <si>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</si>
  <si>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</si>
  <si>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</si>
  <si>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</si>
  <si>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</si>
  <si>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</si>
  <si>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</si>
  <si>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</si>
  <si>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</si>
  <si>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</si>
  <si>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</si>
  <si>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</si>
  <si>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</si>
  <si>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</si>
  <si>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</si>
  <si>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</si>
  <si>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</si>
  <si>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</si>
  <si>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</si>
  <si>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</si>
  <si>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</si>
  <si>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</si>
  <si>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</si>
  <si>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</si>
  <si>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</si>
  <si>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</si>
  <si>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</si>
  <si>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</si>
  <si>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</si>
  <si>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</si>
  <si>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</si>
  <si>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</si>
  <si>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</si>
  <si>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</si>
  <si>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</si>
  <si>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</si>
  <si>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</si>
  <si>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</si>
  <si>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</si>
  <si>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</si>
  <si>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</si>
  <si>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</si>
  <si>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</si>
  <si>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</si>
  <si>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</si>
  <si>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</si>
  <si>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</si>
  <si>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</si>
  <si>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</si>
  <si>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</si>
  <si>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</si>
  <si>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</si>
  <si>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</si>
  <si>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</si>
  <si>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</si>
  <si>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</si>
  <si>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</si>
  <si>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</si>
  <si>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</si>
  <si>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</si>
  <si>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</si>
  <si>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</si>
  <si>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</si>
  <si>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</si>
  <si>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</si>
  <si>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</si>
  <si>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</si>
  <si>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</si>
  <si>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</si>
  <si>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</si>
  <si>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</si>
  <si>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</si>
  <si>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</si>
  <si>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</si>
  <si>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</si>
  <si>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</si>
  <si>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</si>
  <si>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</si>
  <si>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</si>
  <si>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</si>
  <si>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</si>
  <si>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</si>
  <si>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</si>
  <si>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</si>
  <si>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</si>
  <si>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</si>
  <si>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</si>
  <si>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</si>
  <si>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</si>
  <si>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</si>
  <si>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</si>
  <si>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</si>
  <si>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</si>
  <si>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</si>
  <si>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</si>
  <si>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</si>
  <si>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</si>
  <si>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</si>
  <si>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</si>
  <si>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</si>
  <si>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</si>
  <si>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</si>
  <si>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</si>
  <si>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</si>
  <si>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</si>
  <si>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</si>
  <si>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</si>
  <si>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</si>
  <si>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</si>
  <si>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</si>
  <si>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</si>
  <si>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</si>
  <si>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</si>
  <si>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</si>
  <si>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</si>
  <si>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</si>
  <si>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</si>
  <si>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</si>
  <si>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</si>
  <si>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</si>
  <si>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</si>
  <si>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</si>
  <si>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</si>
  <si>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</si>
  <si>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</si>
  <si>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</si>
  <si>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</si>
  <si>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</si>
  <si>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</si>
  <si>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</si>
  <si>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</si>
  <si>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</si>
  <si>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</si>
  <si>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</si>
  <si>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</si>
  <si>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</si>
  <si>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</si>
  <si>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</si>
  <si>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</si>
  <si>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</si>
  <si>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</si>
  <si>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</si>
  <si>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</si>
  <si>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</si>
  <si>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</si>
  <si>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</si>
  <si>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</si>
  <si>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</si>
  <si>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</si>
  <si>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</si>
  <si>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</si>
  <si>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</si>
  <si>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</si>
  <si>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</si>
  <si>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</si>
  <si>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</si>
  <si>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</si>
  <si>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</si>
  <si>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</si>
  <si>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</si>
  <si>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</si>
  <si>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</si>
  <si>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</si>
  <si>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</si>
  <si>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</si>
  <si>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</si>
  <si>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</si>
  <si>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</si>
  <si>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</si>
  <si>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</si>
  <si>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</si>
  <si>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</si>
  <si>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</si>
  <si>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</si>
  <si>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</si>
  <si>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</si>
  <si>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</si>
  <si>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</si>
  <si>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</si>
  <si>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</si>
  <si>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</si>
  <si>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</si>
  <si>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</si>
  <si>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</si>
  <si>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</si>
  <si>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</si>
  <si>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</si>
  <si>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</si>
  <si>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</si>
  <si>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</si>
  <si>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</si>
  <si>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</si>
  <si>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</si>
  <si>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</si>
  <si>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</si>
  <si>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</si>
  <si>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</si>
  <si>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</si>
  <si>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</si>
  <si>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</si>
  <si>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</si>
  <si>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</si>
  <si>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</si>
  <si>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</si>
  <si>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</si>
  <si>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</si>
  <si>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</si>
  <si>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</si>
  <si>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</si>
  <si>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</si>
  <si>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</si>
  <si>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</si>
  <si>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</si>
  <si>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</si>
  <si>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</si>
  <si>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</si>
  <si>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</si>
  <si>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</si>
  <si>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</si>
  <si>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</si>
  <si>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</si>
  <si>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</si>
  <si>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</si>
  <si>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</si>
  <si>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</si>
  <si>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</si>
  <si>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</si>
  <si>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</si>
  <si>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</si>
  <si>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</si>
  <si>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</si>
  <si>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</si>
  <si>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</si>
  <si>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</si>
  <si>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</si>
  <si>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</si>
  <si>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</si>
  <si>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</si>
  <si>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</si>
  <si>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</si>
  <si>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</si>
  <si>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</si>
  <si>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</si>
  <si>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</si>
  <si>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</si>
  <si>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</si>
  <si>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</si>
  <si>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</si>
  <si>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</si>
  <si>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</si>
  <si>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</si>
  <si>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</si>
  <si>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</si>
  <si>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</si>
  <si>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</si>
  <si>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</si>
  <si>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</si>
  <si>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</si>
  <si>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</si>
  <si>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</si>
  <si>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</si>
  <si>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</si>
  <si>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</si>
  <si>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</si>
  <si>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</si>
  <si>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</si>
  <si>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</si>
  <si>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</si>
  <si>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</si>
  <si>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</si>
  <si>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</si>
  <si>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</si>
  <si>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</si>
  <si>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</si>
  <si>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</si>
  <si>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</si>
  <si>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</si>
  <si>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</si>
  <si>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</si>
  <si>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</si>
  <si>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</si>
  <si>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</si>
  <si>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</si>
  <si>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</si>
  <si>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</si>
  <si>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</si>
  <si>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</si>
  <si>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</si>
  <si>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</si>
  <si>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</si>
  <si>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</si>
  <si>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</si>
  <si>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</si>
  <si>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</si>
  <si>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</si>
  <si>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</si>
  <si>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</si>
  <si>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</si>
  <si>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</si>
  <si>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</si>
  <si>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</si>
  <si>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</si>
  <si>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</si>
  <si>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</si>
  <si>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</si>
  <si>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</si>
  <si>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</si>
  <si>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</si>
  <si>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</si>
  <si>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</si>
  <si>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</si>
  <si>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</si>
  <si>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</si>
  <si>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</si>
  <si>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</si>
  <si>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</si>
  <si>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</si>
  <si>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</si>
  <si>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</si>
  <si>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</si>
  <si>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</si>
  <si>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</si>
  <si>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</si>
  <si>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</si>
  <si>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</si>
  <si>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</si>
  <si>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</si>
  <si>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</si>
  <si>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</si>
  <si>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</si>
  <si>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</si>
  <si>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</si>
  <si>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</si>
  <si>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</si>
  <si>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</si>
  <si>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</si>
  <si>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</si>
  <si>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</si>
  <si>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</si>
  <si>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</si>
  <si>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</si>
  <si>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</si>
  <si>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</si>
  <si>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</si>
  <si>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</si>
  <si>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</si>
  <si>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</si>
  <si>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</si>
  <si>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</si>
  <si>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</si>
  <si>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</si>
  <si>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</si>
  <si>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</si>
  <si>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</si>
  <si>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</si>
  <si>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</si>
  <si>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</si>
  <si>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</si>
  <si>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</si>
  <si>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</si>
  <si>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</si>
  <si>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</si>
  <si>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</si>
  <si>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</si>
  <si>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</si>
  <si>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</si>
  <si>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</si>
  <si>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</si>
  <si>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</si>
  <si>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</si>
  <si>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</si>
  <si>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</si>
  <si>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</si>
  <si>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</si>
  <si>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</si>
  <si>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</si>
  <si>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</si>
  <si>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</si>
  <si>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</si>
  <si>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</si>
  <si>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</si>
  <si>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</si>
  <si>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</si>
  <si>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</si>
  <si>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</si>
  <si>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</si>
  <si>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</si>
  <si>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</si>
  <si>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</si>
  <si>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</si>
  <si>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</si>
  <si>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</si>
  <si>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</si>
  <si>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</si>
  <si>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</si>
  <si>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</si>
  <si>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</si>
  <si>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</si>
  <si>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</si>
  <si>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</si>
  <si>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</si>
  <si>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</si>
  <si>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</si>
  <si>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</si>
  <si>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</si>
  <si>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</si>
  <si>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</si>
  <si>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</si>
  <si>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</si>
  <si>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</si>
  <si>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</si>
  <si>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</si>
  <si>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</si>
  <si>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</si>
  <si>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</si>
  <si>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</si>
  <si>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</si>
  <si>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</si>
  <si>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</si>
  <si>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</si>
  <si>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</si>
  <si>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</si>
  <si>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</si>
  <si>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</si>
  <si>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</si>
  <si>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</si>
  <si>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</si>
  <si>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</si>
  <si>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</si>
  <si>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</si>
  <si>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</si>
  <si>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</si>
  <si>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</si>
  <si>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</si>
  <si>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</si>
  <si>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</si>
  <si>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</si>
  <si>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</si>
  <si>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</si>
  <si>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</si>
  <si>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</si>
  <si>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</si>
  <si>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</si>
  <si>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</si>
  <si>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</si>
  <si>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</si>
  <si>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</si>
  <si>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</si>
  <si>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</si>
  <si>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</si>
  <si>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</si>
  <si>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</si>
  <si>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</si>
  <si>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</si>
  <si>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</si>
  <si>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</si>
  <si>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</si>
  <si>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</si>
  <si>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</si>
  <si>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</si>
  <si>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</si>
  <si>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</si>
  <si>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</si>
  <si>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</si>
  <si>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</si>
  <si>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</si>
  <si>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</si>
  <si>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</si>
  <si>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</si>
  <si>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</si>
  <si>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</si>
  <si>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</si>
  <si>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</si>
  <si>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</si>
  <si>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</si>
  <si>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</si>
  <si>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</si>
  <si>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</si>
  <si>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</si>
  <si>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</si>
  <si>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</si>
  <si>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</si>
  <si>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</si>
  <si>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</si>
  <si>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</si>
  <si>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</si>
  <si>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</si>
  <si>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</si>
  <si>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</si>
  <si>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</si>
  <si>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</si>
  <si>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</si>
  <si>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</si>
  <si>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</si>
  <si>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</si>
  <si>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</si>
  <si>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</si>
  <si>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</si>
  <si>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</si>
  <si>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</si>
  <si>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</si>
  <si>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</si>
  <si>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</si>
  <si>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</si>
  <si>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</si>
  <si>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</si>
  <si>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</si>
  <si>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</si>
  <si>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</si>
  <si>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</si>
  <si>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</si>
  <si>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</si>
  <si>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</si>
  <si>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</si>
  <si>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</si>
  <si>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</si>
  <si>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</si>
  <si>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</si>
  <si>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</si>
  <si>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</si>
  <si>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</si>
  <si>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</si>
  <si>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</si>
  <si>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</si>
  <si>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</si>
  <si>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</si>
  <si>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</si>
  <si>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</si>
  <si>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</si>
  <si>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</si>
  <si>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</si>
  <si>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</si>
  <si>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</si>
  <si>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</si>
  <si>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</si>
  <si>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</si>
  <si>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</si>
  <si>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</si>
  <si>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</si>
  <si>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</si>
  <si>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</si>
  <si>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</si>
  <si>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</si>
  <si>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</si>
  <si>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</si>
  <si>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</si>
  <si>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</si>
  <si>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</si>
  <si>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</si>
  <si>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</si>
  <si>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</si>
  <si>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</si>
  <si>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</si>
  <si>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</si>
  <si>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</si>
  <si>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</si>
  <si>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</si>
  <si>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</si>
  <si>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</si>
  <si>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</si>
  <si>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</si>
  <si>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</si>
  <si>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</si>
  <si>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</si>
  <si>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</si>
  <si>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</si>
  <si>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</si>
  <si>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</si>
  <si>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</si>
  <si>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</si>
  <si>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</si>
  <si>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</si>
  <si>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</si>
  <si>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</si>
  <si>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</si>
  <si>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</si>
  <si>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</si>
  <si>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</si>
  <si>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</si>
  <si>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</si>
  <si>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</si>
  <si>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</si>
  <si>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</si>
  <si>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</si>
  <si>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</si>
  <si>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</si>
  <si>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</si>
  <si>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</si>
  <si>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</si>
  <si>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</si>
  <si>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</si>
  <si>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</si>
  <si>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</si>
  <si>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</si>
  <si>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</si>
  <si>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</si>
  <si>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</si>
  <si>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</si>
  <si>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</si>
  <si>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</si>
  <si>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</si>
  <si>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</si>
  <si>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</si>
  <si>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</si>
  <si>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</si>
  <si>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</si>
  <si>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</si>
  <si>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</si>
  <si>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</si>
  <si>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</si>
  <si>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</si>
  <si>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</si>
  <si>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</si>
  <si>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</si>
  <si>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</si>
  <si>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</si>
  <si>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</si>
  <si>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</si>
  <si>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</si>
  <si>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</si>
  <si>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</si>
  <si>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</si>
  <si>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</si>
  <si>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</si>
  <si>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</si>
  <si>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</si>
  <si>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</si>
  <si>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</si>
  <si>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</si>
  <si>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</si>
  <si>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</si>
  <si>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</si>
  <si>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</si>
  <si>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</si>
  <si>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</si>
  <si>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</si>
  <si>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</si>
  <si>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</si>
  <si>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</si>
  <si>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</si>
  <si>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</si>
  <si>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</si>
  <si>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</si>
  <si>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</si>
  <si>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</si>
  <si>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</si>
  <si>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</si>
  <si>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</si>
  <si>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</si>
  <si>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</si>
  <si>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</si>
  <si>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</si>
  <si>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</si>
  <si>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</si>
  <si>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</si>
  <si>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</si>
  <si>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</si>
  <si>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</si>
  <si>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</si>
  <si>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</si>
  <si>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</si>
  <si>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</si>
  <si>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</si>
  <si>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</si>
  <si>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</si>
  <si>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</si>
  <si>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</si>
  <si>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</si>
  <si>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</si>
  <si>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</si>
  <si>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</si>
  <si>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</si>
  <si>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</si>
  <si>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</si>
  <si>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</si>
  <si>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</si>
  <si>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</si>
  <si>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</si>
  <si>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</si>
  <si>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</si>
  <si>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</si>
  <si>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</si>
  <si>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</si>
  <si>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</si>
  <si>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</si>
  <si>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</si>
  <si>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</si>
  <si>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</si>
  <si>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</si>
  <si>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</si>
  <si>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</si>
  <si>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</si>
  <si>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</si>
  <si>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</si>
  <si>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</si>
  <si>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</si>
  <si>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</si>
  <si>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</si>
  <si>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</si>
  <si>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</si>
  <si>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</si>
  <si>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</si>
  <si>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</si>
  <si>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</si>
  <si>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</si>
  <si>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</si>
  <si>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</si>
  <si>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</si>
  <si>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</si>
  <si>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</si>
  <si>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</si>
  <si>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</si>
  <si>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</si>
  <si>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</si>
  <si>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</si>
  <si>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</si>
  <si>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</si>
  <si>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</si>
  <si>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</si>
  <si>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</si>
  <si>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</si>
  <si>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</si>
  <si>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</si>
  <si>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</si>
  <si>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</si>
  <si>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</si>
  <si>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</si>
  <si>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</si>
  <si>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</si>
  <si>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</si>
  <si>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</si>
  <si>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</si>
  <si>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</si>
  <si>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</si>
  <si>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</si>
  <si>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</si>
  <si>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</si>
  <si>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</si>
  <si>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</si>
  <si>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</si>
  <si>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</si>
  <si>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</si>
  <si>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</si>
  <si>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</si>
  <si>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</si>
  <si>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</si>
  <si>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</si>
  <si>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</si>
  <si>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</si>
  <si>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</si>
  <si>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</si>
  <si>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</si>
  <si>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</si>
  <si>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</si>
  <si>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</si>
  <si>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</si>
  <si>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</si>
  <si>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</si>
  <si>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</si>
  <si>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</si>
  <si>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</si>
  <si>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</si>
  <si>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</si>
  <si>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</si>
  <si>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</si>
  <si>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</si>
  <si>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</si>
  <si>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</si>
  <si>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</si>
  <si>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</si>
  <si>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</si>
  <si>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</si>
  <si>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</si>
  <si>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</si>
  <si>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</si>
  <si>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</si>
  <si>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</si>
  <si>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</si>
  <si>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</si>
  <si>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</si>
  <si>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</si>
  <si>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</si>
  <si>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</si>
  <si>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</si>
  <si>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</si>
  <si>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</si>
  <si>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</si>
  <si>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</si>
  <si>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</si>
  <si>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</si>
  <si>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</si>
  <si>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</si>
  <si>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</si>
  <si>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</si>
  <si>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</si>
  <si>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</si>
  <si>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</si>
  <si>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</si>
  <si>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</si>
  <si>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</si>
  <si>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</si>
  <si>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</si>
  <si>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</si>
  <si>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</si>
  <si>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</si>
  <si>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</si>
  <si>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</si>
  <si>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</si>
  <si>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</si>
  <si>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</si>
  <si>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</si>
  <si>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</si>
  <si>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</si>
  <si>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</si>
  <si>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</si>
  <si>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</si>
  <si>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</si>
  <si>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</si>
  <si>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</si>
  <si>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</si>
  <si>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</si>
  <si>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</si>
  <si>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</si>
  <si>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</si>
  <si>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</si>
  <si>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</si>
  <si>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</si>
  <si>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</si>
  <si>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</si>
  <si>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</si>
  <si>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</si>
  <si>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</si>
  <si>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</si>
  <si>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</si>
  <si>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</si>
  <si>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</si>
  <si>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</si>
  <si>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</si>
  <si>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</si>
  <si>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</si>
  <si>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</si>
  <si>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</si>
  <si>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</si>
  <si>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</si>
  <si>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</si>
  <si>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</si>
  <si>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</si>
  <si>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</si>
  <si>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</si>
  <si>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</si>
  <si>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</si>
  <si>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</si>
  <si>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</si>
  <si>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</si>
  <si>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</si>
  <si>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</si>
  <si>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</si>
  <si>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</si>
  <si>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</si>
  <si>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</si>
  <si>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</si>
  <si>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</si>
  <si>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</si>
  <si>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</si>
  <si>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</si>
  <si>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</si>
  <si>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</si>
  <si>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</si>
  <si>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</si>
  <si>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</si>
  <si>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</si>
  <si>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</si>
  <si>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</si>
  <si>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</si>
  <si>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</si>
  <si>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</si>
  <si>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</si>
  <si>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</si>
  <si>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</si>
  <si>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</si>
  <si>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</si>
  <si>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</si>
  <si>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</si>
  <si>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</si>
  <si>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</si>
  <si>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</si>
  <si>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</si>
  <si>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</si>
  <si>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</si>
  <si>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</si>
  <si>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</si>
  <si>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</si>
  <si>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</si>
  <si>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</si>
  <si>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</si>
  <si>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</si>
  <si>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</si>
  <si>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</si>
  <si>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</si>
  <si>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</si>
  <si>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</si>
  <si>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</si>
  <si>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</si>
  <si>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</si>
  <si>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</si>
  <si>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</si>
  <si>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</si>
  <si>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</si>
  <si>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</si>
  <si>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</si>
  <si>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</si>
  <si>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</si>
  <si>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</si>
  <si>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</si>
  <si>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</si>
  <si>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</si>
  <si>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</si>
  <si>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</si>
  <si>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</si>
  <si>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</si>
  <si>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</si>
  <si>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</si>
  <si>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</si>
  <si>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</si>
  <si>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</si>
  <si>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</si>
  <si>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</si>
  <si>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</si>
  <si>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</si>
  <si>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</si>
  <si>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</si>
  <si>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</si>
  <si>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</si>
  <si>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</si>
  <si>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</si>
  <si>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</si>
  <si>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</si>
  <si>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</si>
  <si>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</si>
  <si>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</si>
  <si>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</si>
  <si>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</si>
  <si>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</si>
  <si>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</si>
  <si>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</si>
  <si>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</si>
  <si>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</si>
  <si>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</si>
  <si>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</si>
  <si>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</si>
  <si>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</si>
  <si>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</si>
  <si>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</si>
  <si>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</si>
  <si>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</si>
  <si>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</si>
  <si>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</si>
  <si>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</si>
  <si>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</si>
  <si>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</si>
  <si>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</si>
  <si>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</si>
  <si>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</si>
  <si>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</si>
  <si>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</si>
  <si>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</si>
  <si>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</si>
  <si>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</si>
  <si>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</si>
  <si>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</si>
  <si>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</si>
  <si>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</si>
  <si>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</si>
  <si>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</si>
  <si>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</si>
  <si>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</si>
  <si>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</si>
  <si>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</si>
  <si>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</si>
  <si>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</si>
  <si>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</si>
  <si>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</si>
  <si>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</si>
  <si>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</si>
  <si>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</si>
  <si>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</si>
  <si>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</si>
  <si>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</si>
  <si>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</si>
  <si>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</si>
  <si>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</si>
  <si>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</si>
  <si>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</si>
  <si>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</si>
  <si>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</si>
  <si>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</si>
  <si>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</si>
  <si>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</si>
  <si>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</si>
  <si>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</si>
  <si>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</si>
  <si>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</si>
  <si>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</si>
  <si>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</si>
  <si>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</si>
  <si>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</si>
  <si>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</si>
  <si>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</si>
  <si>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</si>
  <si>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</si>
  <si>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</si>
  <si>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</si>
  <si>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</si>
  <si>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</si>
  <si>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</si>
  <si>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</si>
  <si>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</si>
  <si>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</si>
  <si>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</si>
  <si>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</si>
  <si>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</si>
  <si>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</si>
  <si>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</si>
  <si>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</si>
  <si>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</si>
  <si>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</si>
  <si>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</si>
  <si>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</si>
  <si>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</si>
  <si>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</si>
  <si>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</si>
  <si>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</si>
  <si>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</si>
  <si>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</si>
  <si>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</si>
  <si>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</si>
  <si>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</si>
  <si>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</si>
  <si>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</si>
  <si>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</si>
  <si>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</si>
  <si>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</si>
  <si>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</si>
  <si>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</si>
  <si>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</si>
  <si>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</si>
  <si>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</si>
  <si>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</si>
  <si>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</si>
  <si>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</si>
  <si>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</si>
  <si>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</si>
  <si>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</si>
  <si>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</si>
  <si>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</si>
  <si>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</si>
  <si>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</si>
  <si>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</si>
  <si>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</si>
  <si>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</si>
  <si>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</si>
  <si>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</si>
  <si>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</si>
  <si>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</si>
  <si>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</si>
  <si>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</si>
  <si>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</si>
  <si>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</si>
  <si>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</si>
  <si>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</si>
  <si>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</si>
  <si>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</si>
  <si>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</si>
  <si>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</si>
  <si>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</si>
  <si>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</si>
  <si>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</si>
  <si>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</si>
  <si>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</si>
  <si>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</si>
  <si>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</si>
  <si>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</si>
  <si>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</si>
  <si>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</si>
  <si>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</si>
  <si>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</si>
  <si>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</si>
  <si>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</si>
  <si>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</si>
  <si>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</si>
  <si>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</si>
  <si>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</si>
  <si>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</si>
  <si>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</si>
  <si>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</si>
  <si>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</si>
  <si>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</si>
  <si>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</si>
  <si>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</si>
  <si>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</si>
  <si>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</si>
  <si>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</si>
  <si>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</si>
  <si>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</si>
  <si>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</si>
  <si>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</si>
  <si>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</si>
  <si>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</si>
  <si>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</si>
  <si>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</si>
  <si>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</si>
  <si>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</si>
  <si>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</si>
  <si>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</si>
  <si>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</si>
  <si>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</si>
  <si>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</si>
  <si>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</si>
  <si>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</si>
  <si>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</si>
  <si>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</si>
  <si>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</si>
  <si>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</si>
  <si>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</si>
  <si>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</si>
  <si>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</si>
  <si>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</si>
  <si>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</si>
  <si>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</si>
  <si>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</si>
  <si>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</si>
  <si>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</si>
  <si>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</si>
  <si>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</si>
  <si>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</si>
  <si>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</si>
  <si>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</si>
  <si>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</si>
  <si>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</si>
  <si>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</si>
  <si>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</si>
  <si>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</si>
  <si>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</si>
  <si>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</si>
  <si>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</si>
  <si>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</si>
  <si>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</si>
  <si>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</si>
  <si>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</si>
  <si>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</si>
  <si>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</si>
  <si>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</si>
  <si>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</si>
  <si>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</si>
  <si>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</si>
  <si>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</si>
  <si>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</si>
  <si>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</si>
  <si>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</si>
  <si>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</si>
  <si>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</si>
  <si>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</si>
  <si>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</si>
  <si>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</si>
  <si>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</si>
  <si>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</si>
  <si>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</si>
  <si>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</si>
  <si>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</si>
  <si>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</si>
  <si>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</si>
  <si>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</si>
  <si>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</si>
  <si>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</si>
  <si>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</si>
  <si>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</si>
  <si>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</si>
  <si>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</si>
  <si>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</si>
  <si>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</si>
  <si>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</si>
  <si>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</si>
  <si>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</si>
  <si>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</si>
  <si>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</si>
  <si>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</si>
  <si>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</si>
  <si>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</si>
  <si>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</si>
  <si>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</si>
  <si>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</si>
  <si>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</si>
  <si>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</si>
  <si>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</si>
  <si>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</si>
  <si>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</si>
  <si>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</si>
  <si>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</si>
  <si>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</si>
  <si>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</si>
  <si>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</si>
  <si>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</si>
  <si>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</si>
  <si>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</si>
  <si>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</si>
  <si>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</si>
  <si>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</si>
  <si>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</si>
  <si>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</si>
  <si>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</si>
  <si>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</si>
  <si>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</si>
  <si>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</si>
  <si>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</si>
  <si>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</si>
  <si>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</si>
  <si>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</si>
  <si>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</si>
  <si>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</si>
  <si>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</si>
  <si>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</si>
  <si>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</si>
  <si>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</si>
  <si>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</si>
  <si>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</si>
  <si>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</si>
  <si>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</si>
  <si>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</si>
  <si>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</si>
  <si>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</si>
  <si>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</si>
  <si>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</si>
  <si>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</si>
  <si>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</si>
  <si>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</si>
  <si>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</si>
  <si>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</si>
  <si>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</si>
  <si>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</si>
  <si>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</si>
  <si>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</si>
  <si>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</si>
  <si>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</si>
  <si>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</si>
  <si>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</si>
  <si>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</si>
  <si>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</si>
  <si>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</si>
  <si>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</si>
  <si>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</si>
  <si>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</si>
  <si>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</si>
  <si>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</si>
  <si>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</si>
  <si>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</si>
  <si>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</si>
  <si>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</si>
  <si>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</si>
  <si>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</si>
  <si>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</si>
  <si>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</si>
  <si>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</si>
  <si>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</si>
  <si>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</si>
  <si>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</si>
  <si>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</si>
  <si>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</si>
  <si>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</si>
  <si>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</si>
  <si>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</si>
  <si>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</si>
  <si>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</si>
  <si>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</si>
  <si>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</si>
  <si>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</si>
  <si>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</si>
  <si>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</si>
  <si>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</si>
  <si>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</si>
  <si>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</si>
  <si>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</si>
  <si>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</si>
  <si>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</si>
  <si>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</si>
  <si>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</si>
  <si>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</si>
  <si>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</si>
  <si>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</si>
  <si>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</si>
  <si>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</si>
  <si>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</si>
  <si>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</si>
  <si>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</si>
  <si>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</si>
  <si>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</si>
  <si>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</si>
  <si>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</si>
  <si>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</si>
  <si>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</si>
  <si>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</si>
  <si>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</si>
  <si>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</si>
  <si>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</si>
  <si>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</si>
  <si>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</si>
  <si>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</si>
  <si>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</si>
  <si>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</si>
  <si>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</si>
  <si>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</si>
  <si>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</si>
  <si>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</si>
  <si>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</si>
  <si>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</si>
  <si>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</si>
  <si>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</si>
  <si>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</si>
  <si>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</si>
  <si>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</si>
  <si>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</si>
  <si>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</si>
  <si>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</si>
  <si>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</si>
  <si>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</si>
  <si>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</si>
  <si>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</si>
  <si>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</si>
  <si>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</si>
  <si>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</si>
  <si>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</si>
  <si>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</si>
  <si>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</si>
  <si>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</si>
  <si>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</si>
  <si>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</si>
  <si>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</si>
  <si>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</si>
  <si>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</si>
  <si>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</si>
  <si>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</si>
  <si>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</si>
  <si>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</si>
  <si>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</si>
  <si>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</si>
  <si>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</si>
  <si>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</si>
  <si>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</si>
  <si>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</si>
  <si>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</si>
  <si>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</si>
  <si>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</si>
  <si>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</si>
  <si>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</si>
  <si>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</si>
  <si>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</si>
  <si>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</si>
  <si>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</si>
  <si>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</si>
  <si>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</si>
  <si>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</si>
  <si>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</si>
  <si>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</si>
  <si>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</si>
  <si>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</si>
  <si>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</si>
  <si>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</si>
  <si>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</si>
  <si>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</si>
  <si>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</si>
  <si>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</si>
  <si>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</si>
  <si>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</si>
  <si>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</si>
  <si>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</si>
  <si>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</si>
  <si>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</si>
  <si>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</si>
  <si>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</si>
  <si>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</si>
  <si>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</si>
  <si>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</si>
  <si>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</si>
  <si>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</si>
  <si>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</si>
  <si>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</si>
  <si>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</si>
  <si>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</si>
  <si>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</si>
  <si>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</si>
  <si>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</si>
  <si>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</si>
  <si>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</si>
  <si>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</si>
  <si>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</si>
  <si>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</si>
  <si>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</si>
  <si>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</si>
  <si>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</si>
  <si>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</si>
  <si>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</si>
  <si>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</si>
  <si>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</si>
  <si>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</si>
  <si>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</si>
  <si>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</si>
  <si>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</si>
  <si>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</si>
  <si>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</si>
  <si>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</si>
  <si>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</si>
  <si>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</si>
  <si>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</si>
  <si>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</si>
  <si>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</si>
  <si>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</si>
  <si>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</si>
  <si>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</si>
  <si>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</si>
  <si>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</si>
  <si>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</si>
  <si>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</si>
  <si>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</si>
  <si>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</si>
  <si>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</si>
  <si>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</si>
  <si>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</si>
  <si>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</si>
  <si>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</si>
  <si>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</si>
  <si>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</si>
  <si>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</si>
  <si>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</si>
  <si>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</si>
  <si>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</si>
  <si>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</si>
  <si>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</si>
  <si>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</si>
  <si>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</si>
  <si>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</si>
  <si>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</si>
  <si>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</si>
  <si>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</si>
  <si>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</si>
  <si>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</si>
  <si>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</si>
  <si>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</si>
  <si>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</si>
  <si>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</si>
  <si>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</si>
  <si>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</si>
  <si>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</si>
  <si>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</si>
  <si>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</si>
  <si>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</si>
  <si>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</si>
  <si>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</si>
  <si>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</si>
  <si>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</si>
  <si>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</si>
  <si>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</si>
  <si>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</si>
  <si>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</si>
  <si>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</si>
  <si>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</si>
  <si>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</si>
  <si>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</si>
  <si>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</si>
  <si>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</si>
  <si>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</si>
  <si>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</si>
  <si>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</si>
  <si>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</si>
  <si>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</si>
  <si>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</si>
  <si>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</si>
  <si>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</si>
  <si>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</si>
  <si>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</si>
  <si>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</si>
  <si>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</si>
  <si>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</si>
  <si>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</si>
  <si>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</si>
  <si>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</si>
  <si>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</si>
  <si>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</si>
  <si>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</si>
  <si>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</si>
  <si>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</si>
  <si>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</si>
  <si>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</si>
  <si>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</si>
  <si>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</si>
  <si>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</si>
  <si>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</si>
  <si>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</si>
  <si>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</si>
  <si>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</si>
  <si>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</si>
  <si>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</si>
  <si>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</si>
  <si>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</si>
  <si>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</si>
  <si>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</si>
  <si>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</si>
  <si>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</si>
  <si>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</si>
  <si>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</si>
  <si>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</si>
  <si>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</si>
  <si>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</si>
  <si>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</si>
  <si>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</si>
  <si>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</si>
  <si>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</si>
  <si>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</si>
  <si>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</si>
  <si>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</si>
  <si>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</si>
  <si>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</si>
  <si>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</si>
  <si>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</si>
  <si>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</si>
  <si>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</si>
  <si>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</si>
  <si>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</si>
  <si>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</si>
  <si>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</si>
  <si>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</si>
  <si>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</si>
  <si>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</si>
  <si>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</si>
  <si>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</si>
  <si>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</si>
  <si>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</si>
  <si>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</si>
  <si>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</si>
  <si>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</si>
  <si>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</si>
  <si>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</si>
  <si>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</si>
  <si>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</si>
  <si>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</si>
  <si>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</si>
  <si>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</si>
  <si>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</si>
  <si>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</si>
  <si>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</si>
  <si>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</si>
  <si>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</si>
  <si>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</si>
  <si>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</si>
  <si>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</si>
  <si>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</si>
  <si>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</si>
  <si>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</si>
  <si>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</si>
  <si>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</si>
  <si>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</si>
  <si>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</si>
  <si>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</si>
  <si>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</si>
  <si>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</si>
  <si>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</si>
  <si>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</si>
  <si>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</si>
  <si>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</si>
  <si>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</si>
  <si>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</si>
  <si>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</si>
  <si>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</si>
  <si>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</si>
  <si>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</si>
  <si>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</si>
  <si>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</si>
  <si>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</si>
  <si>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</si>
  <si>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</si>
  <si>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</si>
  <si>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</si>
  <si>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</si>
  <si>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</si>
  <si>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</si>
  <si>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</si>
  <si>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</si>
  <si>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</si>
  <si>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</si>
  <si>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</si>
  <si>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</si>
  <si>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</si>
  <si>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</si>
  <si>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</si>
  <si>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</si>
  <si>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</si>
  <si>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</si>
  <si>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</si>
  <si>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</si>
  <si>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</si>
  <si>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</si>
  <si>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</si>
  <si>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</si>
  <si>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</si>
  <si>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</si>
  <si>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</si>
  <si>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</si>
  <si>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</si>
  <si>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</si>
  <si>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</si>
  <si>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</si>
  <si>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</si>
  <si>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</si>
  <si>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</si>
  <si>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</si>
  <si>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</si>
  <si>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</si>
  <si>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</si>
  <si>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</si>
  <si>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</si>
  <si>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</si>
  <si>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</si>
  <si>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</si>
  <si>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</si>
  <si>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</si>
  <si>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</si>
  <si>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</si>
  <si>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</si>
  <si>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</si>
  <si>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</si>
  <si>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</si>
  <si>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</si>
  <si>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</si>
  <si>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</si>
  <si>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</si>
  <si>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</si>
  <si>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</si>
  <si>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</si>
  <si>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</si>
  <si>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</si>
  <si>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</si>
  <si>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</si>
  <si>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</si>
  <si>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</si>
  <si>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</si>
  <si>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</si>
  <si>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</si>
  <si>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</si>
  <si>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</si>
  <si>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</si>
  <si>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</si>
  <si>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</si>
  <si>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</si>
  <si>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</si>
  <si>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</si>
  <si>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</si>
  <si>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</si>
  <si>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</si>
  <si>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</si>
  <si>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</si>
  <si>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</si>
  <si>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</si>
  <si>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</si>
  <si>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</si>
  <si>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</si>
  <si>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</si>
  <si>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</si>
  <si>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</si>
  <si>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</si>
  <si>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</si>
  <si>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</si>
  <si>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</si>
  <si>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</si>
  <si>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</si>
  <si>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</si>
  <si>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</si>
  <si>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</si>
  <si>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</si>
  <si>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</si>
  <si>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</si>
  <si>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</si>
  <si>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</si>
  <si>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</si>
  <si>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</si>
  <si>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</si>
  <si>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</si>
  <si>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</si>
  <si>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</si>
  <si>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</si>
  <si>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</si>
  <si>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</si>
  <si>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</si>
  <si>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</si>
  <si>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</si>
  <si>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</si>
  <si>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</si>
  <si>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</si>
  <si>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</si>
  <si>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</si>
  <si>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</si>
  <si>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</si>
  <si>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</si>
  <si>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</si>
  <si>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</si>
  <si>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</si>
  <si>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</si>
  <si>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</si>
  <si>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</si>
  <si>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</si>
  <si>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</si>
  <si>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</si>
  <si>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</si>
  <si>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</si>
  <si>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</si>
  <si>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</si>
  <si>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</si>
  <si>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</si>
  <si>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</si>
  <si>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</si>
  <si>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</si>
  <si>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</si>
  <si>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</si>
  <si>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</si>
  <si>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</si>
  <si>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</si>
  <si>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</si>
  <si>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</si>
  <si>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</si>
  <si>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</si>
  <si>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</si>
  <si>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</si>
  <si>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</si>
  <si>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</si>
  <si>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</si>
  <si>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</si>
  <si>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</si>
  <si>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</si>
  <si>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</si>
  <si>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</si>
  <si>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</si>
  <si>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</si>
  <si>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</si>
  <si>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</si>
  <si>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</si>
  <si>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</si>
  <si>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</si>
  <si>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</si>
  <si>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</si>
  <si>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</si>
  <si>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</si>
  <si>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</si>
  <si>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</si>
  <si>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</si>
  <si>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</si>
  <si>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</si>
  <si>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</si>
  <si>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</si>
  <si>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</si>
  <si>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</si>
  <si>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</si>
  <si>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</si>
  <si>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</si>
  <si>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</si>
  <si>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</si>
  <si>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</si>
  <si>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</si>
  <si>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</si>
  <si>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</si>
  <si>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</si>
  <si>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</si>
  <si>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</si>
  <si>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</si>
  <si>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</si>
  <si>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</si>
  <si>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</si>
  <si>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</si>
  <si>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</si>
  <si>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</si>
  <si>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</si>
  <si>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</si>
  <si>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</si>
  <si>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</si>
  <si>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</si>
  <si>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</si>
  <si>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</si>
  <si>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</si>
  <si>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</si>
  <si>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</si>
  <si>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</si>
  <si>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</si>
  <si>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</si>
  <si>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</si>
  <si>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</si>
  <si>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</si>
  <si>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</si>
  <si>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</si>
  <si>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</si>
  <si>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</si>
  <si>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</si>
  <si>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</si>
  <si>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</si>
  <si>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</si>
  <si>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</si>
  <si>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</si>
  <si>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</si>
  <si>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</si>
  <si>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</si>
  <si>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</si>
  <si>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</si>
  <si>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</si>
  <si>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</si>
  <si>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</si>
  <si>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</si>
  <si>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</si>
  <si>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</si>
  <si>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</si>
  <si>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</si>
  <si>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</si>
  <si>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</si>
  <si>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</si>
  <si>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</si>
  <si>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</si>
  <si>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</si>
  <si>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</si>
  <si>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</si>
  <si>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</si>
  <si>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</si>
  <si>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</si>
  <si>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</si>
  <si>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</si>
  <si>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</si>
  <si>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</si>
  <si>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</si>
  <si>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</si>
  <si>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</si>
  <si>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</si>
  <si>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</si>
  <si>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</si>
  <si>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</si>
  <si>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</si>
  <si>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</si>
  <si>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</si>
  <si>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</si>
  <si>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</si>
  <si>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</si>
  <si>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</si>
  <si>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</si>
  <si>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</si>
  <si>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</si>
  <si>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</si>
  <si>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</si>
  <si>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</si>
  <si>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</si>
  <si>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</si>
  <si>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</si>
  <si>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</si>
  <si>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</si>
  <si>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</si>
  <si>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</si>
  <si>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</si>
  <si>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</si>
  <si>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</si>
  <si>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</si>
  <si>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</si>
  <si>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</si>
  <si>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</si>
  <si>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</si>
  <si>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</si>
  <si>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</si>
  <si>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</si>
  <si>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</si>
  <si>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</si>
  <si>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</si>
  <si>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</si>
  <si>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</si>
  <si>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</si>
  <si>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</si>
  <si>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</si>
  <si>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</si>
  <si>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</si>
  <si>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</si>
  <si>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</si>
  <si>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</si>
  <si>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</si>
  <si>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</si>
  <si>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</si>
  <si>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</si>
  <si>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</si>
  <si>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</si>
  <si>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</si>
  <si>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</si>
  <si>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</si>
  <si>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</si>
  <si>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</si>
  <si>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</si>
  <si>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</si>
  <si>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</si>
  <si>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</si>
  <si>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</si>
  <si>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</si>
  <si>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</si>
  <si>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</si>
  <si>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</si>
  <si>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</si>
  <si>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</si>
  <si>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</si>
  <si>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</si>
  <si>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</si>
  <si>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</si>
  <si>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</si>
  <si>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</si>
  <si>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</si>
  <si>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</si>
  <si>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</si>
  <si>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</si>
  <si>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</si>
  <si>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</si>
  <si>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</si>
  <si>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</si>
  <si>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</si>
  <si>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</si>
  <si>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</si>
  <si>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</si>
  <si>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</si>
  <si>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</si>
  <si>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</si>
  <si>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</si>
  <si>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</si>
  <si>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</si>
  <si>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</si>
  <si>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</si>
  <si>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</si>
  <si>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</si>
  <si>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</si>
  <si>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</si>
  <si>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</si>
  <si>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</si>
  <si>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</si>
  <si>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</si>
  <si>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</si>
  <si>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</si>
  <si>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</si>
  <si>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</si>
  <si>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</si>
  <si>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</si>
  <si>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</si>
  <si>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</si>
  <si>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</si>
  <si>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</si>
  <si>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</si>
  <si>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</si>
  <si>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</si>
  <si>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</si>
  <si>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</si>
  <si>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</si>
  <si>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</si>
  <si>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</si>
  <si>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</si>
  <si>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</si>
  <si>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</si>
  <si>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</si>
  <si>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</si>
  <si>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</si>
  <si>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</si>
  <si>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</si>
  <si>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</si>
  <si>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</si>
  <si>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</si>
  <si>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</si>
  <si>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</si>
  <si>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</si>
  <si>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</si>
  <si>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</si>
  <si>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</si>
  <si>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</si>
  <si>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</si>
  <si>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</si>
  <si>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</si>
  <si>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</si>
  <si>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</si>
  <si>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</si>
  <si>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</si>
  <si>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</si>
  <si>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</si>
  <si>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</si>
  <si>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</si>
  <si>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</si>
  <si>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</si>
  <si>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</si>
  <si>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</si>
  <si>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</si>
  <si>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</si>
  <si>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</si>
  <si>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</si>
  <si>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</si>
  <si>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</si>
  <si>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</si>
  <si>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</si>
  <si>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</si>
  <si>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</si>
  <si>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</si>
  <si>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</si>
  <si>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</si>
  <si>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</si>
  <si>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</si>
  <si>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</si>
  <si>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</si>
  <si>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</si>
  <si>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</si>
  <si>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</si>
  <si>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</si>
  <si>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</si>
  <si>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</si>
  <si>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</si>
  <si>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</si>
  <si>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</si>
  <si>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</si>
  <si>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</si>
  <si>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</si>
  <si>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</si>
  <si>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</si>
  <si>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</si>
  <si>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</si>
  <si>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</si>
  <si>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</si>
  <si>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</si>
  <si>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</si>
  <si>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</si>
  <si>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</si>
  <si>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</si>
  <si>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</si>
  <si>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</si>
  <si>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</si>
  <si>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</si>
  <si>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</si>
  <si>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</si>
  <si>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</si>
  <si>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</si>
  <si>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</si>
  <si>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</si>
  <si>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</si>
  <si>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</si>
  <si>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</si>
  <si>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</si>
  <si>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</si>
  <si>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</si>
  <si>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</si>
  <si>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</si>
  <si>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</si>
  <si>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</si>
  <si>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</si>
  <si>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</si>
  <si>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</si>
  <si>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</si>
  <si>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</si>
  <si>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</si>
  <si>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</si>
  <si>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</si>
  <si>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</si>
  <si>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</si>
  <si>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</si>
  <si>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</si>
  <si>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</si>
  <si>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</si>
  <si>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</si>
  <si>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</si>
  <si>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</si>
  <si>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</si>
  <si>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</si>
  <si>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</si>
  <si>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</si>
  <si>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</si>
  <si>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</si>
  <si>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</si>
  <si>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</si>
  <si>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</si>
  <si>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</si>
  <si>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</si>
  <si>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</si>
  <si>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</si>
  <si>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</si>
  <si>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</si>
  <si>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</si>
  <si>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</si>
  <si>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</si>
  <si>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</si>
  <si>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</si>
  <si>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</si>
  <si>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</si>
  <si>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</si>
  <si>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</si>
  <si>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</si>
  <si>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</si>
  <si>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</si>
  <si>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</si>
  <si>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</si>
  <si>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</si>
  <si>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</si>
  <si>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</si>
  <si>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</si>
  <si>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</si>
  <si>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</si>
  <si>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</si>
  <si>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</si>
  <si>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</si>
  <si>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</si>
  <si>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</si>
  <si>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</si>
  <si>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</si>
  <si>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</si>
  <si>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</si>
  <si>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</si>
  <si>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</si>
  <si>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</si>
  <si>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</si>
  <si>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</si>
  <si>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</si>
  <si>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</si>
  <si>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</si>
  <si>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</si>
  <si>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</si>
  <si>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</si>
  <si>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</si>
  <si>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</si>
  <si>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</si>
  <si>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</si>
  <si>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</si>
  <si>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</si>
  <si>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</si>
  <si>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</si>
  <si>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</si>
  <si>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</si>
  <si>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</si>
  <si>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</si>
  <si>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</si>
  <si>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</si>
  <si>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</si>
  <si>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</si>
  <si>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</si>
  <si>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</si>
  <si>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</si>
  <si>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</si>
  <si>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</si>
  <si>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</si>
  <si>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</si>
  <si>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</si>
  <si>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</si>
  <si>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</si>
  <si>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</si>
  <si>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</si>
  <si>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</si>
  <si>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</si>
  <si>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</si>
  <si>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</si>
  <si>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</si>
  <si>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</si>
  <si>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</si>
  <si>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</si>
  <si>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</si>
  <si>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</si>
  <si>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</si>
  <si>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</si>
  <si>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</si>
  <si>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</si>
  <si>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</si>
  <si>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</si>
  <si>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</si>
  <si>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</si>
  <si>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</si>
  <si>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</si>
  <si>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</si>
  <si>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</si>
  <si>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</si>
  <si>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</si>
  <si>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</si>
  <si>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</si>
  <si>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</si>
  <si>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</si>
  <si>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</si>
  <si>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</si>
  <si>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</si>
  <si>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</si>
  <si>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</si>
  <si>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</si>
  <si>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</si>
  <si>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</si>
  <si>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</si>
  <si>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</si>
  <si>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</si>
  <si>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</si>
  <si>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</si>
  <si>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</si>
  <si>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</si>
  <si>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</si>
  <si>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</si>
  <si>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</si>
  <si>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</si>
  <si>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</si>
  <si>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</si>
  <si>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</si>
  <si>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</si>
  <si>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</si>
  <si>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</si>
  <si>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</si>
  <si>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</si>
  <si>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</si>
  <si>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</si>
  <si>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</si>
  <si>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</si>
  <si>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</si>
  <si>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</si>
  <si>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</si>
  <si>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</si>
  <si>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</si>
  <si>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</si>
  <si>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</si>
  <si>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</si>
  <si>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</si>
  <si>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</si>
  <si>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</si>
  <si>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</si>
  <si>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</si>
  <si>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</si>
  <si>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</si>
  <si>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</si>
  <si>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</si>
  <si>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</si>
  <si>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</si>
  <si>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</si>
  <si>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</si>
  <si>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</si>
  <si>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</si>
  <si>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</si>
  <si>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</si>
  <si>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</si>
  <si>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</si>
  <si>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</si>
  <si>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</si>
  <si>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</si>
  <si>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</si>
  <si>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</si>
  <si>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</si>
  <si>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</si>
  <si>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</si>
  <si>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</si>
  <si>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</si>
  <si>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</si>
  <si>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</si>
  <si>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</si>
  <si>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</si>
  <si>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</si>
  <si>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</si>
  <si>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</si>
  <si>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</si>
  <si>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</si>
  <si>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</si>
  <si>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</si>
  <si>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</si>
  <si>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</si>
  <si>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</si>
  <si>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</si>
  <si>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</si>
  <si>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</si>
  <si>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</si>
  <si>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</si>
  <si>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</si>
  <si>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</si>
  <si>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</si>
  <si>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</si>
  <si>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</si>
  <si>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</si>
  <si>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</si>
  <si>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</si>
  <si>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</si>
  <si>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</si>
  <si>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</si>
  <si>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</si>
  <si>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</si>
  <si>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</si>
  <si>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</si>
  <si>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</si>
  <si>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</si>
  <si>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</si>
  <si>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</si>
  <si>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</si>
  <si>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</si>
  <si>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</si>
  <si>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</si>
  <si>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</si>
  <si>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</si>
  <si>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</si>
  <si>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</si>
  <si>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</si>
  <si>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</si>
  <si>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</si>
  <si>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</si>
  <si>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</si>
  <si>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</si>
  <si>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</si>
  <si>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</si>
  <si>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</si>
  <si>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</si>
  <si>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</si>
  <si>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</si>
  <si>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</si>
  <si>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</si>
  <si>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</si>
  <si>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</si>
  <si>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</si>
  <si>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</si>
  <si>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</si>
  <si>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</si>
  <si>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</si>
  <si>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</si>
  <si>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</si>
  <si>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</si>
  <si>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</si>
  <si>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</si>
  <si>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</si>
  <si>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</si>
  <si>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</si>
  <si>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</si>
  <si>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</si>
  <si>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</si>
  <si>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</si>
  <si>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</si>
  <si>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</si>
  <si>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</si>
  <si>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</si>
  <si>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</si>
  <si>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</si>
  <si>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</si>
  <si>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</si>
  <si>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</si>
  <si>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</si>
  <si>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</si>
  <si>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</si>
  <si>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</si>
  <si>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</si>
  <si>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</si>
  <si>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</si>
  <si>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</si>
  <si>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</si>
  <si>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</si>
  <si>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</si>
  <si>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</si>
  <si>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</si>
  <si>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</si>
  <si>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</si>
  <si>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</si>
  <si>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</si>
  <si>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</si>
  <si>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</si>
  <si>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</si>
  <si>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</si>
  <si>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</si>
  <si>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</si>
  <si>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</si>
  <si>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</si>
  <si>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</si>
  <si>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</si>
  <si>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</si>
  <si>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</si>
  <si>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</si>
  <si>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</si>
  <si>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</si>
  <si>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</si>
  <si>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</si>
  <si>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</si>
  <si>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</si>
  <si>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</si>
  <si>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</si>
  <si>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</si>
  <si>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</si>
  <si>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</si>
  <si>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</si>
  <si>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</si>
  <si>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</si>
  <si>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</si>
  <si>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</si>
  <si>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</si>
  <si>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</si>
  <si>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</si>
  <si>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</si>
  <si>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</si>
  <si>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</si>
  <si>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</si>
  <si>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</si>
  <si>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</si>
  <si>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</si>
  <si>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</si>
  <si>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</si>
  <si>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</si>
  <si>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</si>
  <si>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</si>
  <si>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</si>
  <si>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</si>
  <si>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</si>
  <si>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</si>
  <si>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</si>
  <si>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</si>
  <si>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</si>
  <si>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</si>
  <si>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</si>
  <si>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</si>
  <si>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</si>
  <si>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</si>
  <si>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</si>
  <si>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</si>
  <si>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</si>
  <si>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</si>
  <si>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</si>
  <si>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</si>
  <si>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</si>
  <si>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</si>
  <si>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</si>
  <si>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</si>
  <si>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</si>
  <si>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</si>
  <si>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</si>
  <si>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</si>
  <si>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</si>
  <si>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</si>
  <si>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</si>
  <si>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</si>
  <si>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</si>
  <si>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</si>
  <si>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</si>
  <si>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</si>
  <si>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</si>
  <si>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</si>
  <si>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</si>
  <si>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</si>
  <si>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</si>
  <si>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</si>
  <si>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</si>
  <si>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</si>
  <si>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</si>
  <si>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</si>
  <si>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</si>
  <si>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</si>
  <si>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</si>
  <si>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</si>
  <si>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</si>
  <si>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</si>
  <si>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</si>
  <si>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</si>
  <si>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</si>
  <si>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</si>
  <si>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</si>
  <si>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</si>
  <si>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</si>
  <si>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</si>
  <si>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</si>
  <si>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</si>
  <si>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</si>
  <si>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</si>
  <si>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</si>
  <si>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</si>
  <si>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</si>
  <si>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</si>
  <si>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</si>
  <si>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</si>
  <si>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</si>
  <si>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</si>
  <si>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</si>
  <si>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</si>
  <si>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</si>
  <si>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</si>
  <si>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</si>
  <si>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</si>
  <si>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</si>
  <si>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</si>
  <si>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</si>
  <si>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</si>
  <si>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</si>
  <si>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</si>
  <si>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</si>
  <si>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</si>
  <si>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</si>
  <si>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</si>
  <si>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</si>
  <si>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</si>
  <si>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</si>
  <si>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</si>
  <si>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</si>
  <si>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</si>
  <si>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</si>
  <si>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</si>
  <si>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</si>
  <si>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</si>
  <si>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</si>
  <si>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</si>
  <si>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</si>
  <si>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</si>
  <si>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</si>
  <si>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</si>
  <si>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</si>
  <si>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</si>
  <si>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</si>
  <si>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</si>
  <si>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</si>
  <si>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</si>
  <si>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</si>
  <si>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</si>
  <si>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</si>
  <si>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</si>
  <si>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</si>
  <si>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</si>
  <si>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</si>
  <si>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</si>
  <si>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</si>
  <si>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</si>
  <si>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</si>
  <si>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</si>
  <si>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</si>
  <si>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</si>
  <si>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</si>
  <si>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</si>
  <si>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</si>
  <si>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</si>
  <si>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</si>
  <si>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</si>
  <si>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</si>
  <si>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</si>
  <si>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</si>
  <si>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</si>
  <si>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</si>
  <si>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</si>
  <si>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</si>
  <si>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</si>
  <si>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</si>
  <si>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</si>
  <si>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</si>
  <si>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</si>
  <si>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</si>
  <si>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</si>
  <si>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</si>
  <si>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</si>
  <si>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</si>
  <si>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</si>
  <si>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</si>
  <si>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</si>
  <si>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</si>
  <si>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</si>
  <si>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</si>
  <si>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</si>
  <si>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</si>
  <si>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</si>
  <si>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</si>
  <si>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</si>
  <si>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</si>
  <si>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</si>
  <si>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</si>
  <si>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</si>
  <si>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</si>
  <si>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</si>
  <si>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</si>
  <si>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</si>
  <si>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</si>
  <si>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</si>
  <si>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</si>
  <si>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</si>
  <si>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</si>
  <si>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</si>
  <si>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</si>
  <si>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</si>
  <si>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</si>
  <si>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</si>
  <si>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</si>
  <si>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</si>
  <si>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</si>
  <si>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</si>
  <si>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</si>
  <si>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</si>
  <si>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</si>
  <si>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</si>
  <si>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</si>
  <si>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</si>
  <si>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</si>
  <si>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</si>
  <si>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</si>
  <si>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</si>
  <si>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</si>
  <si>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</si>
  <si>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</si>
  <si>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</si>
  <si>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</si>
  <si>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</si>
  <si>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</si>
  <si>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</si>
  <si>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</si>
  <si>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</si>
  <si>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</si>
  <si>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</si>
  <si>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</si>
  <si>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</si>
  <si>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</si>
  <si>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</si>
  <si>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</si>
  <si>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</si>
  <si>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</si>
  <si>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</si>
  <si>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</si>
  <si>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</si>
  <si>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</si>
  <si>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</si>
  <si>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</si>
  <si>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</si>
  <si>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</si>
  <si>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</si>
  <si>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</si>
  <si>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</si>
  <si>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</si>
  <si>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</si>
  <si>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</si>
  <si>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</si>
  <si>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</si>
  <si>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</si>
  <si>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</si>
  <si>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</si>
  <si>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</si>
  <si>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</si>
  <si>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</si>
  <si>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</si>
  <si>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</si>
  <si>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</si>
  <si>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</si>
  <si>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</si>
  <si>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</si>
  <si>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</si>
  <si>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</si>
  <si>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</si>
  <si>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</si>
  <si>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</si>
  <si>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</si>
  <si>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</si>
  <si>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</si>
  <si>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</si>
  <si>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</si>
  <si>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</si>
  <si>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</si>
  <si>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</si>
  <si>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</si>
  <si>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</si>
  <si>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</si>
  <si>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</si>
  <si>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</si>
  <si>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</si>
  <si>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</si>
  <si>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</si>
  <si>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</si>
  <si>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</si>
  <si>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</si>
  <si>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</si>
  <si>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</si>
  <si>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</si>
  <si>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</si>
  <si>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</si>
  <si>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</si>
  <si>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</si>
  <si>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</si>
  <si>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</si>
  <si>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</si>
  <si>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</si>
  <si>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</si>
  <si>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</si>
  <si>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</si>
  <si>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</si>
  <si>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</si>
  <si>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</si>
  <si>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</si>
  <si>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</si>
  <si>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</si>
  <si>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</si>
  <si>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</si>
  <si>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</si>
  <si>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</si>
  <si>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</si>
  <si>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</si>
  <si>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</si>
  <si>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</si>
  <si>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</si>
  <si>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</si>
  <si>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</si>
  <si>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</si>
  <si>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</si>
  <si>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</si>
  <si>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</si>
  <si>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</si>
  <si>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</si>
  <si>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</si>
  <si>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</si>
  <si>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</si>
  <si>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</si>
  <si>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</si>
  <si>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</si>
  <si>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</si>
  <si>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</si>
  <si>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</si>
  <si>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</si>
  <si>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</si>
  <si>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</si>
  <si>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</si>
  <si>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</si>
  <si>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</si>
  <si>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</si>
  <si>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</si>
  <si>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</si>
  <si>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</si>
  <si>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</si>
  <si>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</si>
  <si>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</si>
  <si>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</si>
  <si>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</si>
  <si>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</si>
  <si>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</si>
  <si>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</si>
  <si>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</si>
  <si>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</si>
  <si>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</si>
  <si>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</si>
  <si>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</si>
  <si>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</si>
  <si>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</si>
  <si>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</si>
  <si>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</si>
  <si>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</si>
  <si>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</si>
  <si>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</si>
  <si>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</si>
  <si>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</si>
  <si>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</si>
  <si>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</si>
  <si>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</si>
  <si>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</si>
  <si>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</si>
  <si>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</si>
  <si>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</si>
  <si>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</si>
  <si>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</si>
  <si>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</si>
  <si>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</si>
  <si>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</si>
  <si>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</si>
  <si>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</si>
  <si>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</si>
  <si>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</si>
  <si>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</si>
  <si>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</si>
  <si>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</si>
  <si>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</si>
  <si>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</si>
  <si>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</si>
  <si>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</si>
  <si>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</si>
  <si>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</si>
  <si>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</si>
  <si>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</si>
  <si>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</si>
  <si>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</si>
  <si>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</si>
  <si>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</si>
  <si>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</si>
  <si>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</si>
  <si>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</si>
  <si>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</si>
  <si>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</si>
  <si>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</si>
  <si>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</si>
  <si>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</si>
  <si>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</si>
  <si>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</si>
  <si>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</si>
  <si>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</si>
  <si>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</si>
  <si>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</si>
  <si>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</si>
  <si>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</si>
  <si>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</si>
  <si>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</si>
  <si>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</si>
  <si>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</si>
  <si>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</si>
  <si>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</si>
  <si>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</si>
  <si>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</si>
  <si>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</si>
  <si>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</si>
  <si>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</si>
  <si>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</si>
  <si>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</si>
  <si>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</si>
  <si>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</si>
  <si>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</si>
  <si>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</si>
  <si>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</si>
  <si>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</si>
  <si>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</si>
  <si>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</si>
  <si>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</si>
  <si>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</si>
  <si>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</si>
  <si>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</si>
  <si>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</si>
  <si>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</si>
  <si>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</si>
  <si>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</si>
  <si>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</si>
  <si>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</si>
  <si>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</si>
  <si>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</si>
  <si>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</si>
  <si>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</si>
  <si>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</si>
  <si>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</si>
  <si>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</si>
  <si>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</si>
  <si>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</si>
  <si>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</si>
  <si>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</si>
  <si>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</si>
  <si>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</si>
  <si>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</si>
  <si>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</si>
  <si>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</si>
  <si>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</si>
  <si>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</si>
  <si>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</si>
  <si>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</si>
  <si>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</si>
  <si>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</si>
  <si>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</si>
  <si>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</si>
  <si>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</si>
  <si>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</si>
  <si>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</si>
  <si>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</si>
  <si>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</si>
  <si>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</si>
  <si>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</si>
  <si>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</si>
  <si>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</si>
  <si>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</si>
  <si>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</si>
  <si>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</si>
  <si>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</si>
  <si>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</si>
  <si>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</si>
  <si>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</si>
  <si>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</si>
  <si>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</si>
  <si>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</si>
  <si>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</si>
  <si>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</si>
  <si>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</si>
  <si>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</si>
  <si>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</si>
  <si>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</si>
  <si>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</si>
  <si>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</si>
  <si>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</si>
  <si>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</si>
  <si>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</si>
  <si>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</si>
  <si>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</si>
  <si>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</si>
  <si>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</si>
  <si>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</si>
  <si>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</si>
  <si>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</si>
  <si>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</si>
  <si>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</si>
  <si>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</si>
  <si>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</si>
  <si>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</si>
  <si>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</si>
  <si>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</si>
  <si>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</si>
  <si>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</si>
  <si>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</si>
  <si>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</si>
  <si>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</si>
  <si>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</si>
  <si>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</si>
  <si>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</si>
  <si>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</si>
  <si>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</si>
  <si>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</si>
  <si>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</si>
  <si>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</si>
  <si>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</si>
  <si>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</si>
  <si>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</si>
  <si>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</si>
  <si>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</si>
  <si>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</si>
  <si>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</si>
  <si>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</si>
  <si>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</si>
  <si>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</si>
  <si>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</si>
  <si>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</si>
  <si>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</si>
  <si>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</si>
  <si>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</si>
  <si>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</si>
  <si>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</si>
  <si>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</si>
  <si>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</si>
  <si>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</si>
  <si>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</si>
  <si>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</si>
  <si>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</si>
  <si>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</si>
  <si>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</si>
  <si>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</si>
  <si>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</si>
  <si>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</si>
  <si>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</si>
  <si>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</si>
  <si>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</si>
  <si>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</si>
  <si>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</si>
  <si>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</si>
  <si>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</si>
  <si>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</si>
  <si>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</si>
  <si>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</si>
  <si>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</si>
  <si>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</si>
  <si>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</si>
  <si>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</si>
  <si>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</si>
  <si>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</si>
  <si>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</si>
  <si>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</si>
  <si>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</si>
  <si>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</si>
  <si>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</si>
  <si>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</si>
  <si>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</si>
  <si>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</si>
  <si>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</si>
  <si>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</si>
  <si>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</si>
  <si>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</si>
  <si>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</si>
  <si>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</si>
  <si>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</si>
  <si>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</si>
  <si>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</si>
  <si>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</si>
  <si>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</si>
  <si>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</si>
  <si>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</si>
  <si>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</si>
  <si>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</si>
  <si>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</si>
  <si>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</si>
  <si>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</si>
  <si>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</si>
  <si>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</si>
  <si>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</si>
  <si>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</si>
  <si>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</si>
  <si>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</si>
  <si>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</si>
  <si>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</si>
  <si>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</si>
  <si>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</si>
  <si>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</si>
  <si>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</si>
  <si>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</si>
  <si>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</si>
  <si>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</si>
  <si>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</si>
  <si>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</si>
  <si>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</si>
  <si>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</si>
  <si>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</si>
  <si>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</si>
  <si>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</si>
  <si>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</si>
  <si>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</si>
  <si>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</si>
  <si>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</si>
  <si>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</si>
  <si>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</si>
  <si>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</si>
  <si>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</si>
  <si>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</si>
  <si>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</si>
  <si>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</si>
  <si>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</si>
  <si>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</si>
  <si>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</si>
  <si>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</si>
  <si>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</si>
  <si>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</si>
  <si>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</si>
  <si>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</si>
  <si>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</si>
  <si>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</si>
  <si>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</si>
  <si>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</si>
  <si>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</si>
  <si>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</si>
  <si>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</si>
  <si>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</si>
  <si>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</si>
  <si>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</si>
  <si>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</si>
  <si>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</si>
  <si>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</si>
  <si>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</si>
  <si>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</si>
  <si>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</si>
  <si>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</si>
  <si>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</si>
  <si>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</si>
  <si>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</si>
  <si>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</si>
  <si>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</si>
  <si>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</si>
  <si>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</si>
  <si>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</si>
  <si>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</si>
  <si>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</si>
  <si>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</si>
  <si>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</si>
  <si>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</si>
  <si>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</si>
  <si>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</si>
  <si>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</si>
  <si>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</si>
  <si>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</si>
  <si>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</si>
  <si>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</si>
  <si>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</si>
  <si>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</si>
  <si>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</si>
  <si>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</si>
  <si>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</si>
  <si>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</si>
  <si>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</si>
  <si>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</si>
  <si>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</si>
  <si>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</si>
  <si>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</si>
  <si>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</si>
  <si>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</si>
  <si>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</si>
  <si>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</si>
  <si>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</si>
  <si>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</si>
  <si>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</si>
  <si>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</si>
  <si>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</si>
  <si>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</si>
  <si>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</si>
  <si>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</si>
  <si>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</si>
  <si>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</si>
  <si>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</si>
  <si>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</si>
  <si>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</si>
  <si>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</si>
  <si>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</si>
  <si>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</si>
  <si>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</si>
  <si>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</si>
  <si>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</si>
  <si>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</si>
  <si>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</si>
  <si>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</si>
  <si>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</si>
  <si>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</si>
  <si>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</si>
  <si>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</si>
  <si>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</si>
  <si>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</si>
  <si>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</si>
  <si>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</si>
  <si>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</si>
  <si>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</si>
  <si>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</si>
  <si>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</si>
  <si>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</si>
  <si>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</si>
  <si>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</si>
  <si>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</si>
  <si>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</si>
  <si>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</si>
  <si>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</si>
  <si>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</si>
  <si>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</si>
  <si>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</si>
  <si>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</si>
  <si>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</si>
  <si>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</si>
  <si>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</si>
  <si>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</si>
  <si>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</si>
  <si>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</si>
  <si>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</si>
  <si>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</si>
  <si>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</si>
  <si>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</si>
  <si>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</si>
  <si>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</si>
  <si>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</si>
  <si>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</si>
  <si>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</si>
  <si>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</si>
  <si>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</si>
  <si>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</si>
  <si>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</si>
  <si>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</si>
  <si>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</si>
  <si>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</si>
  <si>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</si>
  <si>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</si>
  <si>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</si>
  <si>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</si>
  <si>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</si>
  <si>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</si>
  <si>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</si>
  <si>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</si>
  <si>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</si>
  <si>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</si>
  <si>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</si>
  <si>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</si>
  <si>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</si>
  <si>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</si>
  <si>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</si>
  <si>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</si>
  <si>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</si>
  <si>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</si>
  <si>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</si>
  <si>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</si>
  <si>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</si>
  <si>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</si>
  <si>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</si>
  <si>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</si>
  <si>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</si>
  <si>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</si>
  <si>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</si>
  <si>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</si>
  <si>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</si>
  <si>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</si>
  <si>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</si>
  <si>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</si>
  <si>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</si>
  <si>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</si>
  <si>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</si>
  <si>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</si>
  <si>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</si>
  <si>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</si>
  <si>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</si>
  <si>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</si>
  <si>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</si>
  <si>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</si>
  <si>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</si>
  <si>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</si>
  <si>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</si>
  <si>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</si>
  <si>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</si>
  <si>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</si>
  <si>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</si>
  <si>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</si>
  <si>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</si>
  <si>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</si>
  <si>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</si>
  <si>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</si>
  <si>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</si>
  <si>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</si>
  <si>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</si>
  <si>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</si>
  <si>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</si>
  <si>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</si>
  <si>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</si>
  <si>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</si>
  <si>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</si>
  <si>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</si>
  <si>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</si>
  <si>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</si>
  <si>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</si>
  <si>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</si>
  <si>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</si>
  <si>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</si>
  <si>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</si>
  <si>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</si>
  <si>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</si>
  <si>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</si>
  <si>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</si>
  <si>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</si>
  <si>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</si>
  <si>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</si>
  <si>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</si>
  <si>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</si>
  <si>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</si>
  <si>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</si>
  <si>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</si>
  <si>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</si>
  <si>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</si>
  <si>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</si>
  <si>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</si>
  <si>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</si>
  <si>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</si>
  <si>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</si>
  <si>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</si>
  <si>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</si>
  <si>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</si>
  <si>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</si>
  <si>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</si>
  <si>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</si>
  <si>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</si>
  <si>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</si>
  <si>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</si>
  <si>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</si>
  <si>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</si>
  <si>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</si>
  <si>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</si>
  <si>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</si>
  <si>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</si>
  <si>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</si>
  <si>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</si>
  <si>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</si>
  <si>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</si>
  <si>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</si>
  <si>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</si>
  <si>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</si>
  <si>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</si>
  <si>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</si>
  <si>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</si>
  <si>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</si>
  <si>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</si>
  <si>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</si>
  <si>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</si>
  <si>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</si>
  <si>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</si>
  <si>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</si>
  <si>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</si>
  <si>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</si>
  <si>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</si>
  <si>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</si>
  <si>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</si>
  <si>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</si>
  <si>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</si>
  <si>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</si>
  <si>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</si>
  <si>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</si>
  <si>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</si>
  <si>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</si>
  <si>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</si>
  <si>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</si>
  <si>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</si>
  <si>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</si>
  <si>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</si>
  <si>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</si>
  <si>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</si>
  <si>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</si>
  <si>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</si>
  <si>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</si>
  <si>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</si>
  <si>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</si>
  <si>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</si>
  <si>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</si>
  <si>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</si>
  <si>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</si>
  <si>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</si>
  <si>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</si>
  <si>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</si>
  <si>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</si>
  <si>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</si>
  <si>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</si>
  <si>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</si>
  <si>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</si>
  <si>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</si>
  <si>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</si>
  <si>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</si>
  <si>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</si>
  <si>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</si>
  <si>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</si>
  <si>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</si>
  <si>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</si>
  <si>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</si>
  <si>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</si>
  <si>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</si>
  <si>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</si>
  <si>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</si>
  <si>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</si>
  <si>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</si>
  <si>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</si>
  <si>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</si>
  <si>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</si>
  <si>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</si>
  <si>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</si>
  <si>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</si>
  <si>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</si>
  <si>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</si>
  <si>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</si>
  <si>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</si>
  <si>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</si>
  <si>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</si>
  <si>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</si>
  <si>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</si>
  <si>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</si>
  <si>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</si>
  <si>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</si>
  <si>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</si>
  <si>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</si>
  <si>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</si>
  <si>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</si>
  <si>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</si>
  <si>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</si>
  <si>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</si>
  <si>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</si>
  <si>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</si>
  <si>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</si>
  <si>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</si>
  <si>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</si>
  <si>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</si>
  <si>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</si>
  <si>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</si>
  <si>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</si>
  <si>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</si>
  <si>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</si>
  <si>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</si>
  <si>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</si>
  <si>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</si>
  <si>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</si>
  <si>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</si>
  <si>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</si>
  <si>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</si>
  <si>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</si>
  <si>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</si>
  <si>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</si>
  <si>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</si>
  <si>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</si>
  <si>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</si>
  <si>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</si>
  <si>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</si>
  <si>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</si>
  <si>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</si>
  <si>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</si>
  <si>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</si>
  <si>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</si>
  <si>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</si>
  <si>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</si>
  <si>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</si>
  <si>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</si>
  <si>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</si>
  <si>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</si>
  <si>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</si>
  <si>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</si>
  <si>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</si>
  <si>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</si>
  <si>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</si>
  <si>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</si>
  <si>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</si>
  <si>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</si>
  <si>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</si>
  <si>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</si>
  <si>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</si>
  <si>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</si>
  <si>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</si>
  <si>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</si>
  <si>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</si>
  <si>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</si>
  <si>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</si>
  <si>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</si>
  <si>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</si>
  <si>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</si>
  <si>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</si>
  <si>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</si>
  <si>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</si>
  <si>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</si>
  <si>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</si>
  <si>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</si>
  <si>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</si>
  <si>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</si>
  <si>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</si>
  <si>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</si>
  <si>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</si>
  <si>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</si>
  <si>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</si>
  <si>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</si>
  <si>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</si>
  <si>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</si>
  <si>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</si>
  <si>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</si>
  <si>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</si>
  <si>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</si>
  <si>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</si>
  <si>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</si>
  <si>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</si>
  <si>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</si>
  <si>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</si>
  <si>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</si>
  <si>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</si>
  <si>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</si>
  <si>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</si>
  <si>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</si>
  <si>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</si>
  <si>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</si>
  <si>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</si>
  <si>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</si>
  <si>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</si>
  <si>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</si>
  <si>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</si>
  <si>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</si>
  <si>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</si>
  <si>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</si>
  <si>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</si>
  <si>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</si>
  <si>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</si>
  <si>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</si>
  <si>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</si>
  <si>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</si>
  <si>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</si>
  <si>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</si>
  <si>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</si>
  <si>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</si>
  <si>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</si>
  <si>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</si>
  <si>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</si>
  <si>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</si>
  <si>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</si>
  <si>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</si>
  <si>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</si>
  <si>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</si>
  <si>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</si>
  <si>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</si>
  <si>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</si>
  <si>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</si>
  <si>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</si>
  <si>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</si>
  <si>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</si>
  <si>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</si>
  <si>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</si>
  <si>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</si>
  <si>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</si>
  <si>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</si>
  <si>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</si>
  <si>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</si>
  <si>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</si>
  <si>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</si>
  <si>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</si>
  <si>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</si>
  <si>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</si>
  <si>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</si>
  <si>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</si>
  <si>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</si>
  <si>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</si>
  <si>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</si>
  <si>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</si>
  <si>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</si>
  <si>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</si>
  <si>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</si>
  <si>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</si>
  <si>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</si>
  <si>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</si>
  <si>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</si>
  <si>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</si>
  <si>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</si>
  <si>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</si>
  <si>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</si>
  <si>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</si>
  <si>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</si>
  <si>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</si>
  <si>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</si>
  <si>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</si>
  <si>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</si>
  <si>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</si>
  <si>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</si>
  <si>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</si>
  <si>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</si>
  <si>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</si>
  <si>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</si>
  <si>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</si>
  <si>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</si>
  <si>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</si>
  <si>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</si>
  <si>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</si>
  <si>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</si>
  <si>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</si>
  <si>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</si>
  <si>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</si>
  <si>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</si>
  <si>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</si>
  <si>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</si>
  <si>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</si>
  <si>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</si>
  <si>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</si>
  <si>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</si>
  <si>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</si>
  <si>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</si>
  <si>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</si>
  <si>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</si>
  <si>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</si>
  <si>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</si>
  <si>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</si>
  <si>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</si>
  <si>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</si>
  <si>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</si>
  <si>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</si>
  <si>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</si>
  <si>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</si>
  <si>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</si>
  <si>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</si>
  <si>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</si>
  <si>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</si>
  <si>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</si>
  <si>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</si>
  <si>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</si>
  <si>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</si>
  <si>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</si>
  <si>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</si>
  <si>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</si>
  <si>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</si>
  <si>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</si>
  <si>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</si>
  <si>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</si>
  <si>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</si>
  <si>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</si>
  <si>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</si>
  <si>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</si>
  <si>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</si>
  <si>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</si>
  <si>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</si>
  <si>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</si>
  <si>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</si>
  <si>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</si>
  <si>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</si>
  <si>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</si>
  <si>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</si>
  <si>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</si>
  <si>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</si>
  <si>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</si>
  <si>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</si>
  <si>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</si>
  <si>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</si>
  <si>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</si>
  <si>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</si>
  <si>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</si>
  <si>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</si>
  <si>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</si>
  <si>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</si>
  <si>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</si>
  <si>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</si>
  <si>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</si>
  <si>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</si>
  <si>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</si>
  <si>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</si>
  <si>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</si>
  <si>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</si>
  <si>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</si>
  <si>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</si>
  <si>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</si>
  <si>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</si>
  <si>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</si>
  <si>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</si>
  <si>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</si>
  <si>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</si>
  <si>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</si>
  <si>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</si>
  <si>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</si>
  <si>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</si>
  <si>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</si>
  <si>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</si>
  <si>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</si>
  <si>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</si>
  <si>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</si>
  <si>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</si>
  <si>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</si>
  <si>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</si>
  <si>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</si>
  <si>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</si>
  <si>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</si>
  <si>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</si>
  <si>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</si>
  <si>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</si>
  <si>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</si>
  <si>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</si>
  <si>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</si>
  <si>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</si>
  <si>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</si>
  <si>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</si>
  <si>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</si>
  <si>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</si>
  <si>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</si>
  <si>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</si>
  <si>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</si>
  <si>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</si>
  <si>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</si>
  <si>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</si>
  <si>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</si>
  <si>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</si>
  <si>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</si>
  <si>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</si>
  <si>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</si>
  <si>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</si>
  <si>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</si>
  <si>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</si>
  <si>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</si>
  <si>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</si>
  <si>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</si>
  <si>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</si>
  <si>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</si>
  <si>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</si>
  <si>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</si>
  <si>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</si>
  <si>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</si>
  <si>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</si>
  <si>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</si>
  <si>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</si>
  <si>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</si>
  <si>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</si>
  <si>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</si>
  <si>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</si>
  <si>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</si>
  <si>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</si>
  <si>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</si>
  <si>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</si>
  <si>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</si>
  <si>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</si>
  <si>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</si>
  <si>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</si>
  <si>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</si>
  <si>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</si>
  <si>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</si>
  <si>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</si>
  <si>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</si>
  <si>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</si>
  <si>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</si>
  <si>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</si>
  <si>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</si>
  <si>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</si>
  <si>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</si>
  <si>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</si>
  <si>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</si>
  <si>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</si>
  <si>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</si>
  <si>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</si>
  <si>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</si>
  <si>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</si>
  <si>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</si>
  <si>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</si>
  <si>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</si>
  <si>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</si>
  <si>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</si>
  <si>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</si>
  <si>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</si>
  <si>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</si>
  <si>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</si>
  <si>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</si>
  <si>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</si>
  <si>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</si>
  <si>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</si>
  <si>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</si>
  <si>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</si>
  <si>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</si>
  <si>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</si>
  <si>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</si>
  <si>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</si>
  <si>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</si>
  <si>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</si>
  <si>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</si>
  <si>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</si>
  <si>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</si>
  <si>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</si>
  <si>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</si>
  <si>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</si>
  <si>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</si>
  <si>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</si>
  <si>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</si>
  <si>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</si>
  <si>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</si>
  <si>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</si>
  <si>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</si>
  <si>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</si>
  <si>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</si>
  <si>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</si>
  <si>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</si>
  <si>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</si>
  <si>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</si>
  <si>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</si>
  <si>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</si>
  <si>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</si>
  <si>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</si>
  <si>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</si>
  <si>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</si>
  <si>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</si>
  <si>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</si>
  <si>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</si>
  <si>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</si>
  <si>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</si>
  <si>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</si>
  <si>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</si>
  <si>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</si>
  <si>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</si>
  <si>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</si>
  <si>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</si>
  <si>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</si>
  <si>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</si>
  <si>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</si>
  <si>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</si>
  <si>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</si>
  <si>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</si>
  <si>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</si>
  <si>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</si>
  <si>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</si>
  <si>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</si>
  <si>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</si>
  <si>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</si>
  <si>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</si>
  <si>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</si>
  <si>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</si>
  <si>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</si>
  <si>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</si>
  <si>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</si>
  <si>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</si>
  <si>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</si>
  <si>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</si>
  <si>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</si>
  <si>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</si>
  <si>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</si>
  <si>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</si>
  <si>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</si>
  <si>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</si>
  <si>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</si>
  <si>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</si>
  <si>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</si>
  <si>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</si>
  <si>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</si>
  <si>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</si>
  <si>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</si>
  <si>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</si>
  <si>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</si>
  <si>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</si>
  <si>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</si>
  <si>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</si>
  <si>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</si>
  <si>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</si>
  <si>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</si>
  <si>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</si>
  <si>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</si>
  <si>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</si>
  <si>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</si>
  <si>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</si>
  <si>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</si>
  <si>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</si>
  <si>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</si>
  <si>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</si>
  <si>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</si>
  <si>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</si>
  <si>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</si>
  <si>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</si>
  <si>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</si>
  <si>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</si>
  <si>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</si>
  <si>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</si>
  <si>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</si>
  <si>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</si>
  <si>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</si>
  <si>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</si>
  <si>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</si>
  <si>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</si>
  <si>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</si>
  <si>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</si>
  <si>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</si>
  <si>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</si>
  <si>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</si>
  <si>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</si>
  <si>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</si>
  <si>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</si>
  <si>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</si>
  <si>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</si>
  <si>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</si>
  <si>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</si>
  <si>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</si>
  <si>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</si>
  <si>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</si>
  <si>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</si>
  <si>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</si>
  <si>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</si>
  <si>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</si>
  <si>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</si>
  <si>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</si>
  <si>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</si>
  <si>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</si>
  <si>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</si>
  <si>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</si>
  <si>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</si>
  <si>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</si>
  <si>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</si>
  <si>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</si>
  <si>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</si>
  <si>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</si>
  <si>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</si>
  <si>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</si>
  <si>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</si>
  <si>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</si>
  <si>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</si>
  <si>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</si>
  <si>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</si>
  <si>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</si>
  <si>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</si>
  <si>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</si>
  <si>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</si>
  <si>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</si>
  <si>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</si>
  <si>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</si>
  <si>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</si>
  <si>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</si>
  <si>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</si>
  <si>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</si>
  <si>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</si>
  <si>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</si>
  <si>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</si>
  <si>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</si>
  <si>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</si>
  <si>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</si>
  <si>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</si>
  <si>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</si>
  <si>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</si>
  <si>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</si>
  <si>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</si>
  <si>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</si>
  <si>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</si>
  <si>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</si>
  <si>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</si>
  <si>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</si>
  <si>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</si>
  <si>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</si>
  <si>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</si>
  <si>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</si>
  <si>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</si>
  <si>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</si>
  <si>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</si>
  <si>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</si>
  <si>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</si>
  <si>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</si>
  <si>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</si>
  <si>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</si>
  <si>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</si>
  <si>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</si>
  <si>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</si>
  <si>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</si>
  <si>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</si>
  <si>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</si>
  <si>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</si>
  <si>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</si>
  <si>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</si>
  <si>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</si>
  <si>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</si>
  <si>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</si>
  <si>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</si>
  <si>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</si>
  <si>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</si>
  <si>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</si>
  <si>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</si>
  <si>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</si>
  <si>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</si>
  <si>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</si>
  <si>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</si>
  <si>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</si>
  <si>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</si>
  <si>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</si>
  <si>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</si>
  <si>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</si>
  <si>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</si>
  <si>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</si>
  <si>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</si>
  <si>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</si>
  <si>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</si>
  <si>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</si>
  <si>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</si>
  <si>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</si>
  <si>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</si>
  <si>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</si>
  <si>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</si>
  <si>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</si>
  <si>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</si>
  <si>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</si>
  <si>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</si>
  <si>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</si>
  <si>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</si>
  <si>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</si>
  <si>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</si>
  <si>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</si>
  <si>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</si>
  <si>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</si>
  <si>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</si>
  <si>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</si>
  <si>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</si>
  <si>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</si>
  <si>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</si>
  <si>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</si>
  <si>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</si>
  <si>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</si>
  <si>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</si>
  <si>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</si>
  <si>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</si>
  <si>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</si>
  <si>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</si>
  <si>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</si>
  <si>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</si>
  <si>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</si>
  <si>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</si>
  <si>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</si>
  <si>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</si>
  <si>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</si>
  <si>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</si>
  <si>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</si>
  <si>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</si>
  <si>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</si>
  <si>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</si>
  <si>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</si>
  <si>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</si>
  <si>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</si>
  <si>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</si>
  <si>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</si>
  <si>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</si>
  <si>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</si>
  <si>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</si>
  <si>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</si>
  <si>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</si>
  <si>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</si>
  <si>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</si>
  <si>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</si>
  <si>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</si>
  <si>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</si>
  <si>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</si>
  <si>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</si>
  <si>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</si>
  <si>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</si>
  <si>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</si>
  <si>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</si>
  <si>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</si>
  <si>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</si>
  <si>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</si>
  <si>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</si>
  <si>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</si>
  <si>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</si>
  <si>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</si>
  <si>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</si>
  <si>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</si>
  <si>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</si>
  <si>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</si>
  <si>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</si>
  <si>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</si>
  <si>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</si>
  <si>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</si>
  <si>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</si>
  <si>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</si>
  <si>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</si>
  <si>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</si>
  <si>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</si>
  <si>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</si>
  <si>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</si>
  <si>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</si>
  <si>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</si>
  <si>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</si>
  <si>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</si>
  <si>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</si>
  <si>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</si>
  <si>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</si>
  <si>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</si>
  <si>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</si>
  <si>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</si>
  <si>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</si>
  <si>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</si>
  <si>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</si>
  <si>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</si>
  <si>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</si>
  <si>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</si>
  <si>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</si>
  <si>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</si>
  <si>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</si>
  <si>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</si>
  <si>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</si>
  <si>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</si>
  <si>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</si>
  <si>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</si>
  <si>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</si>
  <si>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</si>
  <si>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</si>
  <si>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</si>
  <si>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</si>
  <si>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</si>
  <si>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</si>
  <si>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</si>
  <si>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</si>
  <si>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</si>
  <si>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</si>
  <si>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</si>
  <si>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</si>
  <si>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</si>
  <si>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</si>
  <si>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</si>
  <si>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</si>
  <si>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</si>
  <si>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</si>
  <si>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</si>
  <si>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</si>
  <si>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</si>
  <si>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</si>
  <si>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</si>
  <si>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</si>
  <si>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</si>
  <si>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</si>
  <si>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</si>
  <si>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</si>
  <si>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</si>
  <si>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</si>
  <si>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</si>
  <si>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</si>
  <si>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</si>
  <si>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</si>
  <si>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</si>
  <si>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</si>
  <si>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</si>
  <si>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</si>
  <si>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</si>
  <si>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</si>
  <si>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</si>
  <si>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</si>
  <si>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</si>
  <si>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</si>
  <si>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</si>
  <si>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</si>
  <si>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</si>
  <si>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</si>
  <si>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</si>
  <si>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</si>
  <si>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</si>
  <si>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</si>
  <si>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</si>
  <si>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</si>
  <si>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</si>
  <si>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</si>
  <si>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</si>
  <si>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</si>
  <si>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</si>
  <si>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</si>
  <si>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</si>
  <si>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</si>
  <si>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</si>
  <si>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</si>
  <si>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</si>
  <si>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</si>
  <si>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</si>
  <si>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</si>
  <si>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</si>
  <si>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</si>
  <si>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</si>
  <si>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</si>
  <si>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</si>
  <si>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</si>
  <si>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</si>
  <si>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</si>
  <si>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</si>
  <si>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</si>
  <si>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</si>
  <si>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</si>
  <si>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</si>
  <si>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</si>
  <si>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</si>
  <si>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</si>
  <si>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</si>
  <si>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</si>
  <si>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</si>
  <si>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</si>
  <si>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</si>
  <si>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</si>
  <si>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</si>
  <si>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</si>
  <si>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</si>
  <si>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</si>
  <si>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</si>
  <si>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</si>
  <si>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</si>
  <si>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</si>
  <si>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</si>
  <si>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</si>
  <si>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</si>
  <si>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</si>
  <si>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</si>
  <si>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</si>
  <si>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</si>
  <si>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</si>
  <si>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</si>
  <si>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</si>
  <si>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</si>
  <si>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</si>
  <si>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</si>
  <si>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</si>
  <si>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</si>
  <si>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</si>
  <si>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</si>
  <si>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</si>
  <si>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</si>
  <si>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</si>
  <si>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</si>
  <si>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</si>
  <si>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</si>
  <si>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</si>
  <si>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</si>
  <si>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</si>
  <si>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</si>
  <si>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</si>
  <si>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</si>
  <si>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</si>
  <si>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</si>
  <si>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</si>
  <si>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</si>
  <si>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</si>
  <si>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</si>
  <si>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</si>
  <si>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</si>
  <si>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</si>
  <si>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</si>
  <si>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</si>
  <si>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</si>
  <si>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</si>
  <si>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</si>
  <si>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</si>
  <si>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</si>
  <si>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</si>
  <si>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</si>
  <si>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</si>
  <si>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</si>
  <si>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</si>
  <si>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</si>
  <si>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</si>
  <si>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</si>
  <si>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</si>
  <si>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</si>
  <si>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</si>
  <si>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</si>
  <si>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</si>
  <si>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</si>
  <si>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</si>
  <si>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</si>
  <si>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</si>
  <si>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</si>
  <si>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</si>
  <si>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</si>
  <si>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</si>
  <si>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</si>
  <si>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</si>
  <si>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</si>
  <si>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</si>
  <si>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</si>
  <si>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</si>
  <si>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</si>
  <si>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</si>
  <si>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</si>
  <si>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</si>
  <si>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</si>
  <si>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</si>
  <si>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</si>
  <si>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</si>
  <si>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</si>
  <si>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</si>
  <si>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</si>
  <si>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</si>
  <si>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</si>
  <si>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</si>
  <si>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</si>
  <si>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</si>
  <si>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</si>
  <si>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</si>
  <si>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</si>
  <si>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</si>
  <si>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</si>
  <si>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</si>
  <si>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</si>
  <si>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</si>
  <si>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</si>
  <si>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</si>
  <si>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</si>
  <si>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</si>
  <si>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</si>
  <si>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</si>
  <si>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</si>
  <si>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</si>
  <si>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</si>
  <si>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</si>
  <si>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</si>
  <si>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</si>
  <si>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</si>
  <si>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</si>
  <si>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</si>
  <si>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</si>
  <si>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</si>
  <si>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</si>
  <si>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</si>
  <si>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</si>
  <si>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</si>
  <si>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</si>
  <si>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</si>
  <si>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</si>
  <si>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</si>
  <si>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</si>
  <si>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</si>
  <si>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</si>
  <si>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</si>
  <si>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</si>
  <si>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</si>
  <si>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</si>
  <si>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</si>
  <si>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</si>
  <si>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</si>
  <si>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</si>
  <si>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</si>
  <si>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</si>
  <si>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</si>
  <si>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</si>
  <si>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</si>
  <si>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</si>
  <si>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</si>
  <si>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</si>
  <si>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</si>
  <si>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</si>
  <si>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</si>
  <si>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</si>
  <si>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</si>
  <si>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</si>
  <si>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</si>
  <si>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</si>
  <si>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</si>
  <si>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</si>
  <si>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</si>
  <si>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</si>
  <si>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</si>
  <si>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</si>
  <si>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</si>
  <si>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</si>
  <si>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</si>
  <si>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</si>
  <si>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</si>
  <si>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</si>
  <si>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</si>
  <si>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</si>
  <si>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</si>
  <si>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</si>
  <si>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</si>
  <si>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</si>
  <si>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</si>
  <si>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</si>
  <si>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</si>
  <si>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</si>
  <si>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</si>
  <si>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</si>
  <si>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</si>
  <si>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</si>
  <si>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</si>
  <si>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</si>
  <si>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</si>
  <si>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</si>
  <si>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</si>
  <si>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</si>
  <si>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</si>
  <si>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</si>
  <si>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</si>
  <si>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</si>
  <si>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</si>
  <si>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</si>
  <si>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</si>
  <si>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</si>
  <si>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</si>
  <si>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</si>
  <si>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</si>
  <si>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</si>
  <si>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</si>
  <si>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</si>
  <si>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</si>
  <si>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</si>
  <si>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</si>
  <si>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</si>
  <si>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</si>
  <si>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</si>
  <si>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</si>
  <si>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</si>
  <si>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</si>
  <si>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</si>
  <si>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</si>
  <si>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</si>
  <si>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</si>
  <si>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</si>
  <si>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</si>
  <si>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</si>
  <si>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</si>
  <si>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</si>
  <si>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</si>
  <si>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</si>
  <si>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</si>
  <si>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</si>
  <si>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</si>
  <si>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</si>
  <si>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</si>
  <si>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</si>
  <si>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</si>
  <si>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</si>
  <si>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</si>
  <si>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</si>
  <si>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</si>
  <si>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</si>
  <si>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</si>
  <si>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</si>
  <si>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</si>
  <si>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</si>
  <si>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</si>
  <si>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</si>
  <si>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</si>
  <si>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</si>
  <si>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</si>
  <si>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</si>
  <si>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</si>
  <si>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</si>
  <si>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</si>
  <si>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</si>
  <si>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</si>
  <si>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</si>
  <si>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</si>
  <si>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</si>
  <si>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</si>
  <si>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</si>
  <si>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</si>
  <si>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</si>
  <si>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</si>
  <si>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</si>
  <si>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</si>
  <si>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</si>
  <si>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</si>
  <si>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</si>
  <si>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</si>
  <si>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</si>
  <si>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</si>
  <si>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</si>
  <si>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</si>
  <si>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</si>
  <si>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</si>
  <si>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</si>
  <si>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</si>
  <si>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</si>
  <si>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</si>
  <si>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</si>
  <si>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</si>
  <si>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</si>
  <si>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</si>
  <si>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</si>
  <si>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</si>
  <si>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</si>
  <si>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</si>
  <si>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</si>
  <si>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</si>
  <si>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</si>
  <si>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</si>
  <si>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</si>
  <si>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</si>
  <si>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</si>
  <si>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</si>
  <si>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</si>
  <si>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</si>
  <si>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</si>
  <si>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</si>
  <si>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</si>
  <si>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</si>
  <si>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</si>
  <si>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</si>
  <si>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</si>
  <si>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</si>
  <si>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</si>
  <si>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</si>
  <si>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</si>
  <si>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</si>
  <si>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</si>
  <si>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</si>
  <si>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</si>
  <si>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</si>
  <si>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</si>
  <si>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</si>
  <si>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</si>
  <si>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</si>
  <si>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</si>
  <si>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</si>
  <si>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</si>
  <si>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</si>
  <si>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</si>
  <si>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</si>
  <si>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</si>
  <si>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</si>
  <si>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</si>
  <si>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</si>
  <si>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</si>
  <si>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</si>
  <si>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</si>
  <si>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</si>
  <si>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</si>
  <si>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</si>
  <si>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</si>
  <si>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</si>
  <si>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</si>
  <si>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</si>
  <si>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</si>
  <si>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</si>
  <si>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</si>
  <si>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</si>
  <si>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</si>
  <si>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</si>
  <si>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</si>
  <si>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</si>
  <si>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</si>
  <si>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</si>
  <si>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</si>
  <si>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</si>
  <si>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</si>
  <si>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</si>
  <si>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</si>
  <si>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</si>
  <si>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</si>
  <si>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</si>
  <si>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</si>
  <si>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</si>
  <si>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</si>
  <si>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</si>
  <si>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</si>
  <si>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</si>
  <si>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</si>
  <si>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</si>
  <si>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</si>
  <si>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</si>
  <si>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</si>
  <si>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</si>
  <si>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</si>
  <si>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</si>
  <si>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</si>
  <si>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</si>
  <si>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</si>
  <si>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</si>
  <si>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</si>
  <si>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</si>
  <si>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</si>
  <si>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</si>
  <si>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</si>
  <si>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</si>
  <si>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</si>
  <si>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</si>
  <si>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</si>
  <si>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</si>
  <si>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</si>
  <si>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</si>
  <si>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</si>
  <si>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</si>
  <si>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</si>
  <si>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</si>
  <si>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</si>
  <si>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</si>
  <si>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</si>
  <si>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</si>
  <si>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</si>
  <si>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</si>
  <si>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</si>
  <si>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</si>
  <si>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</si>
  <si>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</si>
  <si>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</si>
  <si>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</si>
  <si>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</si>
  <si>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</si>
  <si>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</si>
  <si>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</si>
  <si>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</si>
  <si>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</si>
  <si>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</si>
  <si>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</si>
  <si>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</si>
  <si>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</si>
  <si>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</si>
  <si>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</si>
  <si>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</si>
  <si>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</si>
  <si>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</si>
  <si>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</si>
  <si>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</si>
  <si>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</si>
  <si>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</si>
  <si>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</si>
  <si>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</si>
  <si>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</si>
  <si>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</si>
  <si>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</si>
  <si>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</si>
  <si>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</si>
  <si>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</si>
  <si>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</si>
  <si>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</si>
  <si>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</si>
  <si>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</si>
  <si>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</si>
  <si>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</si>
  <si>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</si>
  <si>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</si>
  <si>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</si>
  <si>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</si>
  <si>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</si>
  <si>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</si>
  <si>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</si>
  <si>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</si>
  <si>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</si>
  <si>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</si>
  <si>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</si>
  <si>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</si>
  <si>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</si>
  <si>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</si>
  <si>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</si>
  <si>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</si>
  <si>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</si>
  <si>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</si>
  <si>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</si>
  <si>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</si>
  <si>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</si>
  <si>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</si>
  <si>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</si>
  <si>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</si>
  <si>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</si>
  <si>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</si>
  <si>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</si>
  <si>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</si>
  <si>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</si>
  <si>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</si>
  <si>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</si>
  <si>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</si>
  <si>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</si>
  <si>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</si>
  <si>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</si>
  <si>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</si>
  <si>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</si>
  <si>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</si>
  <si>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</si>
  <si>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</si>
  <si>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</si>
  <si>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</si>
  <si>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</si>
  <si>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</si>
  <si>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</si>
  <si>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</si>
  <si>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</si>
  <si>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</si>
  <si>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</si>
  <si>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</si>
  <si>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</si>
  <si>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</si>
  <si>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</si>
  <si>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</si>
  <si>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</si>
  <si>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</si>
  <si>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</si>
  <si>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</si>
  <si>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</si>
  <si>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</si>
  <si>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</si>
  <si>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</si>
  <si>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</si>
  <si>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</si>
  <si>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</si>
  <si>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</si>
  <si>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</si>
  <si>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</si>
  <si>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</si>
  <si>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</si>
  <si>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</si>
  <si>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</si>
  <si>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</si>
  <si>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</si>
  <si>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</si>
  <si>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</si>
  <si>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</si>
  <si>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</si>
  <si>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</si>
  <si>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</si>
  <si>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</si>
  <si>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</si>
  <si>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</si>
  <si>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</si>
  <si>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</si>
  <si>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</si>
  <si>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</si>
  <si>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</si>
  <si>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</si>
  <si>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</si>
  <si>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</si>
  <si>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</si>
  <si>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</si>
  <si>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</si>
  <si>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</si>
  <si>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</si>
  <si>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</si>
  <si>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</si>
  <si>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</si>
  <si>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</si>
  <si>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</si>
  <si>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</si>
  <si>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</si>
  <si>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</si>
  <si>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</si>
  <si>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</si>
  <si>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</si>
  <si>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</si>
  <si>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</si>
  <si>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</si>
  <si>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</si>
  <si>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</si>
  <si>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</si>
  <si>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</si>
  <si>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</si>
  <si>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</si>
  <si>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</si>
  <si>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</si>
  <si>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</si>
  <si>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</si>
  <si>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</si>
  <si>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</si>
  <si>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</si>
  <si>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</si>
  <si>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</si>
  <si>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</si>
  <si>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</si>
  <si>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</si>
  <si>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</si>
  <si>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</si>
  <si>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</si>
  <si>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</si>
  <si>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</si>
  <si>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</si>
  <si>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</si>
  <si>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</si>
  <si>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</si>
  <si>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</si>
  <si>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</si>
  <si>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</si>
  <si>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</si>
  <si>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</si>
  <si>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</si>
  <si>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</si>
  <si>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</si>
  <si>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</si>
  <si>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</si>
  <si>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</si>
  <si>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</si>
  <si>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</si>
  <si>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</si>
  <si>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</si>
  <si>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</si>
  <si>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</si>
  <si>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</si>
  <si>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</si>
  <si>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</si>
  <si>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</si>
  <si>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</si>
  <si>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</si>
  <si>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</si>
  <si>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</si>
  <si>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</si>
  <si>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</si>
  <si>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</si>
  <si>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</si>
  <si>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</si>
  <si>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</si>
  <si>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</si>
  <si>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</si>
  <si>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</si>
  <si>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</si>
  <si>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</si>
  <si>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</si>
  <si>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</si>
  <si>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</si>
  <si>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</si>
  <si>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</si>
  <si>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</si>
  <si>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</si>
  <si>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</si>
  <si>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</si>
  <si>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</si>
  <si>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</si>
  <si>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</si>
  <si>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</si>
  <si>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</si>
  <si>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</si>
  <si>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</si>
  <si>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</si>
  <si>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</si>
  <si>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</si>
  <si>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</si>
  <si>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</si>
  <si>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</si>
  <si>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</si>
  <si>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</si>
  <si>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</si>
  <si>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</si>
  <si>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</si>
  <si>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</si>
  <si>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</si>
  <si>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</si>
  <si>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</si>
  <si>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</si>
  <si>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</si>
  <si>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</si>
  <si>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</si>
  <si>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</si>
  <si>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</si>
  <si>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</si>
  <si>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</si>
  <si>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</si>
  <si>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</si>
  <si>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</si>
  <si>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</si>
  <si>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</si>
  <si>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</si>
  <si>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</si>
  <si>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</si>
  <si>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</si>
  <si>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</si>
  <si>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</si>
  <si>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</si>
  <si>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</si>
  <si>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</si>
  <si>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</si>
  <si>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</si>
  <si>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</si>
  <si>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</si>
  <si>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</si>
  <si>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</si>
  <si>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</si>
  <si>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</si>
  <si>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</si>
  <si>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</si>
  <si>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</si>
  <si>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</si>
  <si>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</si>
  <si>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</si>
  <si>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</si>
  <si>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</si>
  <si>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</si>
  <si>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</si>
  <si>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</si>
  <si>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</si>
  <si>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</si>
  <si>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</si>
  <si>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</si>
  <si>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</si>
  <si>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</si>
  <si>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</si>
  <si>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</si>
  <si>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</si>
  <si>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</si>
  <si>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</si>
  <si>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</si>
  <si>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</si>
  <si>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</si>
  <si>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</si>
  <si>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</si>
  <si>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</si>
  <si>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</si>
  <si>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</si>
  <si>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</si>
  <si>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</si>
  <si>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</si>
  <si>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</si>
  <si>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</si>
  <si>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</si>
  <si>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</si>
  <si>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</si>
  <si>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</si>
  <si>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</si>
  <si>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</si>
  <si>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</si>
  <si>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</si>
  <si>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</si>
  <si>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</si>
  <si>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</si>
  <si>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</si>
  <si>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</si>
  <si>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</si>
  <si>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</si>
  <si>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</si>
  <si>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</si>
  <si>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</si>
  <si>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</si>
  <si>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</si>
  <si>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</si>
  <si>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</si>
  <si>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</si>
  <si>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</si>
  <si>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</si>
  <si>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</si>
  <si>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</si>
  <si>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</si>
  <si>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</si>
  <si>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</si>
  <si>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</si>
  <si>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</si>
  <si>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</si>
  <si>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</si>
  <si>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</si>
  <si>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</si>
  <si>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</si>
  <si>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</si>
  <si>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</si>
  <si>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</si>
  <si>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</si>
  <si>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</si>
  <si>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</si>
  <si>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</si>
  <si>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</si>
  <si>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</si>
  <si>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</si>
  <si>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</si>
  <si>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</si>
  <si>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</si>
  <si>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</si>
  <si>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</si>
  <si>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</si>
  <si>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</si>
  <si>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</si>
  <si>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</si>
  <si>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</si>
  <si>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</si>
  <si>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</si>
  <si>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</si>
  <si>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</si>
  <si>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</si>
  <si>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</si>
  <si>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</si>
  <si>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</si>
  <si>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</si>
  <si>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</si>
  <si>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</si>
  <si>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</si>
  <si>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</si>
  <si>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</si>
  <si>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</si>
  <si>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</si>
  <si>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</si>
  <si>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</si>
  <si>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</si>
  <si>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</si>
  <si>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</si>
  <si>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</si>
  <si>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</si>
  <si>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</si>
  <si>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</si>
  <si>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</si>
  <si>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</si>
  <si>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</si>
  <si>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</si>
  <si>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</si>
  <si>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</si>
  <si>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</si>
  <si>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</si>
  <si>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</si>
  <si>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</si>
  <si>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</si>
  <si>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</si>
  <si>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</si>
  <si>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</si>
  <si>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</si>
  <si>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</si>
  <si>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</si>
  <si>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</si>
  <si>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</si>
  <si>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</si>
  <si>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</si>
  <si>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</si>
  <si>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</si>
  <si>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</si>
  <si>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</si>
  <si>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</si>
  <si>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</si>
  <si>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</si>
  <si>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</si>
  <si>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</si>
  <si>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</si>
  <si>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</si>
  <si>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</si>
  <si>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</si>
  <si>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</si>
  <si>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</si>
  <si>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</si>
  <si>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</si>
  <si>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</si>
  <si>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</si>
  <si>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</si>
  <si>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</si>
  <si>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</si>
  <si>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</si>
  <si>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</si>
  <si>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</si>
  <si>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</si>
  <si>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</si>
  <si>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</si>
  <si>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</si>
  <si>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</si>
  <si>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</si>
  <si>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</si>
  <si>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</si>
  <si>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</si>
  <si>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</si>
  <si>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</si>
  <si>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</si>
  <si>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</si>
  <si>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</si>
  <si>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</si>
  <si>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</si>
  <si>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</si>
  <si>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</si>
  <si>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</si>
  <si>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</si>
  <si>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</si>
  <si>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</si>
  <si>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</si>
  <si>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</si>
  <si>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</si>
  <si>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</si>
  <si>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</si>
  <si>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</si>
  <si>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</si>
  <si>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</si>
  <si>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</si>
  <si>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</si>
  <si>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</si>
  <si>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</si>
  <si>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</si>
  <si>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</si>
  <si>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</si>
  <si>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</si>
  <si>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</si>
  <si>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</si>
  <si>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</si>
  <si>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</si>
  <si>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</si>
  <si>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</si>
  <si>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</si>
  <si>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</si>
  <si>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</si>
  <si>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</si>
  <si>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</si>
  <si>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</si>
  <si>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</si>
  <si>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</si>
  <si>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</si>
  <si>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</si>
  <si>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</si>
  <si>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</si>
  <si>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</si>
  <si>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</si>
  <si>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</si>
  <si>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</si>
  <si>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</si>
  <si>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</si>
  <si>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</si>
  <si>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</si>
  <si>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</si>
  <si>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</si>
  <si>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</si>
  <si>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</si>
  <si>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</si>
  <si>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</si>
  <si>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</si>
  <si>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</si>
  <si>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</si>
  <si>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</si>
  <si>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</si>
  <si>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</si>
  <si>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</si>
  <si>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</si>
  <si>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</si>
  <si>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</si>
  <si>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</si>
  <si>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</si>
  <si>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</si>
  <si>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</si>
  <si>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</si>
  <si>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</si>
  <si>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</si>
  <si>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</si>
  <si>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</si>
  <si>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</si>
  <si>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</si>
  <si>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</si>
  <si>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</si>
  <si>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</si>
  <si>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</si>
  <si>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</si>
  <si>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</si>
  <si>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</si>
  <si>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</si>
  <si>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</si>
  <si>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</si>
  <si>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</si>
  <si>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</si>
  <si>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</si>
  <si>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</si>
  <si>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</si>
  <si>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</si>
  <si>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</si>
  <si>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</si>
  <si>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</si>
  <si>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</si>
  <si>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</si>
  <si>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</si>
  <si>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</si>
  <si>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</si>
  <si>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</si>
  <si>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</si>
  <si>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</si>
  <si>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</si>
  <si>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</si>
  <si>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</si>
  <si>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</si>
  <si>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</si>
  <si>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</si>
  <si>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</si>
  <si>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</si>
  <si>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</si>
  <si>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</si>
  <si>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</si>
  <si>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</si>
  <si>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</si>
  <si>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</si>
  <si>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</si>
  <si>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</si>
  <si>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</si>
  <si>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</si>
  <si>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</si>
  <si>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</si>
  <si>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</si>
  <si>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</si>
  <si>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</si>
  <si>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</si>
  <si>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</si>
  <si>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</si>
  <si>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</si>
  <si>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</si>
  <si>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</si>
  <si>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</si>
  <si>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</si>
  <si>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</si>
  <si>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</si>
  <si>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</si>
  <si>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</si>
  <si>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</si>
  <si>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</si>
  <si>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</si>
  <si>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</si>
  <si>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</si>
  <si>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</si>
  <si>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</si>
  <si>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</si>
  <si>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</si>
  <si>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</si>
  <si>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</si>
  <si>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</si>
  <si>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</si>
  <si>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</si>
  <si>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</si>
  <si>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</si>
  <si>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</si>
  <si>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</si>
  <si>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</si>
  <si>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</si>
  <si>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</si>
  <si>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</si>
  <si>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</si>
  <si>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</si>
  <si>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</si>
  <si>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</si>
  <si>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</si>
  <si>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</si>
  <si>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</si>
  <si>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</si>
  <si>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</si>
  <si>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</si>
  <si>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</si>
  <si>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</si>
  <si>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</si>
  <si>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</si>
  <si>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</si>
  <si>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</si>
  <si>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</si>
  <si>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</si>
  <si>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</si>
  <si>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</si>
  <si>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</si>
  <si>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</si>
  <si>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</si>
  <si>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</si>
  <si>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</si>
  <si>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</si>
  <si>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</si>
  <si>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</si>
  <si>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</si>
  <si>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</si>
  <si>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</si>
  <si>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</si>
  <si>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</si>
  <si>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</si>
  <si>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</si>
  <si>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</si>
  <si>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</si>
  <si>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</si>
  <si>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</si>
  <si>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</si>
  <si>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</si>
  <si>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</si>
  <si>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</si>
  <si>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</si>
  <si>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</si>
  <si>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</si>
  <si>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</si>
  <si>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</si>
  <si>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</si>
  <si>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</si>
  <si>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</si>
  <si>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</si>
  <si>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</si>
  <si>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</si>
  <si>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</si>
  <si>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</si>
  <si>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</si>
  <si>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</si>
  <si>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</si>
  <si>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</si>
  <si>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</si>
  <si>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</si>
  <si>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</si>
  <si>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</si>
  <si>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</si>
  <si>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</si>
  <si>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</si>
  <si>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</si>
  <si>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</si>
  <si>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</si>
  <si>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</si>
  <si>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</si>
  <si>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</si>
  <si>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</si>
  <si>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</si>
  <si>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</si>
  <si>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</si>
  <si>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</si>
  <si>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</si>
  <si>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</si>
  <si>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</si>
  <si>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</si>
  <si>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</si>
  <si>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</si>
  <si>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</si>
  <si>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</si>
  <si>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</si>
  <si>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</si>
  <si>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</si>
  <si>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</si>
  <si>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</si>
  <si>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</si>
  <si>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</si>
  <si>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</si>
  <si>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</si>
  <si>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</si>
  <si>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</si>
  <si>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</si>
  <si>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</si>
  <si>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</si>
  <si>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</si>
  <si>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</si>
  <si>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</si>
  <si>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</si>
  <si>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</si>
  <si>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</si>
  <si>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</si>
  <si>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</si>
  <si>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</si>
  <si>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</si>
  <si>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</si>
  <si>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</si>
  <si>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</si>
  <si>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</si>
  <si>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</si>
  <si>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</si>
  <si>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</si>
  <si>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</si>
  <si>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</si>
  <si>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</si>
  <si>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</si>
  <si>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</si>
  <si>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</si>
  <si>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</si>
  <si>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</si>
  <si>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</si>
  <si>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</si>
  <si>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</si>
  <si>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</si>
  <si>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</si>
  <si>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</si>
  <si>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</si>
  <si>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</si>
  <si>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</si>
  <si>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</si>
  <si>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</si>
  <si>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</si>
  <si>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</si>
  <si>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</si>
  <si>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</si>
  <si>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</si>
  <si>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</si>
  <si>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</si>
  <si>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</si>
  <si>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</si>
  <si>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</si>
  <si>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</si>
  <si>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</si>
  <si>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</si>
  <si>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</si>
  <si>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</si>
  <si>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</si>
  <si>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</si>
  <si>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</si>
  <si>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</si>
  <si>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</si>
  <si>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</si>
  <si>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</si>
  <si>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</si>
  <si>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</si>
  <si>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</si>
  <si>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</si>
  <si>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</si>
  <si>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</si>
  <si>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</si>
  <si>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</si>
  <si>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</si>
  <si>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</si>
  <si>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</si>
  <si>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</si>
  <si>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</si>
  <si>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</si>
  <si>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</si>
  <si>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</si>
  <si>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</si>
  <si>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</si>
  <si>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</si>
  <si>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</si>
  <si>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</si>
  <si>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</si>
  <si>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</si>
  <si>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</si>
  <si>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</si>
  <si>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</si>
  <si>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</si>
  <si>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</si>
  <si>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</si>
  <si>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</si>
  <si>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</si>
  <si>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</si>
  <si>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</si>
  <si>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</si>
  <si>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</si>
  <si>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</si>
  <si>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</si>
  <si>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</si>
  <si>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</si>
  <si>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</si>
  <si>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</si>
  <si>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</si>
  <si>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</si>
  <si>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</si>
  <si>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</si>
  <si>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</si>
  <si>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</si>
  <si>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</si>
  <si>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</si>
  <si>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</si>
  <si>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</si>
  <si>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</si>
  <si>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</si>
  <si>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</si>
  <si>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</si>
  <si>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</si>
  <si>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</si>
  <si>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</si>
  <si>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</si>
  <si>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</si>
  <si>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</si>
  <si>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</si>
  <si>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</si>
  <si>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</si>
  <si>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</si>
  <si>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</si>
  <si>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</si>
  <si>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</si>
  <si>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</si>
  <si>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</si>
  <si>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</si>
  <si>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</si>
  <si>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</si>
  <si>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</si>
  <si>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</si>
  <si>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</si>
  <si>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</si>
  <si>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</si>
  <si>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</si>
  <si>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</si>
  <si>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</si>
  <si>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</si>
  <si>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</si>
  <si>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</si>
  <si>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</si>
  <si>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</si>
  <si>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</si>
  <si>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</si>
  <si>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</si>
  <si>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</si>
  <si>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</si>
  <si>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</si>
  <si>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</si>
  <si>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</si>
  <si>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</si>
  <si>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</si>
  <si>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</si>
  <si>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</si>
  <si>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</si>
  <si>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</si>
  <si>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</si>
  <si>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</si>
  <si>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</si>
  <si>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</si>
  <si>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</si>
  <si>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</si>
  <si>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</si>
  <si>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</si>
  <si>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</si>
  <si>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</si>
  <si>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</si>
  <si>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</si>
  <si>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</si>
  <si>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</si>
  <si>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</si>
  <si>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</si>
  <si>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</si>
  <si>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</si>
  <si>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</si>
  <si>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</si>
  <si>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</si>
  <si>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</si>
  <si>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</si>
  <si>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</si>
  <si>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</si>
  <si>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</si>
  <si>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</si>
  <si>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</si>
  <si>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</si>
  <si>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</si>
  <si>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</si>
  <si>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</si>
  <si>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</si>
  <si>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</si>
  <si>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</si>
  <si>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</si>
  <si>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</si>
  <si>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</si>
  <si>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</si>
  <si>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</si>
  <si>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</si>
  <si>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</si>
  <si>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</si>
  <si>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</si>
  <si>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</si>
  <si>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</si>
  <si>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</si>
  <si>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</si>
  <si>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</si>
  <si>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</si>
  <si>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</si>
  <si>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</si>
  <si>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</si>
  <si>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</si>
  <si>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</si>
  <si>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</si>
  <si>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</si>
  <si>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</si>
  <si>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</si>
  <si>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</si>
  <si>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</si>
  <si>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</si>
  <si>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</si>
  <si>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</si>
  <si>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</si>
  <si>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</si>
  <si>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</si>
  <si>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</si>
  <si>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</si>
  <si>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</si>
  <si>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</si>
  <si>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</si>
  <si>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</si>
  <si>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</si>
  <si>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</si>
  <si>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</si>
  <si>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</si>
  <si>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</si>
  <si>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</si>
  <si>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</si>
  <si>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</si>
  <si>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</si>
  <si>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</si>
  <si>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</si>
  <si>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</si>
  <si>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</si>
  <si>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</si>
  <si>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</si>
  <si>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</si>
  <si>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</si>
  <si>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</si>
  <si>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</si>
  <si>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</si>
  <si>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</si>
  <si>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</si>
  <si>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</si>
  <si>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</si>
  <si>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</si>
  <si>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</si>
  <si>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</si>
  <si>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</si>
  <si>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</si>
  <si>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</si>
  <si>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</si>
  <si>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</si>
  <si>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</si>
  <si>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</si>
  <si>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</si>
  <si>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</si>
  <si>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</si>
  <si>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</si>
  <si>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</si>
  <si>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</si>
  <si>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</si>
  <si>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</si>
  <si>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</si>
  <si>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</si>
  <si>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</si>
  <si>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</si>
  <si>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</si>
  <si>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</si>
  <si>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</si>
  <si>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</si>
  <si>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</si>
  <si>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</si>
  <si>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</si>
  <si>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</si>
  <si>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</si>
  <si>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</si>
  <si>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</si>
  <si>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</si>
  <si>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</si>
  <si>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</si>
  <si>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</si>
  <si>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</si>
  <si>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</si>
  <si>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</si>
  <si>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</si>
  <si>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</si>
  <si>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</si>
  <si>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</si>
  <si>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</si>
  <si>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</si>
  <si>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</si>
  <si>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</si>
  <si>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</si>
  <si>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</si>
  <si>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</si>
  <si>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</si>
  <si>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</si>
  <si>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</si>
  <si>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</si>
  <si>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</si>
  <si>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</si>
  <si>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</si>
  <si>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</si>
  <si>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</si>
  <si>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</si>
  <si>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</si>
  <si>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</si>
  <si>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</si>
  <si>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</si>
  <si>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</si>
  <si>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</si>
  <si>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</si>
  <si>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</si>
  <si>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</si>
  <si>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</si>
  <si>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</si>
  <si>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</si>
  <si>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</si>
  <si>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</si>
  <si>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</si>
  <si>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</si>
  <si>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</si>
  <si>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</si>
  <si>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</si>
  <si>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</si>
  <si>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</si>
  <si>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</si>
  <si>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</si>
  <si>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</si>
  <si>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</si>
  <si>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</si>
  <si>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</si>
  <si>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</si>
  <si>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</si>
  <si>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</si>
  <si>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</si>
  <si>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</si>
  <si>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</si>
  <si>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</si>
  <si>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</si>
  <si>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</si>
  <si>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</si>
  <si>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</si>
  <si>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</si>
  <si>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</si>
  <si>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</si>
  <si>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</si>
  <si>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</si>
  <si>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</si>
  <si>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</si>
  <si>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</si>
  <si>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</si>
  <si>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</si>
  <si>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</si>
  <si>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</si>
  <si>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</si>
  <si>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</si>
  <si>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</si>
  <si>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</si>
  <si>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</si>
  <si>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</si>
  <si>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</si>
  <si>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</si>
  <si>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</si>
  <si>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</si>
  <si>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</si>
  <si>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</si>
  <si>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</si>
  <si>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</si>
  <si>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</si>
  <si>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</si>
  <si>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</si>
  <si>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</si>
  <si>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</si>
  <si>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</si>
  <si>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</si>
  <si>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</si>
  <si>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</si>
  <si>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</si>
  <si>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</si>
  <si>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</si>
  <si>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</si>
  <si>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</si>
  <si>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</si>
  <si>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</si>
  <si>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</si>
  <si>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</si>
  <si>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</si>
  <si>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</si>
  <si>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</si>
  <si>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</si>
  <si>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</si>
  <si>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</si>
  <si>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</si>
  <si>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</si>
  <si>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</si>
  <si>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</si>
  <si>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</si>
  <si>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</si>
  <si>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</si>
  <si>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</si>
  <si>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</si>
  <si>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</si>
  <si>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</si>
  <si>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</si>
  <si>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</si>
  <si>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</si>
  <si>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</si>
  <si>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</si>
  <si>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</si>
  <si>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</si>
  <si>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</si>
  <si>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</si>
  <si>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</si>
  <si>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</si>
  <si>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</si>
  <si>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</si>
  <si>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</si>
  <si>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</si>
  <si>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</si>
  <si>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</si>
  <si>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</si>
  <si>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</si>
  <si>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</si>
  <si>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</si>
  <si>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</si>
  <si>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</si>
  <si>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</si>
  <si>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</si>
  <si>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</si>
  <si>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</si>
  <si>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</si>
  <si>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</si>
  <si>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</si>
  <si>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</si>
  <si>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</si>
  <si>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</si>
  <si>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</si>
  <si>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</si>
  <si>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</si>
  <si>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</si>
  <si>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</si>
  <si>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</si>
  <si>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</si>
  <si>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</si>
  <si>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</si>
  <si>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</si>
  <si>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</si>
  <si>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</si>
  <si>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</si>
  <si>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</si>
  <si>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</si>
  <si>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</si>
  <si>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</si>
  <si>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</si>
  <si>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</si>
  <si>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</si>
  <si>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</si>
  <si>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</si>
  <si>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</si>
  <si>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</si>
  <si>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</si>
  <si>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</si>
  <si>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</si>
  <si>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</si>
  <si>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</si>
  <si>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</si>
  <si>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</si>
  <si>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</si>
  <si>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</si>
  <si>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</si>
  <si>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</si>
  <si>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</si>
  <si>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</si>
  <si>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</si>
  <si>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</si>
  <si>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</si>
  <si>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</si>
  <si>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</si>
  <si>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</si>
  <si>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</si>
  <si>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</si>
  <si>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</si>
  <si>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</si>
  <si>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</si>
  <si>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</si>
  <si>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</si>
  <si>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</si>
  <si>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</si>
  <si>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</si>
  <si>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</si>
  <si>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</si>
  <si>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</si>
  <si>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</si>
  <si>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</si>
  <si>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</si>
  <si>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</si>
  <si>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</si>
  <si>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</si>
  <si>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</si>
  <si>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</si>
  <si>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</si>
  <si>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</si>
  <si>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</si>
  <si>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</si>
  <si>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</si>
  <si>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</si>
  <si>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</si>
  <si>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</si>
  <si>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</si>
  <si>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</si>
  <si>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</si>
  <si>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</si>
  <si>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</si>
  <si>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</si>
  <si>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</si>
  <si>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</si>
  <si>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</si>
  <si>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</si>
  <si>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</si>
  <si>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</si>
  <si>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</si>
  <si>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</si>
  <si>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</si>
  <si>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</si>
  <si>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</si>
  <si>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</si>
  <si>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</si>
  <si>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</si>
  <si>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</si>
  <si>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</si>
  <si>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</si>
  <si>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</si>
  <si>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</si>
  <si>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</si>
  <si>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</si>
  <si>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</si>
  <si>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</si>
  <si>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</si>
  <si>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</si>
  <si>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</si>
  <si>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</si>
  <si>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</si>
  <si>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</si>
  <si>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</si>
  <si>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</si>
  <si>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</si>
  <si>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</si>
  <si>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</si>
  <si>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</si>
  <si>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</si>
  <si>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</si>
  <si>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</si>
  <si>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</si>
  <si>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</si>
  <si>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</si>
  <si>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</si>
  <si>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</si>
  <si>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</si>
  <si>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</si>
  <si>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</si>
  <si>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</si>
  <si>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</si>
  <si>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</si>
  <si>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</si>
  <si>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</si>
  <si>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</si>
  <si>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</si>
  <si>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</si>
  <si>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</si>
  <si>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</si>
  <si>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</si>
  <si>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</si>
  <si>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</si>
  <si>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</si>
  <si>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</si>
  <si>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</si>
  <si>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</si>
  <si>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</si>
  <si>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</si>
  <si>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</si>
  <si>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</si>
  <si>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</si>
  <si>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</si>
  <si>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</si>
  <si>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</si>
  <si>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</si>
  <si>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</si>
  <si>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</si>
  <si>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</si>
  <si>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</si>
  <si>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</si>
  <si>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</si>
  <si>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</si>
  <si>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</si>
  <si>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</si>
  <si>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</si>
  <si>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</si>
  <si>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</si>
  <si>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</si>
  <si>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</si>
  <si>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</si>
  <si>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</si>
  <si>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</si>
  <si>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</si>
  <si>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</si>
  <si>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</si>
  <si>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</si>
  <si>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</si>
  <si>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</si>
  <si>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</si>
  <si>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</si>
  <si>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</si>
  <si>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</si>
  <si>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</si>
  <si>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</si>
  <si>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</si>
  <si>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</si>
  <si>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</si>
  <si>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</si>
  <si>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</si>
  <si>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</si>
  <si>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</si>
  <si>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</si>
  <si>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</si>
  <si>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</si>
  <si>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</si>
  <si>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</si>
  <si>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</si>
  <si>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</si>
  <si>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</si>
  <si>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</si>
  <si>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</si>
  <si>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</si>
  <si>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</si>
  <si>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</si>
  <si>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</si>
  <si>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</si>
  <si>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</si>
  <si>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</si>
  <si>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</si>
  <si>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</si>
  <si>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</si>
  <si>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</si>
  <si>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</si>
  <si>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</si>
  <si>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</si>
  <si>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</si>
  <si>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</si>
  <si>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</si>
  <si>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</si>
  <si>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</si>
  <si>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</si>
  <si>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</si>
  <si>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</si>
  <si>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</si>
  <si>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</si>
  <si>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</si>
  <si>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</si>
  <si>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</si>
  <si>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</si>
  <si>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</si>
  <si>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</si>
  <si>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</si>
  <si>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</si>
  <si>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</si>
  <si>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</si>
  <si>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</si>
  <si>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</si>
  <si>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</si>
  <si>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</si>
  <si>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</si>
  <si>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</si>
  <si>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</si>
  <si>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</si>
  <si>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</si>
  <si>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</si>
  <si>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</si>
  <si>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</si>
  <si>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</si>
  <si>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</si>
  <si>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</si>
  <si>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</si>
  <si>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</si>
  <si>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</si>
  <si>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</si>
  <si>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</si>
  <si>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</si>
  <si>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</si>
  <si>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</si>
  <si>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</si>
  <si>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</si>
  <si>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</si>
  <si>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</si>
  <si>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</si>
  <si>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</si>
  <si>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</si>
  <si>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</si>
  <si>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</si>
  <si>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</si>
  <si>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</si>
  <si>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</si>
  <si>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</si>
  <si>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</si>
  <si>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</si>
  <si>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</si>
  <si>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</si>
  <si>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</si>
  <si>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</si>
  <si>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</si>
  <si>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</si>
  <si>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</si>
  <si>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</si>
  <si>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</si>
  <si>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</si>
  <si>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</si>
  <si>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</si>
  <si>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</si>
  <si>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</si>
  <si>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</si>
  <si>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</si>
  <si>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</si>
  <si>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</si>
  <si>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</si>
  <si>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</si>
  <si>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</si>
  <si>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</si>
  <si>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</si>
  <si>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</si>
  <si>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</si>
  <si>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</si>
  <si>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</si>
  <si>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</si>
  <si>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</si>
  <si>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</si>
  <si>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</si>
  <si>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</si>
  <si>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</si>
  <si>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</si>
  <si>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</si>
  <si>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</si>
  <si>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</si>
  <si>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</si>
  <si>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</si>
  <si>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</si>
  <si>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</si>
  <si>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</si>
  <si>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</si>
  <si>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</si>
  <si>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</si>
  <si>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</si>
  <si>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</si>
  <si>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</si>
  <si>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</si>
  <si>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</si>
  <si>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</si>
  <si>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</si>
  <si>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</si>
  <si>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</si>
  <si>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</si>
  <si>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</si>
  <si>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</si>
  <si>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</si>
  <si>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</si>
  <si>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</si>
  <si>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</si>
  <si>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</si>
  <si>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</si>
  <si>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</si>
  <si>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</si>
  <si>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</si>
  <si>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</si>
  <si>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</si>
  <si>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</si>
  <si>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</si>
  <si>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</si>
  <si>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</si>
  <si>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</si>
  <si>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</si>
  <si>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</si>
  <si>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</si>
  <si>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</si>
  <si>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</si>
  <si>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</si>
  <si>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</si>
  <si>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</si>
  <si>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</si>
  <si>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</si>
  <si>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</si>
  <si>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</si>
  <si>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</si>
  <si>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</si>
  <si>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</si>
  <si>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</si>
  <si>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</si>
  <si>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</si>
  <si>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</si>
  <si>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</si>
  <si>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</si>
  <si>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</si>
  <si>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</si>
  <si>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</si>
  <si>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</si>
  <si>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</si>
  <si>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</si>
  <si>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</si>
  <si>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</si>
  <si>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</si>
  <si>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</si>
  <si>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</si>
  <si>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</si>
  <si>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</si>
  <si>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</si>
  <si>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</si>
  <si>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</si>
  <si>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</si>
  <si>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</si>
  <si>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</si>
  <si>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</si>
  <si>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</si>
  <si>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</si>
  <si>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</si>
  <si>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</si>
  <si>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</si>
  <si>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</si>
  <si>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</si>
  <si>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</si>
  <si>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</si>
  <si>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</si>
  <si>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</si>
  <si>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</si>
  <si>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</si>
  <si>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</si>
  <si>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</si>
  <si>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</si>
  <si>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</si>
  <si>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</si>
  <si>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</si>
  <si>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</si>
  <si>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</si>
  <si>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</si>
  <si>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</si>
  <si>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</si>
  <si>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</si>
  <si>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</si>
  <si>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</si>
  <si>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</si>
  <si>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</si>
  <si>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</si>
  <si>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</si>
  <si>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</si>
  <si>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</si>
  <si>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</si>
  <si>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</si>
  <si>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</si>
  <si>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</si>
  <si>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</si>
  <si>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</si>
  <si>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</si>
  <si>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</si>
  <si>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</si>
  <si>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</si>
  <si>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</si>
  <si>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</si>
  <si>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</si>
  <si>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</si>
  <si>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</si>
  <si>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</si>
  <si>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</si>
  <si>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</si>
  <si>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</si>
  <si>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</si>
  <si>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</si>
  <si>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</si>
  <si>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</si>
  <si>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</si>
  <si>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</si>
  <si>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</si>
  <si>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</si>
  <si>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</si>
  <si>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</si>
  <si>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</si>
  <si>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</si>
  <si>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</si>
  <si>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</si>
  <si>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</si>
  <si>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</si>
  <si>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</si>
  <si>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</si>
  <si>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</si>
  <si>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</si>
  <si>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</si>
  <si>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</si>
  <si>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</si>
  <si>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</si>
  <si>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</si>
  <si>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</si>
  <si>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</si>
  <si>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</si>
  <si>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</si>
  <si>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</si>
  <si>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</si>
  <si>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</si>
  <si>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</si>
  <si>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</si>
  <si>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</si>
  <si>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</si>
  <si>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</si>
  <si>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</si>
  <si>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</si>
  <si>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</si>
  <si>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</si>
  <si>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</si>
  <si>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</si>
  <si>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</si>
  <si>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</si>
  <si>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</si>
  <si>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</si>
  <si>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</si>
  <si>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</si>
  <si>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</si>
  <si>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</si>
  <si>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</si>
  <si>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</si>
  <si>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</si>
  <si>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</si>
  <si>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</si>
  <si>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</si>
  <si>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</si>
  <si>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</si>
  <si>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</si>
  <si>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</si>
  <si>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</si>
  <si>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</si>
  <si>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</si>
  <si>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</si>
  <si>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</si>
  <si>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</si>
  <si>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</si>
  <si>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</si>
  <si>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</si>
  <si>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</si>
  <si>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</si>
  <si>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</si>
  <si>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</si>
  <si>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</si>
  <si>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</si>
  <si>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</si>
  <si>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</si>
  <si>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</si>
  <si>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</si>
  <si>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</si>
  <si>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</si>
  <si>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</si>
  <si>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</si>
  <si>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</si>
  <si>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</si>
  <si>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</si>
  <si>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</si>
  <si>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</si>
  <si>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</si>
  <si>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</si>
  <si>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</si>
  <si>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</si>
  <si>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</si>
  <si>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</si>
  <si>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</si>
  <si>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</si>
  <si>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</si>
  <si>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</si>
  <si>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</si>
  <si>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</si>
  <si>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</si>
  <si>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</si>
  <si>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</si>
  <si>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</si>
  <si>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</si>
  <si>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</si>
  <si>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</si>
  <si>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</si>
  <si>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</si>
  <si>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</si>
  <si>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</si>
  <si>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</si>
  <si>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</si>
  <si>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</si>
  <si>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</si>
  <si>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</si>
  <si>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</si>
  <si>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</si>
  <si>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</si>
  <si>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</si>
  <si>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</si>
  <si>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</si>
  <si>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</si>
  <si>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</si>
  <si>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</si>
  <si>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</si>
  <si>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</si>
  <si>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</si>
  <si>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</si>
  <si>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</si>
  <si>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</si>
  <si>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</si>
  <si>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</si>
  <si>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</si>
  <si>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</si>
  <si>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</si>
  <si>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</si>
  <si>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</si>
  <si>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</si>
  <si>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</si>
  <si>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</si>
  <si>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</si>
  <si>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</si>
  <si>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</si>
  <si>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</si>
  <si>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</si>
  <si>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</si>
  <si>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</si>
  <si>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</si>
  <si>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</si>
  <si>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</si>
  <si>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</si>
  <si>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</si>
  <si>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</si>
  <si>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</si>
  <si>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</si>
  <si>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</si>
  <si>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</si>
  <si>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</si>
  <si>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</si>
  <si>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</si>
  <si>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</si>
  <si>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</si>
  <si>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</si>
  <si>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</si>
  <si>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</si>
  <si>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</si>
  <si>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</si>
  <si>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</si>
  <si>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</si>
  <si>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</si>
  <si>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</si>
  <si>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</si>
  <si>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</si>
  <si>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</si>
  <si>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</si>
  <si>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</si>
  <si>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</si>
  <si>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</si>
  <si>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</si>
  <si>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</si>
  <si>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</si>
  <si>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</si>
  <si>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</si>
  <si>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</si>
  <si>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</si>
  <si>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</si>
  <si>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</si>
  <si>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</si>
  <si>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</si>
  <si>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</si>
  <si>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</si>
  <si>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</si>
  <si>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</si>
  <si>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</si>
  <si>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</si>
  <si>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</si>
  <si>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</si>
  <si>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</si>
  <si>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</si>
  <si>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</si>
  <si>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</si>
  <si>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</si>
  <si>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</si>
  <si>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</si>
  <si>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</si>
  <si>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</si>
  <si>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</si>
  <si>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</si>
  <si>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</si>
  <si>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</si>
  <si>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</si>
  <si>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</si>
  <si>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</si>
  <si>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</si>
  <si>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</si>
  <si>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</si>
  <si>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</si>
  <si>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</si>
  <si>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</si>
  <si>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</si>
  <si>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</si>
  <si>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</si>
  <si>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</si>
  <si>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</si>
  <si>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</si>
  <si>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</si>
  <si>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</si>
  <si>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</si>
  <si>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</si>
  <si>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</si>
  <si>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</si>
  <si>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</si>
  <si>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</si>
  <si>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</si>
  <si>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</si>
  <si>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</si>
  <si>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</si>
  <si>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</si>
  <si>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</si>
  <si>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</si>
  <si>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</si>
  <si>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</si>
  <si>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</si>
  <si>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</si>
  <si>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</si>
  <si>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</si>
  <si>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</si>
  <si>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</si>
  <si>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</si>
  <si>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</si>
  <si>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</si>
  <si>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</si>
  <si>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</si>
  <si>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</si>
  <si>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</si>
  <si>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</si>
  <si>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</si>
  <si>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</si>
  <si>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</si>
  <si>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</si>
  <si>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</si>
  <si>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</si>
  <si>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</si>
  <si>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</si>
  <si>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</si>
  <si>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</si>
  <si>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</si>
  <si>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</si>
  <si>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</si>
  <si>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</si>
  <si>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</si>
  <si>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</si>
  <si>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</si>
  <si>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</si>
  <si>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</si>
  <si>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</si>
  <si>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</si>
  <si>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</si>
  <si>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</si>
  <si>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</si>
  <si>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</si>
  <si>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</si>
  <si>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</si>
  <si>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</si>
  <si>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</si>
  <si>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</si>
  <si>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</si>
  <si>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</si>
  <si>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</si>
  <si>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</si>
  <si>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</si>
  <si>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</si>
  <si>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</si>
  <si>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</si>
  <si>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</si>
  <si>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</si>
  <si>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</si>
  <si>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</si>
  <si>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</si>
  <si>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</si>
  <si>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</si>
  <si>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</si>
  <si>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</si>
  <si>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</si>
  <si>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</si>
  <si>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</si>
  <si>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</si>
  <si>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</si>
  <si>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</si>
  <si>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</si>
  <si>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</si>
  <si>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</si>
  <si>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</si>
  <si>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</si>
  <si>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</si>
  <si>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</si>
  <si>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</si>
  <si>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</si>
  <si>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</si>
  <si>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</si>
  <si>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</si>
  <si>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</si>
  <si>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</si>
  <si>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</si>
  <si>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</si>
  <si>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</si>
  <si>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</si>
  <si>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</si>
  <si>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</si>
  <si>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</si>
  <si>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</si>
  <si>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</si>
  <si>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</si>
  <si>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</si>
  <si>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</si>
  <si>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</si>
  <si>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</si>
  <si>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</si>
  <si>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</si>
  <si>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</si>
  <si>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</si>
  <si>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</si>
  <si>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</si>
  <si>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</si>
  <si>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</si>
  <si>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</si>
  <si>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</si>
  <si>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</si>
  <si>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</si>
  <si>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</si>
  <si>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</si>
  <si>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</si>
  <si>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</si>
  <si>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</si>
  <si>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</si>
  <si>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</si>
  <si>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</si>
  <si>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</si>
  <si>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</si>
  <si>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</si>
  <si>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</si>
  <si>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</si>
  <si>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</si>
  <si>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</si>
  <si>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</si>
  <si>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</si>
  <si>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</si>
  <si>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</si>
  <si>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</si>
  <si>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</si>
  <si>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</si>
  <si>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</si>
  <si>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</si>
  <si>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</si>
  <si>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</si>
  <si>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</si>
  <si>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</si>
  <si>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</si>
  <si>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</si>
  <si>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</si>
  <si>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</si>
  <si>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</si>
  <si>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</si>
  <si>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</si>
  <si>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</si>
  <si>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</si>
  <si>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</si>
  <si>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</si>
  <si>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</si>
  <si>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</si>
  <si>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</si>
  <si>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</si>
  <si>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</si>
  <si>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</si>
  <si>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</si>
  <si>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</si>
  <si>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</si>
  <si>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</si>
  <si>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</si>
  <si>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</si>
  <si>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</si>
  <si>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</si>
  <si>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</si>
  <si>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</si>
  <si>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</si>
  <si>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</si>
  <si>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</si>
  <si>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</si>
  <si>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</si>
  <si>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</si>
  <si>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</si>
  <si>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</si>
  <si>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</si>
  <si>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</si>
  <si>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</si>
  <si>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</si>
  <si>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</si>
  <si>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</si>
  <si>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</si>
  <si>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</si>
  <si>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</si>
  <si>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</si>
  <si>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</si>
  <si>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</si>
  <si>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</si>
  <si>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</si>
  <si>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</si>
  <si>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</si>
  <si>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</si>
  <si>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</si>
  <si>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</si>
  <si>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</si>
  <si>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</si>
  <si>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</si>
  <si>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</si>
  <si>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</si>
  <si>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</si>
  <si>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</si>
  <si>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</si>
  <si>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</si>
  <si>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</si>
  <si>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</si>
  <si>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</si>
  <si>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</si>
  <si>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</si>
  <si>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</si>
  <si>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</si>
  <si>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</si>
  <si>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</si>
  <si>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</si>
  <si>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</si>
  <si>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</si>
  <si>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</si>
  <si>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</si>
  <si>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</si>
  <si>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</si>
  <si>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</si>
  <si>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</si>
  <si>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</si>
  <si>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</si>
  <si>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</si>
  <si>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</si>
  <si>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</si>
  <si>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</si>
  <si>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</si>
  <si>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</si>
  <si>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</si>
  <si>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</si>
  <si>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</si>
  <si>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</si>
  <si>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</si>
  <si>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</si>
  <si>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</si>
  <si>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</si>
  <si>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</si>
  <si>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</si>
  <si>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</si>
  <si>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</si>
  <si>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</si>
  <si>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</si>
  <si>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</si>
  <si>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</si>
  <si>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</si>
  <si>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</si>
  <si>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</si>
  <si>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</si>
  <si>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</si>
  <si>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</si>
  <si>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</si>
  <si>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</si>
  <si>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</si>
  <si>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</si>
  <si>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</si>
  <si>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</si>
  <si>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</si>
  <si>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</si>
  <si>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</si>
  <si>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</si>
  <si>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</si>
  <si>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</si>
  <si>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</si>
  <si>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</si>
  <si>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</si>
  <si>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</si>
  <si>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</si>
  <si>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</si>
  <si>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</si>
  <si>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</si>
  <si>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</si>
  <si>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</si>
  <si>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</si>
  <si>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</si>
  <si>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</si>
  <si>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</si>
  <si>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</si>
  <si>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</si>
  <si>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</si>
  <si>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</si>
  <si>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</si>
  <si>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</si>
  <si>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</si>
  <si>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</si>
  <si>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</si>
  <si>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</si>
  <si>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</si>
  <si>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</si>
  <si>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</si>
  <si>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</si>
  <si>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</si>
  <si>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</si>
  <si>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</si>
  <si>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</si>
  <si>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</si>
  <si>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</si>
  <si>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</si>
  <si>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</si>
  <si>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</si>
  <si>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</si>
  <si>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</si>
  <si>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</si>
  <si>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</si>
  <si>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</si>
  <si>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</si>
  <si>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</si>
  <si>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</si>
  <si>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</si>
  <si>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</si>
  <si>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</si>
  <si>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</si>
  <si>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</si>
  <si>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</si>
  <si>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</si>
  <si>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</si>
  <si>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</si>
  <si>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</si>
  <si>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</si>
  <si>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</si>
  <si>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</si>
  <si>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</si>
  <si>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</si>
  <si>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</si>
  <si>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</si>
  <si>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</si>
  <si>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</si>
  <si>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</si>
  <si>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</si>
  <si>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</si>
  <si>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</si>
  <si>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</si>
  <si>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</si>
  <si>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</si>
  <si>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</si>
  <si>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</si>
  <si>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</si>
  <si>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</si>
  <si>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</si>
  <si>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</si>
  <si>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</si>
  <si>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</si>
  <si>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</si>
  <si>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</si>
  <si>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</si>
  <si>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</si>
  <si>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</si>
  <si>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</si>
  <si>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</si>
  <si>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</si>
  <si>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</si>
  <si>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</si>
  <si>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</si>
  <si>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</si>
  <si>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</si>
  <si>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</si>
  <si>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</si>
  <si>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</si>
  <si>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</si>
  <si>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</si>
  <si>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</si>
  <si>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</si>
  <si>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</si>
  <si>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</si>
  <si>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</si>
  <si>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</si>
  <si>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</si>
  <si>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</si>
  <si>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</si>
  <si>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</si>
  <si>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</si>
  <si>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</si>
  <si>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</si>
  <si>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</si>
  <si>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</si>
  <si>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</si>
  <si>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</si>
  <si>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</si>
  <si>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</si>
  <si>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</si>
  <si>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</si>
  <si>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</si>
  <si>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</si>
  <si>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</si>
  <si>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</si>
  <si>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</si>
  <si>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</si>
  <si>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</si>
  <si>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</si>
  <si>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</si>
  <si>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</si>
  <si>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</si>
  <si>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</si>
  <si>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</si>
  <si>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</si>
  <si>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</si>
  <si>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</si>
  <si>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</si>
  <si>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</si>
  <si>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</si>
  <si>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</si>
  <si>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</si>
  <si>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</si>
  <si>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</si>
  <si>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</si>
  <si>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</si>
  <si>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</si>
  <si>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</si>
  <si>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</si>
  <si>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</si>
  <si>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</si>
  <si>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</si>
  <si>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</si>
  <si>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</si>
  <si>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</si>
  <si>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</si>
  <si>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</si>
  <si>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</si>
  <si>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</si>
  <si>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</si>
  <si>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</si>
  <si>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</si>
  <si>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</si>
  <si>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</si>
  <si>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</si>
  <si>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</si>
  <si>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</si>
  <si>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</si>
  <si>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</si>
  <si>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</si>
  <si>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</si>
  <si>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</si>
  <si>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</si>
  <si>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</si>
  <si>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</si>
  <si>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</si>
  <si>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</si>
  <si>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</si>
  <si>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</si>
  <si>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</si>
  <si>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</si>
  <si>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</si>
  <si>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</si>
  <si>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</si>
  <si>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</si>
  <si>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</si>
  <si>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</si>
  <si>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</si>
  <si>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</si>
  <si>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</si>
  <si>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</si>
  <si>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</si>
  <si>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</si>
  <si>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</si>
  <si>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</si>
  <si>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</si>
  <si>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</si>
  <si>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</si>
  <si>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</si>
  <si>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</si>
  <si>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</si>
  <si>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</si>
  <si>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</si>
  <si>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</si>
  <si>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</si>
  <si>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</si>
  <si>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</si>
  <si>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</si>
  <si>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</si>
  <si>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</si>
  <si>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</si>
  <si>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</si>
  <si>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</si>
  <si>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</si>
  <si>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</si>
  <si>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</si>
  <si>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</si>
  <si>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</si>
  <si>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</si>
  <si>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</si>
  <si>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</si>
  <si>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</si>
  <si>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</si>
  <si>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</si>
  <si>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</si>
  <si>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</si>
  <si>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</si>
  <si>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</si>
  <si>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</si>
  <si>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</si>
  <si>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</si>
  <si>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</si>
  <si>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</si>
  <si>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</si>
  <si>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</si>
  <si>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</si>
  <si>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</si>
  <si>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</si>
  <si>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</si>
  <si>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</si>
  <si>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</si>
  <si>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</si>
  <si>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</si>
  <si>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</si>
  <si>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</si>
  <si>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</si>
  <si>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</si>
  <si>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</si>
  <si>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</si>
  <si>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</si>
  <si>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</si>
  <si>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</si>
  <si>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</si>
  <si>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</si>
  <si>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</si>
  <si>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</si>
  <si>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</si>
  <si>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</si>
  <si>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</si>
  <si>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</si>
  <si>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</si>
  <si>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</si>
  <si>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</si>
  <si>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</si>
  <si>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</si>
  <si>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</si>
  <si>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</si>
  <si>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</si>
  <si>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</si>
  <si>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</si>
  <si>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</si>
  <si>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</si>
  <si>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</si>
  <si>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</si>
  <si>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</si>
  <si>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</si>
  <si>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</si>
  <si>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</si>
  <si>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</si>
  <si>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</si>
  <si>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</si>
  <si>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</si>
  <si>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</si>
  <si>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</si>
  <si>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</si>
  <si>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</si>
  <si>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</si>
  <si>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</si>
  <si>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</si>
  <si>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</si>
  <si>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</si>
  <si>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</si>
  <si>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</si>
  <si>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</si>
  <si>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</si>
  <si>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</si>
  <si>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</si>
  <si>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</si>
  <si>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</si>
  <si>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</si>
  <si>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</si>
  <si>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</si>
  <si>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</si>
  <si>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</si>
  <si>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</si>
  <si>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</si>
  <si>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</si>
  <si>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</si>
  <si>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</si>
  <si>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</si>
  <si>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</si>
  <si>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</si>
  <si>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</si>
  <si>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</si>
  <si>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</si>
  <si>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</si>
  <si>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</si>
  <si>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</si>
  <si>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</si>
  <si>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</si>
  <si>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</si>
  <si>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</si>
  <si>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</si>
  <si>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</si>
  <si>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</si>
  <si>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</si>
  <si>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</si>
  <si>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</si>
  <si>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</si>
  <si>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</si>
  <si>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</si>
  <si>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</si>
  <si>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</si>
  <si>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</si>
  <si>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</si>
  <si>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</si>
  <si>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</si>
  <si>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</si>
  <si>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</si>
  <si>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</si>
  <si>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</si>
  <si>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</si>
  <si>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</si>
  <si>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</si>
  <si>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</si>
  <si>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</si>
  <si>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</si>
  <si>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</si>
  <si>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</si>
  <si>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</si>
  <si>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</si>
  <si>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</si>
  <si>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</si>
  <si>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</si>
  <si>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</si>
  <si>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</si>
  <si>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</si>
  <si>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</si>
  <si>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</si>
  <si>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</si>
  <si>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</si>
  <si>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</si>
  <si>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</si>
  <si>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</si>
  <si>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</si>
  <si>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</si>
  <si>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</si>
  <si>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</si>
  <si>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</si>
  <si>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</si>
  <si>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</si>
  <si>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</si>
  <si>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</si>
  <si>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</si>
  <si>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</si>
  <si>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</si>
  <si>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</si>
  <si>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</si>
  <si>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</si>
  <si>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</si>
  <si>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</si>
  <si>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</si>
  <si>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</si>
  <si>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</si>
  <si>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</si>
  <si>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</si>
  <si>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</si>
  <si>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</si>
  <si>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</si>
  <si>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</si>
  <si>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</si>
  <si>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</si>
  <si>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</si>
  <si>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</si>
  <si>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</si>
  <si>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</si>
  <si>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</si>
  <si>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</si>
  <si>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</si>
  <si>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</si>
  <si>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</si>
  <si>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</si>
  <si>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</si>
  <si>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</si>
  <si>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</si>
  <si>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</si>
  <si>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</si>
  <si>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</si>
  <si>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</si>
  <si>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</si>
  <si>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</si>
  <si>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</si>
  <si>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</si>
  <si>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</si>
  <si>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</si>
  <si>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</si>
  <si>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</si>
  <si>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</si>
  <si>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</si>
  <si>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</si>
  <si>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</si>
  <si>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</si>
  <si>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</si>
  <si>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</si>
  <si>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</si>
  <si>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</si>
  <si>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</si>
  <si>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</si>
  <si>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</si>
  <si>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</si>
  <si>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</si>
  <si>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</si>
  <si>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</si>
  <si>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</si>
  <si>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</si>
  <si>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</si>
  <si>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</si>
  <si>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</si>
  <si>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</si>
  <si>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</si>
  <si>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</si>
  <si>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</si>
  <si>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</si>
  <si>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</si>
  <si>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</si>
  <si>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</si>
  <si>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</si>
  <si>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</si>
  <si>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</si>
  <si>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</si>
  <si>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</si>
  <si>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</si>
  <si>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</si>
  <si>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</si>
  <si>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</si>
  <si>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</si>
  <si>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</si>
  <si>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</si>
  <si>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</si>
  <si>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</si>
  <si>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</si>
  <si>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</si>
  <si>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</si>
  <si>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</si>
  <si>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</si>
  <si>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</si>
  <si>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</si>
  <si>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</si>
  <si>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</si>
  <si>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</si>
  <si>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</si>
  <si>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</si>
  <si>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</si>
  <si>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</si>
  <si>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</si>
  <si>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</si>
  <si>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</si>
  <si>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</si>
  <si>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</si>
  <si>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</si>
  <si>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</si>
  <si>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</si>
  <si>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</si>
  <si>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</si>
  <si>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</si>
  <si>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</si>
  <si>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</si>
  <si>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</si>
  <si>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</si>
  <si>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</si>
  <si>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</si>
  <si>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</si>
  <si>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</si>
  <si>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</si>
  <si>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</si>
  <si>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</si>
  <si>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</si>
  <si>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</si>
  <si>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</si>
  <si>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</si>
  <si>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</si>
  <si>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</si>
  <si>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</si>
  <si>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</si>
  <si>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</si>
  <si>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</si>
  <si>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</si>
  <si>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</si>
  <si>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</si>
  <si>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</si>
  <si>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</si>
  <si>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</si>
  <si>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</si>
  <si>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</si>
  <si>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</si>
  <si>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</si>
  <si>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</si>
  <si>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</si>
  <si>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</si>
  <si>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</si>
  <si>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</si>
  <si>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</si>
  <si>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</si>
  <si>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</si>
  <si>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</si>
  <si>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</si>
  <si>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</si>
  <si>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</si>
  <si>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</si>
  <si>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</si>
  <si>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</si>
  <si>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</si>
  <si>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</si>
  <si>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</si>
  <si>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</si>
  <si>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</si>
  <si>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</si>
  <si>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</si>
  <si>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</si>
  <si>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</si>
  <si>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</si>
  <si>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</si>
  <si>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</si>
  <si>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</si>
  <si>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</si>
  <si>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</si>
  <si>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</si>
  <si>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</si>
  <si>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</si>
  <si>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</si>
  <si>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</si>
  <si>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</si>
  <si>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</si>
  <si>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</si>
  <si>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</si>
  <si>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</si>
  <si>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</si>
  <si>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</si>
  <si>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</si>
  <si>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</si>
  <si>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</si>
  <si>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</si>
  <si>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</si>
  <si>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</si>
  <si>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</si>
  <si>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</si>
  <si>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</si>
  <si>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</si>
  <si>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</si>
  <si>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</si>
  <si>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</si>
  <si>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</si>
  <si>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</si>
  <si>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</si>
  <si>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</si>
  <si>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</si>
  <si>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</si>
  <si>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</si>
  <si>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</si>
  <si>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</si>
  <si>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</si>
  <si>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</si>
  <si>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</si>
  <si>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</si>
  <si>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</si>
  <si>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</si>
  <si>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</si>
  <si>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</si>
  <si>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</si>
  <si>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</si>
  <si>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</si>
  <si>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</si>
  <si>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</si>
  <si>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</si>
  <si>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</si>
  <si>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</si>
  <si>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</si>
  <si>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</si>
  <si>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</si>
  <si>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</si>
  <si>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</si>
  <si>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</si>
  <si>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</si>
  <si>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</si>
  <si>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</si>
  <si>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</si>
  <si>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</si>
  <si>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</si>
  <si>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</si>
  <si>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</si>
  <si>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</si>
  <si>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</si>
  <si>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</si>
  <si>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</si>
  <si>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</si>
  <si>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</si>
  <si>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</si>
  <si>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</si>
  <si>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</si>
  <si>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</si>
  <si>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</si>
  <si>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</si>
  <si>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</si>
  <si>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</si>
  <si>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</si>
  <si>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</si>
  <si>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</si>
  <si>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</si>
  <si>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</si>
  <si>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</si>
  <si>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</si>
  <si>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</si>
  <si>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</si>
  <si>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</si>
  <si>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</si>
  <si>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</si>
  <si>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</si>
  <si>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</si>
  <si>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</si>
  <si>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</si>
  <si>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</si>
  <si>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</si>
  <si>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</si>
  <si>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</si>
  <si>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</si>
  <si>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</si>
  <si>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</si>
  <si>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</si>
  <si>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</si>
  <si>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</si>
  <si>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</si>
  <si>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</si>
  <si>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</si>
  <si>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</si>
  <si>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</si>
  <si>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</si>
  <si>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</si>
  <si>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</si>
  <si>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</si>
  <si>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</si>
  <si>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</si>
  <si>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</si>
  <si>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</si>
  <si>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</si>
  <si>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</si>
  <si>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</si>
  <si>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</si>
  <si>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</si>
  <si>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</si>
  <si>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</si>
  <si>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</si>
  <si>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</si>
  <si>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</si>
  <si>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</si>
  <si>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</si>
  <si>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</si>
  <si>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</si>
  <si>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</si>
  <si>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</si>
  <si>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</si>
  <si>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</si>
  <si>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</si>
  <si>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</si>
  <si>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</si>
  <si>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</si>
  <si>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</si>
  <si>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</si>
  <si>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</si>
  <si>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</si>
  <si>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</si>
  <si>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</si>
  <si>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</si>
  <si>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</si>
  <si>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</si>
  <si>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</si>
  <si>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</si>
  <si>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</si>
  <si>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</si>
  <si>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</si>
  <si>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</si>
  <si>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</si>
  <si>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</si>
  <si>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</si>
  <si>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</si>
  <si>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</si>
  <si>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</si>
  <si>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</si>
  <si>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</si>
  <si>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</si>
  <si>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</si>
  <si>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</si>
  <si>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</si>
  <si>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</si>
  <si>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</si>
  <si>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</si>
  <si>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</si>
  <si>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</si>
  <si>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</si>
  <si>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</si>
  <si>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</si>
  <si>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</si>
  <si>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</si>
  <si>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</si>
  <si>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</si>
  <si>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</si>
  <si>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</si>
  <si>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</si>
  <si>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</si>
  <si>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</si>
  <si>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</si>
  <si>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</si>
  <si>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</si>
  <si>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</si>
  <si>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</si>
  <si>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</si>
  <si>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</si>
  <si>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</si>
  <si>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</si>
  <si>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</si>
  <si>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</si>
  <si>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</si>
  <si>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</si>
  <si>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</si>
  <si>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</si>
  <si>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</si>
  <si>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</si>
  <si>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</si>
  <si>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</si>
  <si>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</si>
  <si>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</si>
  <si>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</si>
  <si>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</si>
  <si>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</si>
  <si>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</si>
  <si>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</si>
  <si>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</si>
  <si>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</si>
  <si>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</si>
  <si>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</si>
  <si>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</si>
  <si>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</si>
  <si>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</si>
  <si>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</si>
  <si>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</si>
  <si>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</si>
  <si>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</si>
  <si>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</si>
  <si>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</si>
  <si>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</si>
  <si>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</si>
  <si>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</si>
  <si>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</si>
  <si>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</si>
  <si>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</si>
  <si>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</si>
  <si>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</si>
  <si>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</si>
  <si>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</si>
  <si>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</si>
  <si>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</si>
  <si>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</si>
  <si>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</si>
  <si>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</si>
  <si>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</si>
  <si>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</si>
  <si>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</si>
  <si>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</si>
  <si>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</si>
  <si>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</si>
  <si>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</si>
  <si>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</si>
  <si>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</si>
  <si>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</si>
  <si>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</si>
  <si>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</si>
  <si>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</si>
  <si>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</si>
  <si>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</si>
  <si>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</si>
  <si>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</si>
  <si>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</si>
  <si>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</si>
  <si>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</si>
  <si>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</si>
  <si>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</si>
  <si>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</si>
  <si>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</si>
  <si>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</si>
  <si>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</si>
  <si>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</si>
  <si>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</si>
  <si>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</si>
  <si>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</si>
  <si>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</si>
  <si>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</si>
  <si>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</si>
  <si>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</si>
  <si>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</si>
  <si>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</si>
  <si>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</si>
  <si>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</si>
  <si>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</si>
  <si>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</si>
  <si>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</si>
  <si>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</si>
  <si>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</si>
  <si>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</si>
  <si>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</si>
  <si>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</si>
  <si>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</si>
  <si>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</si>
  <si>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</si>
  <si>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</si>
  <si>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</si>
  <si>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</si>
  <si>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</si>
  <si>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</si>
  <si>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</si>
  <si>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</si>
  <si>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</si>
  <si>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</si>
  <si>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</si>
  <si>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</si>
  <si>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</si>
  <si>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</si>
  <si>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</si>
  <si>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</si>
  <si>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</si>
  <si>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</si>
  <si>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</si>
  <si>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</si>
  <si>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</si>
  <si>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</si>
  <si>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</si>
  <si>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</si>
  <si>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</si>
  <si>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</si>
  <si>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</si>
  <si>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</si>
  <si>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</si>
  <si>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</si>
  <si>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</si>
  <si>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</si>
  <si>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</si>
  <si>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</si>
  <si>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</si>
  <si>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</si>
  <si>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</si>
  <si>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</si>
  <si>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</si>
  <si>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</si>
  <si>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</si>
  <si>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</si>
  <si>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</si>
  <si>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</si>
  <si>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</si>
  <si>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</si>
  <si>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</si>
  <si>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</si>
  <si>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</si>
  <si>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</si>
  <si>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</si>
  <si>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</si>
  <si>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</si>
  <si>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</si>
  <si>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</si>
  <si>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</si>
  <si>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</si>
  <si>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</si>
  <si>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</si>
  <si>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</si>
  <si>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</si>
  <si>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</si>
  <si>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</si>
  <si>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</si>
  <si>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</si>
  <si>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</si>
  <si>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</si>
  <si>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</si>
  <si>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</si>
  <si>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</si>
  <si>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</si>
  <si>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</si>
  <si>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</si>
  <si>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</si>
  <si>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</si>
  <si>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</si>
  <si>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</si>
  <si>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</si>
  <si>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</si>
  <si>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</si>
  <si>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</si>
  <si>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</si>
  <si>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</si>
  <si>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</si>
  <si>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</si>
  <si>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</si>
  <si>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</si>
  <si>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</si>
  <si>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</si>
  <si>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</si>
  <si>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</si>
  <si>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</si>
  <si>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</si>
  <si>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</si>
  <si>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</si>
  <si>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</si>
  <si>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</si>
  <si>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</si>
  <si>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</si>
  <si>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</si>
  <si>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</si>
  <si>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</si>
  <si>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</si>
  <si>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</si>
  <si>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</si>
  <si>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</si>
  <si>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</si>
  <si>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</si>
  <si>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</si>
  <si>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</si>
  <si>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</si>
  <si>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</si>
  <si>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</si>
  <si>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</si>
  <si>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</si>
  <si>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</si>
  <si>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</si>
  <si>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</si>
  <si>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</si>
  <si>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</si>
  <si>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</si>
  <si>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</si>
  <si>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</si>
  <si>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</si>
  <si>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</si>
  <si>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</si>
  <si>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</si>
  <si>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</si>
  <si>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</si>
  <si>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</si>
  <si>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</si>
  <si>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</si>
  <si>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</si>
  <si>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</si>
  <si>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</si>
  <si>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</si>
  <si>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</si>
  <si>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</si>
  <si>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</si>
  <si>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</si>
  <si>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</si>
  <si>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</si>
  <si>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</si>
  <si>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</si>
  <si>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</si>
  <si>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</si>
  <si>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</si>
  <si>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</si>
  <si>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</si>
  <si>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</si>
  <si>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</si>
  <si>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</si>
  <si>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</si>
  <si>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</si>
  <si>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</si>
  <si>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</si>
  <si>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</si>
  <si>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</si>
  <si>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</si>
  <si>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</si>
  <si>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</si>
  <si>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</si>
  <si>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</si>
  <si>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</si>
  <si>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</si>
  <si>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</si>
  <si>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</si>
  <si>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</si>
  <si>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</si>
  <si>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</si>
  <si>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</si>
  <si>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</si>
  <si>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</si>
  <si>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</si>
  <si>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</si>
  <si>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</si>
  <si>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</si>
  <si>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</si>
  <si>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</si>
  <si>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</si>
  <si>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</si>
  <si>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</si>
  <si>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</si>
  <si>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</si>
  <si>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</si>
  <si>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</si>
  <si>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</si>
  <si>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</si>
  <si>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</si>
  <si>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</si>
  <si>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</si>
  <si>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</si>
  <si>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</si>
  <si>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</si>
  <si>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</si>
  <si>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</si>
  <si>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</si>
  <si>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</si>
  <si>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</si>
  <si>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</si>
  <si>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</si>
  <si>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</si>
  <si>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</si>
  <si>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</si>
  <si>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</si>
  <si>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</si>
  <si>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</si>
  <si>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</si>
  <si>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</si>
  <si>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</si>
  <si>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</si>
  <si>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</si>
  <si>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</si>
  <si>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</si>
  <si>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</si>
  <si>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</si>
  <si>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</si>
  <si>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</si>
  <si>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</si>
  <si>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</si>
  <si>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</si>
  <si>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</si>
  <si>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</si>
  <si>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</si>
  <si>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</si>
  <si>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</si>
  <si>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</si>
  <si>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</si>
  <si>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</si>
  <si>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</si>
  <si>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</si>
  <si>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</si>
  <si>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</si>
  <si>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</si>
  <si>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</si>
  <si>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</si>
  <si>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</si>
  <si>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</si>
  <si>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</si>
  <si>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</si>
  <si>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</si>
  <si>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</si>
  <si>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</si>
  <si>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</si>
  <si>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</si>
  <si>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</si>
  <si>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</si>
  <si>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</si>
  <si>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</si>
  <si>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</si>
  <si>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</si>
  <si>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</si>
  <si>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</si>
  <si>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</si>
  <si>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</si>
  <si>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</si>
  <si>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</si>
  <si>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</si>
  <si>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</si>
  <si>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</si>
  <si>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</si>
  <si>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</si>
  <si>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</si>
  <si>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</si>
  <si>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</si>
  <si>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</si>
  <si>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</si>
  <si>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</si>
  <si>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</si>
  <si>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</si>
  <si>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</si>
  <si>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</si>
  <si>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</si>
  <si>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</si>
  <si>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</si>
  <si>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</si>
  <si>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</si>
  <si>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</si>
  <si>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</si>
  <si>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</si>
  <si>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</si>
  <si>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</si>
  <si>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</si>
  <si>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</si>
  <si>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</si>
  <si>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</si>
  <si>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</si>
  <si>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</si>
  <si>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</si>
  <si>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</si>
  <si>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</si>
  <si>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</si>
  <si>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</si>
  <si>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</si>
  <si>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</si>
  <si>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</si>
  <si>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</si>
  <si>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</si>
  <si>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</si>
  <si>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</si>
  <si>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</si>
  <si>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</si>
  <si>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</si>
  <si>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</si>
  <si>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</si>
  <si>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</si>
  <si>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</si>
  <si>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</si>
  <si>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</si>
  <si>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</si>
  <si>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</si>
  <si>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</si>
  <si>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</si>
  <si>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</si>
  <si>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</si>
  <si>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</si>
  <si>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</si>
  <si>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</si>
  <si>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</si>
  <si>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</si>
  <si>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</si>
  <si>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</si>
  <si>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</si>
  <si>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</si>
  <si>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</si>
  <si>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</si>
  <si>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</si>
  <si>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</si>
  <si>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</si>
  <si>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</si>
  <si>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</si>
  <si>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</si>
  <si>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</si>
  <si>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</si>
  <si>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</si>
  <si>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</si>
  <si>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</si>
  <si>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</si>
  <si>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</si>
  <si>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</si>
  <si>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</si>
  <si>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</si>
  <si>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</si>
  <si>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</si>
  <si>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</si>
  <si>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</si>
  <si>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</si>
  <si>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</si>
  <si>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</si>
  <si>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</si>
  <si>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</si>
  <si>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</si>
  <si>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</si>
  <si>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</si>
  <si>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</si>
  <si>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</si>
  <si>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</si>
  <si>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</si>
  <si>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</si>
  <si>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</si>
  <si>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</si>
  <si>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</si>
  <si>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</si>
  <si>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</si>
  <si>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</si>
  <si>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</si>
  <si>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</si>
  <si>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</si>
  <si>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</si>
  <si>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</si>
  <si>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</si>
  <si>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</si>
  <si>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</si>
  <si>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</si>
  <si>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</si>
  <si>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</si>
  <si>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</si>
  <si>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</si>
  <si>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</si>
  <si>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</si>
  <si>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</si>
  <si>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</si>
  <si>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</si>
  <si>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</si>
  <si>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</si>
  <si>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</si>
  <si>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</si>
  <si>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</si>
  <si>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</si>
  <si>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</si>
  <si>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</si>
  <si>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</si>
  <si>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</si>
  <si>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</si>
  <si>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</si>
  <si>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</si>
  <si>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</si>
  <si>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</si>
  <si>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</si>
  <si>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</si>
  <si>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</si>
  <si>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</si>
  <si>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</si>
  <si>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</si>
  <si>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</si>
  <si>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</si>
  <si>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</si>
  <si>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</si>
  <si>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</si>
  <si>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</si>
  <si>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</si>
  <si>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</si>
  <si>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</si>
  <si>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</si>
  <si>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</si>
  <si>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</si>
  <si>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</si>
  <si>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</si>
  <si>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</si>
  <si>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</si>
  <si>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</si>
  <si>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</si>
  <si>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</si>
  <si>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</si>
  <si>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</si>
  <si>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</si>
  <si>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</si>
  <si>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</si>
  <si>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</si>
  <si>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</si>
  <si>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</si>
  <si>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</si>
  <si>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</si>
  <si>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</si>
  <si>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</si>
  <si>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</si>
  <si>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</si>
  <si>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</si>
  <si>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</si>
  <si>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</si>
  <si>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</si>
  <si>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</si>
  <si>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</si>
  <si>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</si>
  <si>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</si>
  <si>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</si>
  <si>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</si>
  <si>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</si>
  <si>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</si>
  <si>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</si>
  <si>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</si>
  <si>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</si>
  <si>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</si>
  <si>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</si>
  <si>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</si>
  <si>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</si>
  <si>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</si>
  <si>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</si>
  <si>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</si>
  <si>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</si>
  <si>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</si>
  <si>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</si>
  <si>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</si>
  <si>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</si>
  <si>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</si>
  <si>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</si>
  <si>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</si>
  <si>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</si>
  <si>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</si>
  <si>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</si>
  <si>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</si>
  <si>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</si>
  <si>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</si>
  <si>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</si>
  <si>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</si>
  <si>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</si>
  <si>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</si>
  <si>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</si>
  <si>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</si>
  <si>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</si>
  <si>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</si>
  <si>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</si>
  <si>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</si>
  <si>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</si>
  <si>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</si>
  <si>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</si>
  <si>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</si>
  <si>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</si>
  <si>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</si>
  <si>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</si>
  <si>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</si>
  <si>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</si>
  <si>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</si>
  <si>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</si>
  <si>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</si>
  <si>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</si>
  <si>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</si>
  <si>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</si>
  <si>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</si>
  <si>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</si>
  <si>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</si>
  <si>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</si>
  <si>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</si>
  <si>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</si>
  <si>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</si>
  <si>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</si>
  <si>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</si>
  <si>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</si>
  <si>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</si>
  <si>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</si>
  <si>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</si>
  <si>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</si>
  <si>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</si>
  <si>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</si>
  <si>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</si>
  <si>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</si>
  <si>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</si>
  <si>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</si>
  <si>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</si>
  <si>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</si>
  <si>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</si>
  <si>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</si>
  <si>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</si>
  <si>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</si>
  <si>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</si>
  <si>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</si>
  <si>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</si>
  <si>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</si>
  <si>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</si>
  <si>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</si>
  <si>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</si>
  <si>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</si>
  <si>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</si>
  <si>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</si>
  <si>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</si>
  <si>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</si>
  <si>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</si>
  <si>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</si>
  <si>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</si>
  <si>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</si>
  <si>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</si>
  <si>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</si>
  <si>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</si>
  <si>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</si>
  <si>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</si>
  <si>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</si>
  <si>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</si>
  <si>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</si>
  <si>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</si>
  <si>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</si>
  <si>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</si>
  <si>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</si>
  <si>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</si>
  <si>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</si>
  <si>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</si>
  <si>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</si>
  <si>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</si>
  <si>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</si>
  <si>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</si>
  <si>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</si>
  <si>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</si>
  <si>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</si>
  <si>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</si>
  <si>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</si>
  <si>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</si>
  <si>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</si>
  <si>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</si>
  <si>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</si>
  <si>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</si>
  <si>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</si>
  <si>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</si>
  <si>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</si>
  <si>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</si>
  <si>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</si>
  <si>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</si>
  <si>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</si>
  <si>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</si>
  <si>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</si>
  <si>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</si>
  <si>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</si>
  <si>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</si>
  <si>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</si>
  <si>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</si>
  <si>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</si>
  <si>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</si>
  <si>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</si>
  <si>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</si>
  <si>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</si>
  <si>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</si>
  <si>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</si>
  <si>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</si>
  <si>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</si>
  <si>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</si>
  <si>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</si>
  <si>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</si>
  <si>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</si>
  <si>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</si>
  <si>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</si>
  <si>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</si>
  <si>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</si>
  <si>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</si>
  <si>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</si>
  <si>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</si>
  <si>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</si>
  <si>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</si>
  <si>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</si>
  <si>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</si>
  <si>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</si>
  <si>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</si>
  <si>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</si>
  <si>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</si>
  <si>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</si>
  <si>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</si>
  <si>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</si>
  <si>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</si>
  <si>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</si>
  <si>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</si>
  <si>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</si>
  <si>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</si>
  <si>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</si>
  <si>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</si>
  <si>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</si>
  <si>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</si>
  <si>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</si>
  <si>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</si>
  <si>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</si>
  <si>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</si>
  <si>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</si>
  <si>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</si>
  <si>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</si>
  <si>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</si>
  <si>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</si>
  <si>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</si>
  <si>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</si>
  <si>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</si>
  <si>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</si>
  <si>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</si>
  <si>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</si>
  <si>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</si>
  <si>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</si>
  <si>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</si>
  <si>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</si>
  <si>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</si>
  <si>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</si>
  <si>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</si>
  <si>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</si>
  <si>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</si>
  <si>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</si>
  <si>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</si>
  <si>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</si>
  <si>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</si>
  <si>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</si>
  <si>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</si>
  <si>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</si>
  <si>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</si>
  <si>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</si>
  <si>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</si>
  <si>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</si>
  <si>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</si>
  <si>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</si>
  <si>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</si>
  <si>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</si>
  <si>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</si>
  <si>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</si>
  <si>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</si>
  <si>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</si>
  <si>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</si>
  <si>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</si>
  <si>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</si>
  <si>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</si>
  <si>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</si>
  <si>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</si>
  <si>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</si>
  <si>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</si>
  <si>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</si>
  <si>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</si>
  <si>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</si>
  <si>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</si>
  <si>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</si>
  <si>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</si>
  <si>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</si>
  <si>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</si>
  <si>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</si>
  <si>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</si>
  <si>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</si>
  <si>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</si>
  <si>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</si>
  <si>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</si>
  <si>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</si>
  <si>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</si>
  <si>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</si>
  <si>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</si>
  <si>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</si>
  <si>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</si>
  <si>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</si>
  <si>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</si>
  <si>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</si>
  <si>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</si>
  <si>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</si>
  <si>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</si>
  <si>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</si>
  <si>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</si>
  <si>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</si>
  <si>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</si>
  <si>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</si>
  <si>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</si>
  <si>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</si>
  <si>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</si>
  <si>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</si>
  <si>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</si>
  <si>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</si>
  <si>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</si>
  <si>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</si>
  <si>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</si>
  <si>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</si>
  <si>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</si>
  <si>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</si>
  <si>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</si>
  <si>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</si>
  <si>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</si>
  <si>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</si>
  <si>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</si>
  <si>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</si>
  <si>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</si>
  <si>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</si>
  <si>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</si>
  <si>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</si>
  <si>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</si>
  <si>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</si>
  <si>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</si>
  <si>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</si>
  <si>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</si>
  <si>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</si>
  <si>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</si>
  <si>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</si>
  <si>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</si>
  <si>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</si>
  <si>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</si>
  <si>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</si>
  <si>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</si>
  <si>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</si>
  <si>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</si>
  <si>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</si>
  <si>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</si>
  <si>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</si>
  <si>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</si>
  <si>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</si>
  <si>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</si>
  <si>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</si>
  <si>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</si>
  <si>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</si>
  <si>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</si>
  <si>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</si>
  <si>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</si>
  <si>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</si>
  <si>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</si>
  <si>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</si>
  <si>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</si>
  <si>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</si>
  <si>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</si>
  <si>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</si>
  <si>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</si>
  <si>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</si>
  <si>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</si>
  <si>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</si>
  <si>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</si>
  <si>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</si>
  <si>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</si>
  <si>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</si>
  <si>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</si>
  <si>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</si>
  <si>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</si>
  <si>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</si>
  <si>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</si>
  <si>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</si>
  <si>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</si>
  <si>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</si>
  <si>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</si>
  <si>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</si>
  <si>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</si>
  <si>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</si>
  <si>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</si>
  <si>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</si>
  <si>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</si>
  <si>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</si>
  <si>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</si>
  <si>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</si>
  <si>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</si>
  <si>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</si>
  <si>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</si>
  <si>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</si>
  <si>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</si>
  <si>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</si>
  <si>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</si>
  <si>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</si>
  <si>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</si>
  <si>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</si>
  <si>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</si>
  <si>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</si>
  <si>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</si>
  <si>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</si>
  <si>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</si>
  <si>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</si>
  <si>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</si>
  <si>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</si>
  <si>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</si>
  <si>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</si>
  <si>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</si>
  <si>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</si>
  <si>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</si>
  <si>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</si>
  <si>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</si>
  <si>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</si>
  <si>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</si>
  <si>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</si>
  <si>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</si>
  <si>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</si>
  <si>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</si>
  <si>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</si>
  <si>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</si>
  <si>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</si>
  <si>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</si>
  <si>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</si>
  <si>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</si>
  <si>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</si>
  <si>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</si>
  <si>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</si>
  <si>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</si>
  <si>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</si>
  <si>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</si>
  <si>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</si>
  <si>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</si>
  <si>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</si>
  <si>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</si>
  <si>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</si>
  <si>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</si>
  <si>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</si>
  <si>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</si>
  <si>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</si>
  <si>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</si>
  <si>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</si>
  <si>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</si>
  <si>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</si>
  <si>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</si>
  <si>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</si>
  <si>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</si>
  <si>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</si>
  <si>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</si>
  <si>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</si>
  <si>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</si>
  <si>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</si>
  <si>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</si>
  <si>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</si>
  <si>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</si>
  <si>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</si>
  <si>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</si>
  <si>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</si>
  <si>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</si>
  <si>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</si>
  <si>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</si>
  <si>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</si>
  <si>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</si>
  <si>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</si>
  <si>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</si>
  <si>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</si>
  <si>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</si>
  <si>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</si>
  <si>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</si>
  <si>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</si>
  <si>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</si>
  <si>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</si>
  <si>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</si>
  <si>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</si>
  <si>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</si>
  <si>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</si>
  <si>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</si>
  <si>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</si>
  <si>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</si>
  <si>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</si>
  <si>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</si>
  <si>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</si>
  <si>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</si>
  <si>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</si>
  <si>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</si>
  <si>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</si>
  <si>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</si>
  <si>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</si>
  <si>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</si>
  <si>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</si>
  <si>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</si>
  <si>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</si>
  <si>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</si>
  <si>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</si>
  <si>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</si>
  <si>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</si>
  <si>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</si>
  <si>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</si>
  <si>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</si>
  <si>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</si>
  <si>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</si>
  <si>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</si>
  <si>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</si>
  <si>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</si>
  <si>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</si>
  <si>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</si>
  <si>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</si>
  <si>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</si>
  <si>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</si>
  <si>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</si>
  <si>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</si>
  <si>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</si>
  <si>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</si>
  <si>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</si>
  <si>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</si>
  <si>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</si>
  <si>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</si>
  <si>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</si>
  <si>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</si>
  <si>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</si>
  <si>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</si>
  <si>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</si>
  <si>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</si>
  <si>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</si>
  <si>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</si>
  <si>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</si>
  <si>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</si>
  <si>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</si>
  <si>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</si>
  <si>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</si>
  <si>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</si>
  <si>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</si>
  <si>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</si>
  <si>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</si>
  <si>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</si>
  <si>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</si>
  <si>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</si>
  <si>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</si>
  <si>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</si>
  <si>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</si>
  <si>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</si>
  <si>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</si>
  <si>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</si>
  <si>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</si>
  <si>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</si>
  <si>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</si>
  <si>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</si>
  <si>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</si>
  <si>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</si>
  <si>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</si>
  <si>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</si>
  <si>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</si>
  <si>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</si>
  <si>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</si>
  <si>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</si>
  <si>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</si>
  <si>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</si>
  <si>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</si>
  <si>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</si>
  <si>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</si>
  <si>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</si>
  <si>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</si>
  <si>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</si>
  <si>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</si>
  <si>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</si>
  <si>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</si>
  <si>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</si>
  <si>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</si>
  <si>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</si>
  <si>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</si>
  <si>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</si>
  <si>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</si>
  <si>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</si>
  <si>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</si>
  <si>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</si>
  <si>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</si>
  <si>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</si>
  <si>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</si>
  <si>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</si>
  <si>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</si>
  <si>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</si>
  <si>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</si>
  <si>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</si>
  <si>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</si>
  <si>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</si>
  <si>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</si>
  <si>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</si>
  <si>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</si>
  <si>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</si>
  <si>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</si>
  <si>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</si>
  <si>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</si>
  <si>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</si>
  <si>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</si>
  <si>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</si>
  <si>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</si>
  <si>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</si>
  <si>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</si>
  <si>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</si>
  <si>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</si>
  <si>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</si>
  <si>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</si>
  <si>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</si>
  <si>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</si>
  <si>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</si>
  <si>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</si>
  <si>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</si>
  <si>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</si>
  <si>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</si>
  <si>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</si>
  <si>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</si>
  <si>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</si>
  <si>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</si>
  <si>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</si>
  <si>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</si>
  <si>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</si>
  <si>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</si>
  <si>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</si>
  <si>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</si>
  <si>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</si>
  <si>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</si>
  <si>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</si>
  <si>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</si>
  <si>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</si>
  <si>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</si>
  <si>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</si>
  <si>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</si>
  <si>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</si>
  <si>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</si>
  <si>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</si>
  <si>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</si>
  <si>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</si>
  <si>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</si>
  <si>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</si>
  <si>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</si>
  <si>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</si>
  <si>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</si>
  <si>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</si>
  <si>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</si>
  <si>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</si>
  <si>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</si>
  <si>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</si>
  <si>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</si>
  <si>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</si>
  <si>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</si>
  <si>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</si>
  <si>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</si>
  <si>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</si>
  <si>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</si>
  <si>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</si>
  <si>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</si>
  <si>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</si>
  <si>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</si>
  <si>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</si>
  <si>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</si>
  <si>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</si>
  <si>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</si>
  <si>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</si>
  <si>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</si>
  <si>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</si>
  <si>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</si>
  <si>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</si>
  <si>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</si>
  <si>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</si>
  <si>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</si>
  <si>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</si>
  <si>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</si>
  <si>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</si>
  <si>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</si>
  <si>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</si>
  <si>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</si>
  <si>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</si>
  <si>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</si>
  <si>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</si>
  <si>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</si>
  <si>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</si>
  <si>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</si>
  <si>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</si>
  <si>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</si>
  <si>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</si>
  <si>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</si>
  <si>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</si>
  <si>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</si>
  <si>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</si>
  <si>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</si>
  <si>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</si>
  <si>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</si>
  <si>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</si>
  <si>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</si>
  <si>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</si>
  <si>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</si>
  <si>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</si>
  <si>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</si>
  <si>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</si>
  <si>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</si>
  <si>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</si>
  <si>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</si>
  <si>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</si>
  <si>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</si>
  <si>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</si>
  <si>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</si>
  <si>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</si>
  <si>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</si>
  <si>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</si>
  <si>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</si>
  <si>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</si>
  <si>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</si>
  <si>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</si>
  <si>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</si>
  <si>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</si>
  <si>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</si>
  <si>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</si>
  <si>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</si>
  <si>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</si>
  <si>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</si>
  <si>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</si>
  <si>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</si>
  <si>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</si>
  <si>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</si>
  <si>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</si>
  <si>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</si>
  <si>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</si>
  <si>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</si>
  <si>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</si>
  <si>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</si>
  <si>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</si>
  <si>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</si>
  <si>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</si>
  <si>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</si>
  <si>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</si>
  <si>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</si>
  <si>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</si>
  <si>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</si>
  <si>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</si>
  <si>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</si>
  <si>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</si>
  <si>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</si>
  <si>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</si>
  <si>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</si>
  <si>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</si>
  <si>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</si>
  <si>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</si>
  <si>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</si>
  <si>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</si>
  <si>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</si>
  <si>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</si>
  <si>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</si>
  <si>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</si>
  <si>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</si>
  <si>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</si>
  <si>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</si>
  <si>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</si>
  <si>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</si>
  <si>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</si>
  <si>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</si>
  <si>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</si>
  <si>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</si>
  <si>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</si>
  <si>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</si>
  <si>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</si>
  <si>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</si>
  <si>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</si>
  <si>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</si>
  <si>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</si>
  <si>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</si>
  <si>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</si>
  <si>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</si>
  <si>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</si>
  <si>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</si>
  <si>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</si>
  <si>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</si>
  <si>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</si>
  <si>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</si>
  <si>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</si>
  <si>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</si>
  <si>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</si>
  <si>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</si>
  <si>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</si>
  <si>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</si>
  <si>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</si>
  <si>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</si>
  <si>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</si>
  <si>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</si>
  <si>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</si>
  <si>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</si>
  <si>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</si>
  <si>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</si>
  <si>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</si>
  <si>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</si>
  <si>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</si>
  <si>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</si>
  <si>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</si>
  <si>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</si>
  <si>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</si>
  <si>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</si>
  <si>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</si>
  <si>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</si>
  <si>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</si>
  <si>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</si>
  <si>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</si>
  <si>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</si>
  <si>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</si>
  <si>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</si>
  <si>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</si>
  <si>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</si>
  <si>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</si>
  <si>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</si>
  <si>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</si>
  <si>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</si>
  <si>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</si>
  <si>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</si>
  <si>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</si>
  <si>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</si>
  <si>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</si>
  <si>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</si>
  <si>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</si>
  <si>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</si>
  <si>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</si>
  <si>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</si>
  <si>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</si>
  <si>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</si>
  <si>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</si>
  <si>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</si>
  <si>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</si>
  <si>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</si>
  <si>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</si>
  <si>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</si>
  <si>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</si>
  <si>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</si>
  <si>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</si>
  <si>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</si>
  <si>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</si>
  <si>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</si>
  <si>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</si>
  <si>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</si>
  <si>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</si>
  <si>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</si>
  <si>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</si>
  <si>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</si>
  <si>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</si>
  <si>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</si>
  <si>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</si>
  <si>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</si>
  <si>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</si>
  <si>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</si>
  <si>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</si>
  <si>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</si>
  <si>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</si>
  <si>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</si>
  <si>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</si>
  <si>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</si>
  <si>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</si>
  <si>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</si>
  <si>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</si>
  <si>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</si>
  <si>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</si>
  <si>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</si>
  <si>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</si>
  <si>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</si>
  <si>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</si>
  <si>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</si>
  <si>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</si>
  <si>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</si>
  <si>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</si>
  <si>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</si>
  <si>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</si>
  <si>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</si>
  <si>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</si>
  <si>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</si>
  <si>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</si>
  <si>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</si>
  <si>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</si>
  <si>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</si>
  <si>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</si>
  <si>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</si>
  <si>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</si>
  <si>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</si>
  <si>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</si>
  <si>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</si>
  <si>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</si>
  <si>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</si>
  <si>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</si>
  <si>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</si>
  <si>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</si>
  <si>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</si>
  <si>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</si>
  <si>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</si>
  <si>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</si>
  <si>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</si>
  <si>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</si>
  <si>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</si>
  <si>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</si>
  <si>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</si>
  <si>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</si>
  <si>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</si>
  <si>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</si>
  <si>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</si>
  <si>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</si>
  <si>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</si>
  <si>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</si>
  <si>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</si>
  <si>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</si>
  <si>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</si>
  <si>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</si>
  <si>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</si>
  <si>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</si>
  <si>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</si>
  <si>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</si>
  <si>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</si>
  <si>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</si>
  <si>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</si>
  <si>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</si>
  <si>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</si>
  <si>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</si>
  <si>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</si>
  <si>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</si>
  <si>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</si>
  <si>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</si>
  <si>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</si>
  <si>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</si>
  <si>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</si>
  <si>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</si>
  <si>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</si>
  <si>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</si>
  <si>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</si>
  <si>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</si>
  <si>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</si>
  <si>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</si>
  <si>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</si>
  <si>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</si>
  <si>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</si>
  <si>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</si>
  <si>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</si>
  <si>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</si>
  <si>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</si>
  <si>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</si>
  <si>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</si>
  <si>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</si>
  <si>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</si>
  <si>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</si>
  <si>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</si>
  <si>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</si>
  <si>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</si>
  <si>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</si>
  <si>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</si>
  <si>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</si>
  <si>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</si>
  <si>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</si>
  <si>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</si>
  <si>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</si>
  <si>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</si>
  <si>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</si>
  <si>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</si>
  <si>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</si>
  <si>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</si>
  <si>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</si>
  <si>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</si>
  <si>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</si>
  <si>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</si>
  <si>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</si>
  <si>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</si>
  <si>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</si>
  <si>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</si>
  <si>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</si>
  <si>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</si>
  <si>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</si>
  <si>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</si>
  <si>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</si>
  <si>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</si>
  <si>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</si>
  <si>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</si>
  <si>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</si>
  <si>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</si>
  <si>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</si>
  <si>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</si>
  <si>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</si>
  <si>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</si>
  <si>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</si>
  <si>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</si>
  <si>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</si>
  <si>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</si>
  <si>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</si>
  <si>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</si>
  <si>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</si>
  <si>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</si>
  <si>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</si>
  <si>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</si>
  <si>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</si>
  <si>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</si>
  <si>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</si>
  <si>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</si>
  <si>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</si>
  <si>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</si>
  <si>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</si>
  <si>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</si>
  <si>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</si>
  <si>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</si>
  <si>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</si>
  <si>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</si>
  <si>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</si>
  <si>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</si>
  <si>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</si>
  <si>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</si>
  <si>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</si>
  <si>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</si>
  <si>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</si>
  <si>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</si>
  <si>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</si>
  <si>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</si>
  <si>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</si>
  <si>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</si>
  <si>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</si>
  <si>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</si>
  <si>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</si>
  <si>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</si>
  <si>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</si>
  <si>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</si>
  <si>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</si>
  <si>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</si>
  <si>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</si>
  <si>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</si>
  <si>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</si>
  <si>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</si>
  <si>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</si>
  <si>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</si>
  <si>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</si>
  <si>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</si>
  <si>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</si>
  <si>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</si>
  <si>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</si>
  <si>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</si>
  <si>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</si>
  <si>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</si>
  <si>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</si>
  <si>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</si>
  <si>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</si>
  <si>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</si>
  <si>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</si>
  <si>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</si>
  <si>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</si>
  <si>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</si>
  <si>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</si>
  <si>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</si>
  <si>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</si>
  <si>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</si>
  <si>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</si>
  <si>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</si>
  <si>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</si>
  <si>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</si>
  <si>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</si>
  <si>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</si>
  <si>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</si>
  <si>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</si>
  <si>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</si>
  <si>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</si>
  <si>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</si>
  <si>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</si>
  <si>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</si>
  <si>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</si>
  <si>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</si>
  <si>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</si>
  <si>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</si>
  <si>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</si>
  <si>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</si>
  <si>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</si>
  <si>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</si>
  <si>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</si>
  <si>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</si>
  <si>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</si>
  <si>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</si>
  <si>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</si>
  <si>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</si>
  <si>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</si>
  <si>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</si>
  <si>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</si>
  <si>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</si>
  <si>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</si>
  <si>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</si>
  <si>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</si>
  <si>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</si>
  <si>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</si>
  <si>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</si>
  <si>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</si>
  <si>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</si>
  <si>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</si>
  <si>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</si>
  <si>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</si>
  <si>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</si>
  <si>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</si>
  <si>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</si>
  <si>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</si>
  <si>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</si>
  <si>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</si>
  <si>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</si>
  <si>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</si>
  <si>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</si>
  <si>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</si>
  <si>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</si>
  <si>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</si>
  <si>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</si>
  <si>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</si>
  <si>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</si>
  <si>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</si>
  <si>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</si>
  <si>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</si>
  <si>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</si>
  <si>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</si>
  <si>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</si>
  <si>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</si>
  <si>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</si>
  <si>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</si>
  <si>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</si>
  <si>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</si>
  <si>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</si>
  <si>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</si>
  <si>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</si>
  <si>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</si>
  <si>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</si>
  <si>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</si>
  <si>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</si>
  <si>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</si>
  <si>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</si>
  <si>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</si>
  <si>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</si>
  <si>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</si>
  <si>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</si>
  <si>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</si>
  <si>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</si>
  <si>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</si>
  <si>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</si>
  <si>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</si>
  <si>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</si>
  <si>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</si>
  <si>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</si>
  <si>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</si>
  <si>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</si>
  <si>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</si>
  <si>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</si>
  <si>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</si>
  <si>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</si>
  <si>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</si>
  <si>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</si>
  <si>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</si>
  <si>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</si>
  <si>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</si>
  <si>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</si>
  <si>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</si>
  <si>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</si>
  <si>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</si>
  <si>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</si>
  <si>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</si>
  <si>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</si>
  <si>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</si>
  <si>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</si>
  <si>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</si>
  <si>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</si>
  <si>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</si>
  <si>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</si>
  <si>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</si>
  <si>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</si>
  <si>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</si>
  <si>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</si>
  <si>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</si>
  <si>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</si>
  <si>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</si>
  <si>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</si>
  <si>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</si>
  <si>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</si>
  <si>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</si>
  <si>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</si>
  <si>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</si>
  <si>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</si>
  <si>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</si>
  <si>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</si>
  <si>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</si>
  <si>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</si>
  <si>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</si>
  <si>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</si>
  <si>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</si>
  <si>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</si>
  <si>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</si>
  <si>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</si>
  <si>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</si>
  <si>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</si>
  <si>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</si>
  <si>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</si>
  <si>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</si>
  <si>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</si>
  <si>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</si>
  <si>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</si>
  <si>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</si>
  <si>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</si>
  <si>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</si>
  <si>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</si>
  <si>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</si>
  <si>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</si>
  <si>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</si>
  <si>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</si>
  <si>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</si>
  <si>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</si>
  <si>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</si>
  <si>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</si>
  <si>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</si>
  <si>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</si>
  <si>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</si>
  <si>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</si>
  <si>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</si>
  <si>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</si>
  <si>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</si>
  <si>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</si>
  <si>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</si>
  <si>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</si>
  <si>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</si>
  <si>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</si>
  <si>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</si>
  <si>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</si>
  <si>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</si>
  <si>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</si>
  <si>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</si>
  <si>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</si>
  <si>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</si>
  <si>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</si>
  <si>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</si>
  <si>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</si>
  <si>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</si>
  <si>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</si>
  <si>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</si>
  <si>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</si>
  <si>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</si>
  <si>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</si>
  <si>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</si>
  <si>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</si>
  <si>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</si>
  <si>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</si>
  <si>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</si>
  <si>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</si>
  <si>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</si>
  <si>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</si>
  <si>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</si>
  <si>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</si>
  <si>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</si>
  <si>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</si>
  <si>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</si>
  <si>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</si>
  <si>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</si>
  <si>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</si>
  <si>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</si>
  <si>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</si>
  <si>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</si>
  <si>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</si>
  <si>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</si>
  <si>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</si>
  <si>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</si>
  <si>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</si>
  <si>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</si>
  <si>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</si>
  <si>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</si>
  <si>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</si>
  <si>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</si>
  <si>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</si>
  <si>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</si>
  <si>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</si>
  <si>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</si>
  <si>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</si>
  <si>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</si>
  <si>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</si>
  <si>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</si>
  <si>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</si>
  <si>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</si>
  <si>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</si>
  <si>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</si>
  <si>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</si>
  <si>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</si>
  <si>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</si>
  <si>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</si>
  <si>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</si>
  <si>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</si>
  <si>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</si>
  <si>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</si>
  <si>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</si>
  <si>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</si>
  <si>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</si>
  <si>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</si>
  <si>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</si>
  <si>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</si>
  <si>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</si>
  <si>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</si>
  <si>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</si>
  <si>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</si>
  <si>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</si>
  <si>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</si>
  <si>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</si>
  <si>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</si>
  <si>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</si>
  <si>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</si>
  <si>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</si>
  <si>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</si>
  <si>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</si>
  <si>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</si>
  <si>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</si>
  <si>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</si>
  <si>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</si>
  <si>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</si>
  <si>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</si>
  <si>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</si>
  <si>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</si>
  <si>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</si>
  <si>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</si>
  <si>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</si>
  <si>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</si>
  <si>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</si>
  <si>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</si>
  <si>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</si>
  <si>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</si>
  <si>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</si>
  <si>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</si>
  <si>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</si>
  <si>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</si>
  <si>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</si>
  <si>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</si>
  <si>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</si>
  <si>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</si>
  <si>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</si>
  <si>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</si>
  <si>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</si>
  <si>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</si>
  <si>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</si>
  <si>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</si>
  <si>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</si>
  <si>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</si>
  <si>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</si>
  <si>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</si>
  <si>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</si>
  <si>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</si>
  <si>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</si>
  <si>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</si>
  <si>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</si>
  <si>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</si>
  <si>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</si>
  <si>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</si>
  <si>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</si>
  <si>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</si>
  <si>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</si>
  <si>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</si>
  <si>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</si>
  <si>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</si>
  <si>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</si>
  <si>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</si>
  <si>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</si>
  <si>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</si>
  <si>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</si>
  <si>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</si>
  <si>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</si>
  <si>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</si>
  <si>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</si>
  <si>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</si>
  <si>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</si>
  <si>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</si>
  <si>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</si>
  <si>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</si>
  <si>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</si>
  <si>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</si>
  <si>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</si>
  <si>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</si>
  <si>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</si>
  <si>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</si>
  <si>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</si>
  <si>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</si>
  <si>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</si>
  <si>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</si>
  <si>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</si>
  <si>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</si>
  <si>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</si>
  <si>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</si>
  <si>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</si>
  <si>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</si>
  <si>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</si>
  <si>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</si>
  <si>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</si>
  <si>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</si>
  <si>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</si>
  <si>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</si>
  <si>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</si>
  <si>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</si>
  <si>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</si>
  <si>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</si>
  <si>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</si>
  <si>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</si>
  <si>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</si>
  <si>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</si>
  <si>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</si>
  <si>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</si>
  <si>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</si>
  <si>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</si>
  <si>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</si>
  <si>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</si>
  <si>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</si>
  <si>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</si>
  <si>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</si>
  <si>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</si>
  <si>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</si>
  <si>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</si>
  <si>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</si>
  <si>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</si>
  <si>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</si>
  <si>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</si>
  <si>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</si>
  <si>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</si>
  <si>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</si>
  <si>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</si>
  <si>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</si>
  <si>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</si>
  <si>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</si>
  <si>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</si>
  <si>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</si>
  <si>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</si>
  <si>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</si>
  <si>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</si>
  <si>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</si>
  <si>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</si>
  <si>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</si>
  <si>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</si>
  <si>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</si>
  <si>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</si>
  <si>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</si>
  <si>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</si>
  <si>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</si>
  <si>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</si>
  <si>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</si>
  <si>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</si>
  <si>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</si>
  <si>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</si>
  <si>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</si>
  <si>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</si>
  <si>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</si>
  <si>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</si>
  <si>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</si>
  <si>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</si>
  <si>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</si>
  <si>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</si>
  <si>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</si>
  <si>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</si>
  <si>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</si>
  <si>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</si>
  <si>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</si>
  <si>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</si>
  <si>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</si>
  <si>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</si>
  <si>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</si>
  <si>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</si>
  <si>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</si>
  <si>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</si>
  <si>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</si>
  <si>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</si>
  <si>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</si>
  <si>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</si>
  <si>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</si>
  <si>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</si>
  <si>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</si>
  <si>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</si>
  <si>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</si>
  <si>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</si>
  <si>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</si>
  <si>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</si>
  <si>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</si>
  <si>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</si>
  <si>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</si>
  <si>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</si>
  <si>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</si>
  <si>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</si>
  <si>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</si>
  <si>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</si>
  <si>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</si>
  <si>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</si>
  <si>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</si>
  <si>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</si>
  <si>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</si>
  <si>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</si>
  <si>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</si>
  <si>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</si>
  <si>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</si>
  <si>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</si>
  <si>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</si>
  <si>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</si>
  <si>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</si>
  <si>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</si>
  <si>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</si>
  <si>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</si>
  <si>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</si>
  <si>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</si>
  <si>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</si>
  <si>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</si>
  <si>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</si>
  <si>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</si>
  <si>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</si>
  <si>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</si>
  <si>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</si>
  <si>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</si>
  <si>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</si>
  <si>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</si>
  <si>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</si>
  <si>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</si>
  <si>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</si>
  <si>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</si>
  <si>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</si>
  <si>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</si>
  <si>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</si>
  <si>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</si>
  <si>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</si>
  <si>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</si>
  <si>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</si>
  <si>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</si>
  <si>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</si>
  <si>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</si>
  <si>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</si>
  <si>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</si>
  <si>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</si>
  <si>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</si>
  <si>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</si>
  <si>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</si>
  <si>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</si>
  <si>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</si>
  <si>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</si>
  <si>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</si>
  <si>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</si>
  <si>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</si>
  <si>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</si>
  <si>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</si>
  <si>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</si>
  <si>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</si>
  <si>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</si>
  <si>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</si>
  <si>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</si>
  <si>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</si>
  <si>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</si>
  <si>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</si>
  <si>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</si>
  <si>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</si>
  <si>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</si>
  <si>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</si>
  <si>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</si>
  <si>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</si>
  <si>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</si>
  <si>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</si>
  <si>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</si>
  <si>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</si>
  <si>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</si>
  <si>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</si>
  <si>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</si>
  <si>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</si>
  <si>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</si>
  <si>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</si>
  <si>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</si>
  <si>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</si>
  <si>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</si>
  <si>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</si>
  <si>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</si>
  <si>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</si>
  <si>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</si>
  <si>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</si>
  <si>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</si>
  <si>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</si>
  <si>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</si>
  <si>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</si>
  <si>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</si>
  <si>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</si>
  <si>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</si>
  <si>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</si>
  <si>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</si>
  <si>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</si>
  <si>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</si>
  <si>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</si>
  <si>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</si>
  <si>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</si>
  <si>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</si>
  <si>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</si>
  <si>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</si>
  <si>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</si>
  <si>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</si>
  <si>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</si>
  <si>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</si>
  <si>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</si>
  <si>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</si>
  <si>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</si>
  <si>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</si>
  <si>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</si>
  <si>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</si>
  <si>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</si>
  <si>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</si>
  <si>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</si>
  <si>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</si>
  <si>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</si>
  <si>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</si>
  <si>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</si>
  <si>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</si>
  <si>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</si>
  <si>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</si>
  <si>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</si>
  <si>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</si>
  <si>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</si>
  <si>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</si>
  <si>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</si>
  <si>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</si>
  <si>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</si>
  <si>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</si>
  <si>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</si>
  <si>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</si>
  <si>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</si>
  <si>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</si>
  <si>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</si>
  <si>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</si>
  <si>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</si>
  <si>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</si>
  <si>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</si>
  <si>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</si>
  <si>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</si>
  <si>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</si>
  <si>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</si>
  <si>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</si>
  <si>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</si>
  <si>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</si>
  <si>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</si>
  <si>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</si>
  <si>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</si>
  <si>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</si>
  <si>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</si>
  <si>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</si>
  <si>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</si>
  <si>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</si>
  <si>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</si>
  <si>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</si>
  <si>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</si>
  <si>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</si>
  <si>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</si>
  <si>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</si>
  <si>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</si>
  <si>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</si>
  <si>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</si>
  <si>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</si>
  <si>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</si>
  <si>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</si>
  <si>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</si>
  <si>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</si>
  <si>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</si>
  <si>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</si>
  <si>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</si>
  <si>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</si>
  <si>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</si>
  <si>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</si>
  <si>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</si>
  <si>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</si>
  <si>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</si>
  <si>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</si>
  <si>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</si>
  <si>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</si>
  <si>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</si>
  <si>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</si>
  <si>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</si>
  <si>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</si>
  <si>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</si>
  <si>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</si>
  <si>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</si>
  <si>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</si>
  <si>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</si>
  <si>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</si>
  <si>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</si>
  <si>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</si>
  <si>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</si>
  <si>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</si>
  <si>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</si>
  <si>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</si>
  <si>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</si>
  <si>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</si>
  <si>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</si>
  <si>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</si>
  <si>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</si>
  <si>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</si>
  <si>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</si>
  <si>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</si>
  <si>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</si>
  <si>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</si>
  <si>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</si>
  <si>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</si>
  <si>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</si>
  <si>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</si>
  <si>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</si>
  <si>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</si>
  <si>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</si>
  <si>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</si>
  <si>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</si>
  <si>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</si>
  <si>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</si>
  <si>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</si>
  <si>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</si>
  <si>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</si>
  <si>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</si>
  <si>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</si>
  <si>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</si>
  <si>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</si>
  <si>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</si>
  <si>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</si>
  <si>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</si>
  <si>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</si>
  <si>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</si>
  <si>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</si>
  <si>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</si>
  <si>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</si>
  <si>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</si>
  <si>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</si>
  <si>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</si>
  <si>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</si>
  <si>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</si>
  <si>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</si>
  <si>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</si>
  <si>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</si>
  <si>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</si>
  <si>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</si>
  <si>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</si>
  <si>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</si>
  <si>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</si>
  <si>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</si>
  <si>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</si>
  <si>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</si>
  <si>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</si>
  <si>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</si>
  <si>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</si>
  <si>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</si>
  <si>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</si>
  <si>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</si>
  <si>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</si>
  <si>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</si>
  <si>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</si>
  <si>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</si>
  <si>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</si>
  <si>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</si>
  <si>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</si>
  <si>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</si>
  <si>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</si>
  <si>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</si>
  <si>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</si>
  <si>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</si>
  <si>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</si>
  <si>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</si>
  <si>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</si>
  <si>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</si>
  <si>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</si>
  <si>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</si>
  <si>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</si>
  <si>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</si>
  <si>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</si>
  <si>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</si>
  <si>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</si>
  <si>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</si>
  <si>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</si>
  <si>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</si>
  <si>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</si>
  <si>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</si>
  <si>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</si>
  <si>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</si>
  <si>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</si>
  <si>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</si>
  <si>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</si>
  <si>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</si>
  <si>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</si>
  <si>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</si>
  <si>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</si>
  <si>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</si>
  <si>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</si>
  <si>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</si>
  <si>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</si>
  <si>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</si>
  <si>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</si>
  <si>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</si>
  <si>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</si>
  <si>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</si>
  <si>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</si>
  <si>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</si>
  <si>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</si>
  <si>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</si>
  <si>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</si>
  <si>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</si>
  <si>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</si>
  <si>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</si>
  <si>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</si>
  <si>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</si>
  <si>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</si>
  <si>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</si>
  <si>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</si>
  <si>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</si>
  <si>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</si>
  <si>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</si>
  <si>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</si>
  <si>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</si>
  <si>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</si>
  <si>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</si>
  <si>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</si>
  <si>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</si>
  <si>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</si>
  <si>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</si>
  <si>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</si>
  <si>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</si>
  <si>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</si>
  <si>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</si>
  <si>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</si>
  <si>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</si>
  <si>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</si>
  <si>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</si>
  <si>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</si>
  <si>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</si>
  <si>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</si>
  <si>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</si>
  <si>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</si>
  <si>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</si>
  <si>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</si>
  <si>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</si>
  <si>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</si>
  <si>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</si>
  <si>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</si>
  <si>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</si>
  <si>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</si>
  <si>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</si>
  <si>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</si>
  <si>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</si>
  <si>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</si>
  <si>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</si>
  <si>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</si>
  <si>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</si>
  <si>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</si>
  <si>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</si>
  <si>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</si>
  <si>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</si>
  <si>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</si>
  <si>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</si>
  <si>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</si>
  <si>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</si>
  <si>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</si>
  <si>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</si>
  <si>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</si>
  <si>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</si>
  <si>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</si>
  <si>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</si>
  <si>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</si>
  <si>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</si>
  <si>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</si>
  <si>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</si>
  <si>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</si>
  <si>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</si>
  <si>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</si>
  <si>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</si>
  <si>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</si>
  <si>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</si>
  <si>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</si>
  <si>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</si>
  <si>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</si>
  <si>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TRACE PENDIING</t>
  </si>
  <si>
    <t>RC CARD - YOUNIS ACCOUNTS 16-04-2026</t>
  </si>
  <si>
    <t xml:space="preserve">RC CARD - NUMAN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</si>
</sst>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36" borderId="0" xfId="0" applyFill="1"/>
    <xf numFmtId="167" fontId="0" fillId="0" borderId="0" xfId="0" applyNumberFormat="1" applyBorder="1" applyAlignment="1">
      <alignment horizontal="center" vertical="center"/>
    </xf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68" totalsRowShown="0" headerRowDxfId="89" dataDxfId="88">
  <autoFilter ref="A1:R668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23"/>
    <tableColumn id="15" xr3:uid="{22F5E9AE-FC4E-4EBD-ADBF-5C93F85B331F}" name="RTO" dataDxfId="2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2" totalsRowShown="0" headerRowDxfId="46" dataDxfId="45">
  <autoFilter ref="A2:H42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6" dataDxfId="35">
  <autoFilter ref="A2:I9" xr:uid="{74ED0DA7-B29F-4043-B63E-2DC322D6021E}"/>
  <tableColumns count="9">
    <tableColumn id="1" xr3:uid="{245016D5-DEB3-4F3E-B449-3096C2EF947B}" name="S.No." dataDxfId="34">
      <calculatedColumnFormula>ROW()-2</calculatedColumnFormula>
    </tableColumn>
    <tableColumn id="2" xr3:uid="{77ED4F47-8FDC-4F18-AB35-3830D899313B}" name="Dated" dataDxfId="33"/>
    <tableColumn id="3" xr3:uid="{67393A8B-58A2-4A4E-AA68-362B9B4F4E28}" name="Vehicle Num." dataDxfId="32"/>
    <tableColumn id="4" xr3:uid="{2C031EFD-E44B-468B-BEF0-3C97412F5E2E}" name="Name" dataDxfId="31"/>
    <tableColumn id="5" xr3:uid="{73873638-799E-44F5-B857-93DAE5E0F2FF}" name="Payment Mode" dataDxfId="30"/>
    <tableColumn id="6" xr3:uid="{BFB6E8F7-43C7-4B39-8FF0-E41A5EA5B2D3}" name="Trans Id." dataDxfId="29"/>
    <tableColumn id="8" xr3:uid="{3B1BF0B9-13BC-4A4E-B215-A3056576D199}" name="Trans. Date" dataDxfId="28"/>
    <tableColumn id="9" xr3:uid="{F64CF3FC-8352-46AE-80D1-01DDCE0247AC}" name="Amount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36"/>
  <sheetViews>
    <sheetView tabSelected="1" topLeftCell="A640" zoomScaleNormal="100" workbookViewId="0">
      <selection activeCell="C666" sqref="C66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6" t="s">
        <v>7</v>
      </c>
      <c r="F1" s="46" t="s">
        <v>0</v>
      </c>
      <c r="G1" s="46" t="s">
        <v>6444</v>
      </c>
      <c r="H1" s="46" t="s">
        <v>219</v>
      </c>
      <c r="I1" s="46" t="s">
        <v>1</v>
      </c>
      <c r="J1" s="47" t="s">
        <v>15</v>
      </c>
      <c r="K1" s="48" t="s">
        <v>6443</v>
      </c>
      <c r="L1" s="46" t="s">
        <v>6</v>
      </c>
      <c r="M1" s="46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>ROW()-1</f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>ROW()-1</f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>IF(LEFT(I4,4)="JK13","PULWAMA",IF(LEFT(I4,4)="JK01","SRINAGAR",IF(LEFT(I4,4)="JK04","BUDGAM",IF(LEFT(I4,4)="JK03","ANANTNAG",IF(LEFT(I4,4)="JK05","BARAMULLA",IF(LEFT(I4,4)="26BH","BHARAT",IF(LEFT(I4,4)="25BH","BHARAT",IF(LEFT(I4,4)="JK12","POONCH",IF(LEFT(I4,4)="JK16","GANDERBAL",IF(LEFT(I4,4)="JK18","KULGAM",IF(LEFT(I4,4)="JK22","SHOPIAN",IF(LEFT(I4,4)="JK02","JAMMU",IF(LEFT(I4,4)="JK09","KUPWARA",IF(LEFT(I4,4)="JK15","BANDIPORA",IF(LEFT(I4,4)="JK17","KISHTWAR",IF(LEFT(I4,4)="LA01","KARGIL",IF(LEFT(I4,1)="T","TEMP","NEW")))))))))))))))))</f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>ROW()-1</f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>IF(LEFT(I5,4)="JK13","PULWAMA",IF(LEFT(I5,4)="JK01","SRINAGAR",IF(LEFT(I5,4)="JK04","BUDGAM",IF(LEFT(I5,4)="JK03","ANANTNAG",IF(LEFT(I5,4)="JK05","BARAMULLA",IF(LEFT(I5,4)="26BH","BHARAT",IF(LEFT(I5,4)="25BH","BHARAT",IF(LEFT(I5,4)="JK12","POONCH",IF(LEFT(I5,4)="JK16","GANDERBAL",IF(LEFT(I5,4)="JK18","KULGAM",IF(LEFT(I5,4)="JK22","SHOPIAN",IF(LEFT(I5,4)="JK02","JAMMU",IF(LEFT(I5,4)="JK09","KUPWARA",IF(LEFT(I5,4)="JK15","BANDIPORA",IF(LEFT(I5,4)="JK17","KISHTWAR",IF(LEFT(I5,4)="LA01","KARGIL",IF(LEFT(I5,1)="T","TEMP","NEW")))))))))))))))))</f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>ROW()-1</f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>IF(LEFT(I6,4)="JK13","PULWAMA",IF(LEFT(I6,4)="JK01","SRINAGAR",IF(LEFT(I6,4)="JK04","BUDGAM",IF(LEFT(I6,4)="JK03","ANANTNAG",IF(LEFT(I6,4)="JK05","BARAMULLA",IF(LEFT(I6,4)="26BH","BHARAT",IF(LEFT(I6,4)="25BH","BHARAT",IF(LEFT(I6,4)="JK12","POONCH",IF(LEFT(I6,4)="JK16","GANDERBAL",IF(LEFT(I6,4)="JK18","KULGAM",IF(LEFT(I6,4)="JK22","SHOPIAN",IF(LEFT(I6,4)="JK02","JAMMU",IF(LEFT(I6,4)="JK09","KUPWARA",IF(LEFT(I6,4)="JK15","BANDIPORA",IF(LEFT(I6,4)="JK17","KISHTWAR",IF(LEFT(I6,4)="LA01","KARGIL",IF(LEFT(I6,1)="T","TEMP","NEW")))))))))))))))))</f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>ROW()-1</f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>IF(LEFT(I7,4)="JK13","PULWAMA",IF(LEFT(I7,4)="JK01","SRINAGAR",IF(LEFT(I7,4)="JK04","BUDGAM",IF(LEFT(I7,4)="JK03","ANANTNAG",IF(LEFT(I7,4)="JK05","BARAMULLA",IF(LEFT(I7,4)="26BH","BHARAT",IF(LEFT(I7,4)="25BH","BHARAT",IF(LEFT(I7,4)="JK12","POONCH",IF(LEFT(I7,4)="JK16","GANDERBAL",IF(LEFT(I7,4)="JK18","KULGAM",IF(LEFT(I7,4)="JK22","SHOPIAN",IF(LEFT(I7,4)="JK02","JAMMU",IF(LEFT(I7,4)="JK09","KUPWARA",IF(LEFT(I7,4)="JK15","BANDIPORA",IF(LEFT(I7,4)="JK17","KISHTWAR",IF(LEFT(I7,4)="LA01","KARGIL",IF(LEFT(I7,1)="T","TEMP","NEW")))))))))))))))))</f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>ROW()-1</f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>ROW()-1</f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>IF(LEFT(I9,4)="JK13","PULWAMA",IF(LEFT(I9,4)="JK01","SRINAGAR",IF(LEFT(I9,4)="JK04","BUDGAM",IF(LEFT(I9,4)="JK03","ANANTNAG",IF(LEFT(I9,4)="JK05","BARAMULLA",IF(LEFT(I9,4)="26BH","BHARAT",IF(LEFT(I9,4)="25BH","BHARAT",IF(LEFT(I9,4)="JK12","POONCH",IF(LEFT(I9,4)="JK16","GANDERBAL",IF(LEFT(I9,4)="JK18","KULGAM",IF(LEFT(I9,4)="JK22","SHOPIAN",IF(LEFT(I9,4)="JK02","JAMMU",IF(LEFT(I9,4)="JK09","KUPWARA",IF(LEFT(I9,4)="JK15","BANDIPORA",IF(LEFT(I9,4)="JK17","KISHTWAR",IF(LEFT(I9,4)="LA01","KARGIL",IF(LEFT(I9,1)="T","TEMP","NEW")))))))))))))))))</f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>ROW()-1</f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>IF(LEFT(I10,4)="JK13","PULWAMA",IF(LEFT(I10,4)="JK01","SRINAGAR",IF(LEFT(I10,4)="JK04","BUDGAM",IF(LEFT(I10,4)="JK03","ANANTNAG",IF(LEFT(I10,4)="JK05","BARAMULLA",IF(LEFT(I10,4)="26BH","BHARAT",IF(LEFT(I10,4)="25BH","BHARAT",IF(LEFT(I10,4)="JK12","POONCH",IF(LEFT(I10,4)="JK16","GANDERBAL",IF(LEFT(I10,4)="JK18","KULGAM",IF(LEFT(I10,4)="JK22","SHOPIAN",IF(LEFT(I10,4)="JK02","JAMMU",IF(LEFT(I10,4)="JK09","KUPWARA",IF(LEFT(I10,4)="JK15","BANDIPORA",IF(LEFT(I10,4)="JK17","KISHTWAR",IF(LEFT(I10,4)="LA01","KARGIL",IF(LEFT(I10,1)="T","TEMP","NEW")))))))))))))))))</f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>ROW()-1</f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>IF(LEFT(I11,4)="JK13","PULWAMA",IF(LEFT(I11,4)="JK01","SRINAGAR",IF(LEFT(I11,4)="JK04","BUDGAM",IF(LEFT(I11,4)="JK03","ANANTNAG",IF(LEFT(I11,4)="JK05","BARAMULLA",IF(LEFT(I11,4)="26BH","BHARAT",IF(LEFT(I11,4)="25BH","BHARAT",IF(LEFT(I11,4)="JK12","POONCH",IF(LEFT(I11,4)="JK16","GANDERBAL",IF(LEFT(I11,4)="JK18","KULGAM",IF(LEFT(I11,4)="JK22","SHOPIAN",IF(LEFT(I11,4)="JK02","JAMMU",IF(LEFT(I11,4)="JK09","KUPWARA",IF(LEFT(I11,4)="JK15","BANDIPORA",IF(LEFT(I11,4)="JK17","KISHTWAR",IF(LEFT(I11,4)="LA01","KARGIL",IF(LEFT(I11,1)="T","TEMP","NEW")))))))))))))))))</f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>ROW()-1</f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>IF(LEFT(I12,4)="JK13","PULWAMA",IF(LEFT(I12,4)="JK01","SRINAGAR",IF(LEFT(I12,4)="JK04","BUDGAM",IF(LEFT(I12,4)="JK03","ANANTNAG",IF(LEFT(I12,4)="JK05","BARAMULLA",IF(LEFT(I12,4)="26BH","BHARAT",IF(LEFT(I12,4)="25BH","BHARAT",IF(LEFT(I12,4)="JK12","POONCH",IF(LEFT(I12,4)="JK16","GANDERBAL",IF(LEFT(I12,4)="JK18","KULGAM",IF(LEFT(I12,4)="JK22","SHOPIAN",IF(LEFT(I12,4)="JK02","JAMMU",IF(LEFT(I12,4)="JK09","KUPWARA",IF(LEFT(I12,4)="JK15","BANDIPORA",IF(LEFT(I12,4)="JK17","KISHTWAR",IF(LEFT(I12,4)="LA01","KARGIL",IF(LEFT(I12,1)="T","TEMP","NEW")))))))))))))))))</f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9211</v>
      </c>
      <c r="R12" s="26"/>
    </row>
    <row r="13" spans="1:18" x14ac:dyDescent="0.25">
      <c r="A13" s="26">
        <f>ROW()-1</f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>IF(LEFT(I13,4)="JK13","PULWAMA",IF(LEFT(I13,4)="JK01","SRINAGAR",IF(LEFT(I13,4)="JK04","BUDGAM",IF(LEFT(I13,4)="JK03","ANANTNAG",IF(LEFT(I13,4)="JK05","BARAMULLA",IF(LEFT(I13,4)="26BH","BHARAT",IF(LEFT(I13,4)="25BH","BHARAT",IF(LEFT(I13,4)="JK12","POONCH",IF(LEFT(I13,4)="JK16","GANDERBAL",IF(LEFT(I13,4)="JK18","KULGAM",IF(LEFT(I13,4)="JK22","SHOPIAN",IF(LEFT(I13,4)="JK02","JAMMU",IF(LEFT(I13,4)="JK09","KUPWARA",IF(LEFT(I13,4)="JK15","BANDIPORA",IF(LEFT(I13,4)="JK17","KISHTWAR",IF(LEFT(I13,4)="LA01","KARGIL",IF(LEFT(I13,1)="T","TEMP","NEW")))))))))))))))))</f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>ROW()-1</f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>IF(LEFT(I14,4)="JK13","PULWAMA",IF(LEFT(I14,4)="JK01","SRINAGAR",IF(LEFT(I14,4)="JK04","BUDGAM",IF(LEFT(I14,4)="JK03","ANANTNAG",IF(LEFT(I14,4)="JK05","BARAMULLA",IF(LEFT(I14,4)="26BH","BHARAT",IF(LEFT(I14,4)="25BH","BHARAT",IF(LEFT(I14,4)="JK12","POONCH",IF(LEFT(I14,4)="JK16","GANDERBAL",IF(LEFT(I14,4)="JK18","KULGAM",IF(LEFT(I14,4)="JK22","SHOPIAN",IF(LEFT(I14,4)="JK02","JAMMU",IF(LEFT(I14,4)="JK09","KUPWARA",IF(LEFT(I14,4)="JK15","BANDIPORA",IF(LEFT(I14,4)="JK17","KISHTWAR",IF(LEFT(I14,4)="LA01","KARGIL",IF(LEFT(I14,1)="T","TEMP","NEW")))))))))))))))))</f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>ROW()-1</f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>IF(LEFT(I15,4)="JK13","PULWAMA",IF(LEFT(I15,4)="JK01","SRINAGAR",IF(LEFT(I15,4)="JK04","BUDGAM",IF(LEFT(I15,4)="JK03","ANANTNAG",IF(LEFT(I15,4)="JK05","BARAMULLA",IF(LEFT(I15,4)="26BH","BHARAT",IF(LEFT(I15,4)="25BH","BHARAT",IF(LEFT(I15,4)="JK12","POONCH",IF(LEFT(I15,4)="JK16","GANDERBAL",IF(LEFT(I15,4)="JK18","KULGAM",IF(LEFT(I15,4)="JK22","SHOPIAN",IF(LEFT(I15,4)="JK02","JAMMU",IF(LEFT(I15,4)="JK09","KUPWARA",IF(LEFT(I15,4)="JK15","BANDIPORA",IF(LEFT(I15,4)="JK17","KISHTWAR",IF(LEFT(I15,4)="LA01","KARGIL",IF(LEFT(I15,1)="T","TEMP","NEW")))))))))))))))))</f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>ROW()-1</f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>IF(LEFT(I16,4)="JK13","PULWAMA",IF(LEFT(I16,4)="JK01","SRINAGAR",IF(LEFT(I16,4)="JK04","BUDGAM",IF(LEFT(I16,4)="JK03","ANANTNAG",IF(LEFT(I16,4)="JK05","BARAMULLA",IF(LEFT(I16,4)="26BH","BHARAT",IF(LEFT(I16,4)="25BH","BHARAT",IF(LEFT(I16,4)="JK12","POONCH",IF(LEFT(I16,4)="JK16","GANDERBAL",IF(LEFT(I16,4)="JK18","KULGAM",IF(LEFT(I16,4)="JK22","SHOPIAN",IF(LEFT(I16,4)="JK02","JAMMU",IF(LEFT(I16,4)="JK09","KUPWARA",IF(LEFT(I16,4)="JK15","BANDIPORA",IF(LEFT(I16,4)="JK17","KISHTWAR",IF(LEFT(I16,4)="LA01","KARGIL",IF(LEFT(I16,1)="T","TEMP","NEW")))))))))))))))))</f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>ROW()-1</f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>IF(LEFT(I17,4)="JK13","PULWAMA",IF(LEFT(I17,4)="JK01","SRINAGAR",IF(LEFT(I17,4)="JK04","BUDGAM",IF(LEFT(I17,4)="JK03","ANANTNAG",IF(LEFT(I17,4)="JK05","BARAMULLA",IF(LEFT(I17,4)="26BH","BHARAT",IF(LEFT(I17,4)="25BH","BHARAT",IF(LEFT(I17,4)="JK12","POONCH",IF(LEFT(I17,4)="JK16","GANDERBAL",IF(LEFT(I17,4)="JK18","KULGAM",IF(LEFT(I17,4)="JK22","SHOPIAN",IF(LEFT(I17,4)="JK02","JAMMU",IF(LEFT(I17,4)="JK09","KUPWARA",IF(LEFT(I17,4)="JK15","BANDIPORA",IF(LEFT(I17,4)="JK17","KISHTWAR",IF(LEFT(I17,4)="LA01","KARGIL",IF(LEFT(I17,1)="T","TEMP","NEW")))))))))))))))))</f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>ROW()-1</f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>IF(LEFT(I18,4)="JK13","PULWAMA",IF(LEFT(I18,4)="JK01","SRINAGAR",IF(LEFT(I18,4)="JK04","BUDGAM",IF(LEFT(I18,4)="JK03","ANANTNAG",IF(LEFT(I18,4)="JK05","BARAMULLA",IF(LEFT(I18,4)="26BH","BHARAT",IF(LEFT(I18,4)="25BH","BHARAT",IF(LEFT(I18,4)="JK12","POONCH",IF(LEFT(I18,4)="JK16","GANDERBAL",IF(LEFT(I18,4)="JK18","KULGAM",IF(LEFT(I18,4)="JK22","SHOPIAN",IF(LEFT(I18,4)="JK02","JAMMU",IF(LEFT(I18,4)="JK09","KUPWARA",IF(LEFT(I18,4)="JK15","BANDIPORA",IF(LEFT(I18,4)="JK17","KISHTWAR",IF(LEFT(I18,4)="LA01","KARGIL",IF(LEFT(I18,1)="T","TEMP","NEW")))))))))))))))))</f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>ROW()-1</f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>IF(LEFT(I19,4)="JK13","PULWAMA",IF(LEFT(I19,4)="JK01","SRINAGAR",IF(LEFT(I19,4)="JK04","BUDGAM",IF(LEFT(I19,4)="JK03","ANANTNAG",IF(LEFT(I19,4)="JK05","BARAMULLA",IF(LEFT(I19,4)="26BH","BHARAT",IF(LEFT(I19,4)="25BH","BHARAT",IF(LEFT(I19,4)="JK12","POONCH",IF(LEFT(I19,4)="JK16","GANDERBAL",IF(LEFT(I19,4)="JK18","KULGAM",IF(LEFT(I19,4)="JK22","SHOPIAN",IF(LEFT(I19,4)="JK02","JAMMU",IF(LEFT(I19,4)="JK09","KUPWARA",IF(LEFT(I19,4)="JK15","BANDIPORA",IF(LEFT(I19,4)="JK17","KISHTWAR",IF(LEFT(I19,4)="LA01","KARGIL",IF(LEFT(I19,1)="T","TEMP","NEW")))))))))))))))))</f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>ROW()-1</f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>IF(LEFT(I20,4)="JK13","PULWAMA",IF(LEFT(I20,4)="JK01","SRINAGAR",IF(LEFT(I20,4)="JK04","BUDGAM",IF(LEFT(I20,4)="JK03","ANANTNAG",IF(LEFT(I20,4)="JK05","BARAMULLA",IF(LEFT(I20,4)="26BH","BHARAT",IF(LEFT(I20,4)="25BH","BHARAT",IF(LEFT(I20,4)="JK12","POONCH",IF(LEFT(I20,4)="JK16","GANDERBAL",IF(LEFT(I20,4)="JK18","KULGAM",IF(LEFT(I20,4)="JK22","SHOPIAN",IF(LEFT(I20,4)="JK02","JAMMU",IF(LEFT(I20,4)="JK09","KUPWARA",IF(LEFT(I20,4)="JK15","BANDIPORA",IF(LEFT(I20,4)="JK17","KISHTWAR",IF(LEFT(I20,4)="LA01","KARGIL",IF(LEFT(I20,1)="T","TEMP","NEW")))))))))))))))))</f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>ROW()-1</f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>IF(LEFT(I21,4)="JK13","PULWAMA",IF(LEFT(I21,4)="JK01","SRINAGAR",IF(LEFT(I21,4)="JK04","BUDGAM",IF(LEFT(I21,4)="JK03","ANANTNAG",IF(LEFT(I21,4)="JK05","BARAMULLA",IF(LEFT(I21,4)="26BH","BHARAT",IF(LEFT(I21,4)="25BH","BHARAT",IF(LEFT(I21,4)="JK12","POONCH",IF(LEFT(I21,4)="JK16","GANDERBAL",IF(LEFT(I21,4)="JK18","KULGAM",IF(LEFT(I21,4)="JK22","SHOPIAN",IF(LEFT(I21,4)="JK02","JAMMU",IF(LEFT(I21,4)="JK09","KUPWARA",IF(LEFT(I21,4)="JK15","BANDIPORA",IF(LEFT(I21,4)="JK17","KISHTWAR",IF(LEFT(I21,4)="LA01","KARGIL",IF(LEFT(I21,1)="T","TEMP","NEW")))))))))))))))))</f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>ROW()-1</f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>IF(LEFT(I22,4)="JK13","PULWAMA",IF(LEFT(I22,4)="JK01","SRINAGAR",IF(LEFT(I22,4)="JK04","BUDGAM",IF(LEFT(I22,4)="JK03","ANANTNAG",IF(LEFT(I22,4)="JK05","BARAMULLA",IF(LEFT(I22,4)="26BH","BHARAT",IF(LEFT(I22,4)="25BH","BHARAT",IF(LEFT(I22,4)="JK12","POONCH",IF(LEFT(I22,4)="JK16","GANDERBAL",IF(LEFT(I22,4)="JK18","KULGAM",IF(LEFT(I22,4)="JK22","SHOPIAN",IF(LEFT(I22,4)="JK02","JAMMU",IF(LEFT(I22,4)="JK09","KUPWARA",IF(LEFT(I22,4)="JK15","BANDIPORA",IF(LEFT(I22,4)="JK17","KISHTWAR",IF(LEFT(I22,4)="LA01","KARGIL",IF(LEFT(I22,1)="T","TEMP","NEW")))))))))))))))))</f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>ROW()-1</f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>IF(LEFT(I23,4)="JK13","PULWAMA",IF(LEFT(I23,4)="JK01","SRINAGAR",IF(LEFT(I23,4)="JK04","BUDGAM",IF(LEFT(I23,4)="JK03","ANANTNAG",IF(LEFT(I23,4)="JK05","BARAMULLA",IF(LEFT(I23,4)="26BH","BHARAT",IF(LEFT(I23,4)="25BH","BHARAT",IF(LEFT(I23,4)="JK12","POONCH",IF(LEFT(I23,4)="JK16","GANDERBAL",IF(LEFT(I23,4)="JK18","KULGAM",IF(LEFT(I23,4)="JK22","SHOPIAN",IF(LEFT(I23,4)="JK02","JAMMU",IF(LEFT(I23,4)="JK09","KUPWARA",IF(LEFT(I23,4)="JK15","BANDIPORA",IF(LEFT(I23,4)="JK17","KISHTWAR",IF(LEFT(I23,4)="LA01","KARGIL",IF(LEFT(I23,1)="T","TEMP","NEW")))))))))))))))))</f>
        <v>PULWAMA</v>
      </c>
      <c r="I23" s="26" t="s">
        <v>150</v>
      </c>
      <c r="J23" s="27">
        <v>45954</v>
      </c>
      <c r="K23" s="26"/>
      <c r="L23" s="26" t="s">
        <v>14</v>
      </c>
      <c r="M23" s="45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>ROW()-1</f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>IF(LEFT(I24,4)="JK13","PULWAMA",IF(LEFT(I24,4)="JK01","SRINAGAR",IF(LEFT(I24,4)="JK04","BUDGAM",IF(LEFT(I24,4)="JK03","ANANTNAG",IF(LEFT(I24,4)="JK05","BARAMULLA",IF(LEFT(I24,4)="26BH","BHARAT",IF(LEFT(I24,4)="25BH","BHARAT",IF(LEFT(I24,4)="JK12","POONCH",IF(LEFT(I24,4)="JK16","GANDERBAL",IF(LEFT(I24,4)="JK18","KULGAM",IF(LEFT(I24,4)="JK22","SHOPIAN",IF(LEFT(I24,4)="JK02","JAMMU",IF(LEFT(I24,4)="JK09","KUPWARA",IF(LEFT(I24,4)="JK15","BANDIPORA",IF(LEFT(I24,4)="JK17","KISHTWAR",IF(LEFT(I24,4)="LA01","KARGIL",IF(LEFT(I24,1)="T","TEMP","NEW")))))))))))))))))</f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>ROW()-1</f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>IF(LEFT(I25,4)="JK13","PULWAMA",IF(LEFT(I25,4)="JK01","SRINAGAR",IF(LEFT(I25,4)="JK04","BUDGAM",IF(LEFT(I25,4)="JK03","ANANTNAG",IF(LEFT(I25,4)="JK05","BARAMULLA",IF(LEFT(I25,4)="26BH","BHARAT",IF(LEFT(I25,4)="25BH","BHARAT",IF(LEFT(I25,4)="JK12","POONCH",IF(LEFT(I25,4)="JK16","GANDERBAL",IF(LEFT(I25,4)="JK18","KULGAM",IF(LEFT(I25,4)="JK22","SHOPIAN",IF(LEFT(I25,4)="JK02","JAMMU",IF(LEFT(I25,4)="JK09","KUPWARA",IF(LEFT(I25,4)="JK15","BANDIPORA",IF(LEFT(I25,4)="JK17","KISHTWAR",IF(LEFT(I25,4)="LA01","KARGIL",IF(LEFT(I25,1)="T","TEMP","NEW")))))))))))))))))</f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>ROW()-1</f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>IF(LEFT(I26,4)="JK13","PULWAMA",IF(LEFT(I26,4)="JK01","SRINAGAR",IF(LEFT(I26,4)="JK04","BUDGAM",IF(LEFT(I26,4)="JK03","ANANTNAG",IF(LEFT(I26,4)="JK05","BARAMULLA",IF(LEFT(I26,4)="26BH","BHARAT",IF(LEFT(I26,4)="25BH","BHARAT",IF(LEFT(I26,4)="JK12","POONCH",IF(LEFT(I26,4)="JK16","GANDERBAL",IF(LEFT(I26,4)="JK18","KULGAM",IF(LEFT(I26,4)="JK22","SHOPIAN",IF(LEFT(I26,4)="JK02","JAMMU",IF(LEFT(I26,4)="JK09","KUPWARA",IF(LEFT(I26,4)="JK15","BANDIPORA",IF(LEFT(I26,4)="JK17","KISHTWAR",IF(LEFT(I26,4)="LA01","KARGIL",IF(LEFT(I26,1)="T","TEMP","NEW")))))))))))))))))</f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>ROW()-1</f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>IF(LEFT(I27,4)="JK13","PULWAMA",IF(LEFT(I27,4)="JK01","SRINAGAR",IF(LEFT(I27,4)="JK04","BUDGAM",IF(LEFT(I27,4)="JK03","ANANTNAG",IF(LEFT(I27,4)="JK05","BARAMULLA",IF(LEFT(I27,4)="26BH","BHARAT",IF(LEFT(I27,4)="25BH","BHARAT",IF(LEFT(I27,4)="JK12","POONCH",IF(LEFT(I27,4)="JK16","GANDERBAL",IF(LEFT(I27,4)="JK18","KULGAM",IF(LEFT(I27,4)="JK22","SHOPIAN",IF(LEFT(I27,4)="JK02","JAMMU",IF(LEFT(I27,4)="JK09","KUPWARA",IF(LEFT(I27,4)="JK15","BANDIPORA",IF(LEFT(I27,4)="JK17","KISHTWAR",IF(LEFT(I27,4)="LA01","KARGIL",IF(LEFT(I27,1)="T","TEMP","NEW")))))))))))))))))</f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>ROW()-1</f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>IF(LEFT(I28,4)="JK13","PULWAMA",IF(LEFT(I28,4)="JK01","SRINAGAR",IF(LEFT(I28,4)="JK04","BUDGAM",IF(LEFT(I28,4)="JK03","ANANTNAG",IF(LEFT(I28,4)="JK05","BARAMULLA",IF(LEFT(I28,4)="26BH","BHARAT",IF(LEFT(I28,4)="25BH","BHARAT",IF(LEFT(I28,4)="JK12","POONCH",IF(LEFT(I28,4)="JK16","GANDERBAL",IF(LEFT(I28,4)="JK18","KULGAM",IF(LEFT(I28,4)="JK22","SHOPIAN",IF(LEFT(I28,4)="JK02","JAMMU",IF(LEFT(I28,4)="JK09","KUPWARA",IF(LEFT(I28,4)="JK15","BANDIPORA",IF(LEFT(I28,4)="JK17","KISHTWAR",IF(LEFT(I28,4)="LA01","KARGIL",IF(LEFT(I28,1)="T","TEMP","NEW")))))))))))))))))</f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>ROW()-1</f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>IF(LEFT(I29,4)="JK13","PULWAMA",IF(LEFT(I29,4)="JK01","SRINAGAR",IF(LEFT(I29,4)="JK04","BUDGAM",IF(LEFT(I29,4)="JK03","ANANTNAG",IF(LEFT(I29,4)="JK05","BARAMULLA",IF(LEFT(I29,4)="26BH","BHARAT",IF(LEFT(I29,4)="25BH","BHARAT",IF(LEFT(I29,4)="JK12","POONCH",IF(LEFT(I29,4)="JK16","GANDERBAL",IF(LEFT(I29,4)="JK18","KULGAM",IF(LEFT(I29,4)="JK22","SHOPIAN",IF(LEFT(I29,4)="JK02","JAMMU",IF(LEFT(I29,4)="JK09","KUPWARA",IF(LEFT(I29,4)="JK15","BANDIPORA",IF(LEFT(I29,4)="JK17","KISHTWAR",IF(LEFT(I29,4)="LA01","KARGIL",IF(LEFT(I29,1)="T","TEMP","NEW")))))))))))))))))</f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>ROW()-1</f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>IF(LEFT(I30,4)="JK13","PULWAMA",IF(LEFT(I30,4)="JK01","SRINAGAR",IF(LEFT(I30,4)="JK04","BUDGAM",IF(LEFT(I30,4)="JK03","ANANTNAG",IF(LEFT(I30,4)="JK05","BARAMULLA",IF(LEFT(I30,4)="26BH","BHARAT",IF(LEFT(I30,4)="25BH","BHARAT",IF(LEFT(I30,4)="JK12","POONCH",IF(LEFT(I30,4)="JK16","GANDERBAL",IF(LEFT(I30,4)="JK18","KULGAM",IF(LEFT(I30,4)="JK22","SHOPIAN",IF(LEFT(I30,4)="JK02","JAMMU",IF(LEFT(I30,4)="JK09","KUPWARA",IF(LEFT(I30,4)="JK15","BANDIPORA",IF(LEFT(I30,4)="JK17","KISHTWAR",IF(LEFT(I30,4)="LA01","KARGIL",IF(LEFT(I30,1)="T","TEMP","NEW")))))))))))))))))</f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>ROW()-1</f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>IF(LEFT(I31,4)="JK13","PULWAMA",IF(LEFT(I31,4)="JK01","SRINAGAR",IF(LEFT(I31,4)="JK04","BUDGAM",IF(LEFT(I31,4)="JK03","ANANTNAG",IF(LEFT(I31,4)="JK05","BARAMULLA",IF(LEFT(I31,4)="26BH","BHARAT",IF(LEFT(I31,4)="25BH","BHARAT",IF(LEFT(I31,4)="JK12","POONCH",IF(LEFT(I31,4)="JK16","GANDERBAL",IF(LEFT(I31,4)="JK18","KULGAM",IF(LEFT(I31,4)="JK22","SHOPIAN",IF(LEFT(I31,4)="JK02","JAMMU",IF(LEFT(I31,4)="JK09","KUPWARA",IF(LEFT(I31,4)="JK15","BANDIPORA",IF(LEFT(I31,4)="JK17","KISHTWAR",IF(LEFT(I31,4)="LA01","KARGIL",IF(LEFT(I31,1)="T","TEMP","NEW")))))))))))))))))</f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>ROW()-1</f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>IF(LEFT(I32,4)="JK13","PULWAMA",IF(LEFT(I32,4)="JK01","SRINAGAR",IF(LEFT(I32,4)="JK04","BUDGAM",IF(LEFT(I32,4)="JK03","ANANTNAG",IF(LEFT(I32,4)="JK05","BARAMULLA",IF(LEFT(I32,4)="26BH","BHARAT",IF(LEFT(I32,4)="25BH","BHARAT",IF(LEFT(I32,4)="JK12","POONCH",IF(LEFT(I32,4)="JK16","GANDERBAL",IF(LEFT(I32,4)="JK18","KULGAM",IF(LEFT(I32,4)="JK22","SHOPIAN",IF(LEFT(I32,4)="JK02","JAMMU",IF(LEFT(I32,4)="JK09","KUPWARA",IF(LEFT(I32,4)="JK15","BANDIPORA",IF(LEFT(I32,4)="JK17","KISHTWAR",IF(LEFT(I32,4)="LA01","KARGIL",IF(LEFT(I32,1)="T","TEMP","NEW")))))))))))))))))</f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>ROW()-1</f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>IF(LEFT(I33,4)="JK13","PULWAMA",IF(LEFT(I33,4)="JK01","SRINAGAR",IF(LEFT(I33,4)="JK04","BUDGAM",IF(LEFT(I33,4)="JK03","ANANTNAG",IF(LEFT(I33,4)="JK05","BARAMULLA",IF(LEFT(I33,4)="26BH","BHARAT",IF(LEFT(I33,4)="25BH","BHARAT",IF(LEFT(I33,4)="JK12","POONCH",IF(LEFT(I33,4)="JK16","GANDERBAL",IF(LEFT(I33,4)="JK18","KULGAM",IF(LEFT(I33,4)="JK22","SHOPIAN",IF(LEFT(I33,4)="JK02","JAMMU",IF(LEFT(I33,4)="JK09","KUPWARA",IF(LEFT(I33,4)="JK15","BANDIPORA",IF(LEFT(I33,4)="JK17","KISHTWAR",IF(LEFT(I33,4)="LA01","KARGIL",IF(LEFT(I33,1)="T","TEMP","NEW")))))))))))))))))</f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>ROW()-1</f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>IF(LEFT(I34,4)="JK13","PULWAMA",IF(LEFT(I34,4)="JK01","SRINAGAR",IF(LEFT(I34,4)="JK04","BUDGAM",IF(LEFT(I34,4)="JK03","ANANTNAG",IF(LEFT(I34,4)="JK05","BARAMULLA",IF(LEFT(I34,4)="26BH","BHARAT",IF(LEFT(I34,4)="25BH","BHARAT",IF(LEFT(I34,4)="JK12","POONCH",IF(LEFT(I34,4)="JK16","GANDERBAL",IF(LEFT(I34,4)="JK18","KULGAM",IF(LEFT(I34,4)="JK22","SHOPIAN",IF(LEFT(I34,4)="JK02","JAMMU",IF(LEFT(I34,4)="JK09","KUPWARA",IF(LEFT(I34,4)="JK15","BANDIPORA",IF(LEFT(I34,4)="JK17","KISHTWAR",IF(LEFT(I34,4)="LA01","KARGIL",IF(LEFT(I34,1)="T","TEMP","NEW")))))))))))))))))</f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>ROW()-1</f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>IF(LEFT(I35,4)="JK13","PULWAMA",IF(LEFT(I35,4)="JK01","SRINAGAR",IF(LEFT(I35,4)="JK04","BUDGAM",IF(LEFT(I35,4)="JK03","ANANTNAG",IF(LEFT(I35,4)="JK05","BARAMULLA",IF(LEFT(I35,4)="26BH","BHARAT",IF(LEFT(I35,4)="25BH","BHARAT",IF(LEFT(I35,4)="JK12","POONCH",IF(LEFT(I35,4)="JK16","GANDERBAL",IF(LEFT(I35,4)="JK18","KULGAM",IF(LEFT(I35,4)="JK22","SHOPIAN",IF(LEFT(I35,4)="JK02","JAMMU",IF(LEFT(I35,4)="JK09","KUPWARA",IF(LEFT(I35,4)="JK15","BANDIPORA",IF(LEFT(I35,4)="JK17","KISHTWAR",IF(LEFT(I35,4)="LA01","KARGIL",IF(LEFT(I35,1)="T","TEMP","NEW")))))))))))))))))</f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>ROW()-1</f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>IF(LEFT(I36,4)="JK13","PULWAMA",IF(LEFT(I36,4)="JK01","SRINAGAR",IF(LEFT(I36,4)="JK04","BUDGAM",IF(LEFT(I36,4)="JK03","ANANTNAG",IF(LEFT(I36,4)="JK05","BARAMULLA",IF(LEFT(I36,4)="26BH","BHARAT",IF(LEFT(I36,4)="25BH","BHARAT",IF(LEFT(I36,4)="JK12","POONCH",IF(LEFT(I36,4)="JK16","GANDERBAL",IF(LEFT(I36,4)="JK18","KULGAM",IF(LEFT(I36,4)="JK22","SHOPIAN",IF(LEFT(I36,4)="JK02","JAMMU",IF(LEFT(I36,4)="JK09","KUPWARA",IF(LEFT(I36,4)="JK15","BANDIPORA",IF(LEFT(I36,4)="JK17","KISHTWAR",IF(LEFT(I36,4)="LA01","KARGIL",IF(LEFT(I36,1)="T","TEMP","NEW")))))))))))))))))</f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>ROW()-1</f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>IF(LEFT(I37,4)="JK13","PULWAMA",IF(LEFT(I37,4)="JK01","SRINAGAR",IF(LEFT(I37,4)="JK04","BUDGAM",IF(LEFT(I37,4)="JK03","ANANTNAG",IF(LEFT(I37,4)="JK05","BARAMULLA",IF(LEFT(I37,4)="26BH","BHARAT",IF(LEFT(I37,4)="25BH","BHARAT",IF(LEFT(I37,4)="JK12","POONCH",IF(LEFT(I37,4)="JK16","GANDERBAL",IF(LEFT(I37,4)="JK18","KULGAM",IF(LEFT(I37,4)="JK22","SHOPIAN",IF(LEFT(I37,4)="JK02","JAMMU",IF(LEFT(I37,4)="JK09","KUPWARA",IF(LEFT(I37,4)="JK15","BANDIPORA",IF(LEFT(I37,4)="JK17","KISHTWAR",IF(LEFT(I37,4)="LA01","KARGIL",IF(LEFT(I37,1)="T","TEMP","NEW")))))))))))))))))</f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>ROW()-1</f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>IF(LEFT(I38,4)="JK13","PULWAMA",IF(LEFT(I38,4)="JK01","SRINAGAR",IF(LEFT(I38,4)="JK04","BUDGAM",IF(LEFT(I38,4)="JK03","ANANTNAG",IF(LEFT(I38,4)="JK05","BARAMULLA",IF(LEFT(I38,4)="26BH","BHARAT",IF(LEFT(I38,4)="25BH","BHARAT",IF(LEFT(I38,4)="JK12","POONCH",IF(LEFT(I38,4)="JK16","GANDERBAL",IF(LEFT(I38,4)="JK18","KULGAM",IF(LEFT(I38,4)="JK22","SHOPIAN",IF(LEFT(I38,4)="JK02","JAMMU",IF(LEFT(I38,4)="JK09","KUPWARA",IF(LEFT(I38,4)="JK15","BANDIPORA",IF(LEFT(I38,4)="JK17","KISHTWAR",IF(LEFT(I38,4)="LA01","KARGIL",IF(LEFT(I38,1)="T","TEMP","NEW")))))))))))))))))</f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>ROW()-1</f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>IF(LEFT(I39,4)="JK13","PULWAMA",IF(LEFT(I39,4)="JK01","SRINAGAR",IF(LEFT(I39,4)="JK04","BUDGAM",IF(LEFT(I39,4)="JK03","ANANTNAG",IF(LEFT(I39,4)="JK05","BARAMULLA",IF(LEFT(I39,4)="26BH","BHARAT",IF(LEFT(I39,4)="25BH","BHARAT",IF(LEFT(I39,4)="JK12","POONCH",IF(LEFT(I39,4)="JK16","GANDERBAL",IF(LEFT(I39,4)="JK18","KULGAM",IF(LEFT(I39,4)="JK22","SHOPIAN",IF(LEFT(I39,4)="JK02","JAMMU",IF(LEFT(I39,4)="JK09","KUPWARA",IF(LEFT(I39,4)="JK15","BANDIPORA",IF(LEFT(I39,4)="JK17","KISHTWAR",IF(LEFT(I39,4)="LA01","KARGIL",IF(LEFT(I39,1)="T","TEMP","NEW")))))))))))))))))</f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>ROW()-1</f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>IF(LEFT(I40,4)="JK13","PULWAMA",IF(LEFT(I40,4)="JK01","SRINAGAR",IF(LEFT(I40,4)="JK04","BUDGAM",IF(LEFT(I40,4)="JK03","ANANTNAG",IF(LEFT(I40,4)="JK05","BARAMULLA",IF(LEFT(I40,4)="26BH","BHARAT",IF(LEFT(I40,4)="25BH","BHARAT",IF(LEFT(I40,4)="JK12","POONCH",IF(LEFT(I40,4)="JK16","GANDERBAL",IF(LEFT(I40,4)="JK18","KULGAM",IF(LEFT(I40,4)="JK22","SHOPIAN",IF(LEFT(I40,4)="JK02","JAMMU",IF(LEFT(I40,4)="JK09","KUPWARA",IF(LEFT(I40,4)="JK15","BANDIPORA",IF(LEFT(I40,4)="JK17","KISHTWAR",IF(LEFT(I40,4)="LA01","KARGIL",IF(LEFT(I40,1)="T","TEMP","NEW")))))))))))))))))</f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>ROW()-1</f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>IF(LEFT(I41,4)="JK13","PULWAMA",IF(LEFT(I41,4)="JK01","SRINAGAR",IF(LEFT(I41,4)="JK04","BUDGAM",IF(LEFT(I41,4)="JK03","ANANTNAG",IF(LEFT(I41,4)="JK05","BARAMULLA",IF(LEFT(I41,4)="26BH","BHARAT",IF(LEFT(I41,4)="25BH","BHARAT",IF(LEFT(I41,4)="JK12","POONCH",IF(LEFT(I41,4)="JK16","GANDERBAL",IF(LEFT(I41,4)="JK18","KULGAM",IF(LEFT(I41,4)="JK22","SHOPIAN",IF(LEFT(I41,4)="JK02","JAMMU",IF(LEFT(I41,4)="JK09","KUPWARA",IF(LEFT(I41,4)="JK15","BANDIPORA",IF(LEFT(I41,4)="JK17","KISHTWAR",IF(LEFT(I41,4)="LA01","KARGIL",IF(LEFT(I41,1)="T","TEMP","NEW")))))))))))))))))</f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>ROW()-1</f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>IF(LEFT(I42,4)="JK13","PULWAMA",IF(LEFT(I42,4)="JK01","SRINAGAR",IF(LEFT(I42,4)="JK04","BUDGAM",IF(LEFT(I42,4)="JK03","ANANTNAG",IF(LEFT(I42,4)="JK05","BARAMULLA",IF(LEFT(I42,4)="26BH","BHARAT",IF(LEFT(I42,4)="25BH","BHARAT",IF(LEFT(I42,4)="JK12","POONCH",IF(LEFT(I42,4)="JK16","GANDERBAL",IF(LEFT(I42,4)="JK18","KULGAM",IF(LEFT(I42,4)="JK22","SHOPIAN",IF(LEFT(I42,4)="JK02","JAMMU",IF(LEFT(I42,4)="JK09","KUPWARA",IF(LEFT(I42,4)="JK15","BANDIPORA",IF(LEFT(I42,4)="JK17","KISHTWAR",IF(LEFT(I42,4)="LA01","KARGIL",IF(LEFT(I42,1)="T","TEMP","NEW")))))))))))))))))</f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>ROW()-1</f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>IF(LEFT(I43,4)="JK13","PULWAMA",IF(LEFT(I43,4)="JK01","SRINAGAR",IF(LEFT(I43,4)="JK04","BUDGAM",IF(LEFT(I43,4)="JK03","ANANTNAG",IF(LEFT(I43,4)="JK05","BARAMULLA",IF(LEFT(I43,4)="26BH","BHARAT",IF(LEFT(I43,4)="25BH","BHARAT",IF(LEFT(I43,4)="JK12","POONCH",IF(LEFT(I43,4)="JK16","GANDERBAL",IF(LEFT(I43,4)="JK18","KULGAM",IF(LEFT(I43,4)="JK22","SHOPIAN",IF(LEFT(I43,4)="JK02","JAMMU",IF(LEFT(I43,4)="JK09","KUPWARA",IF(LEFT(I43,4)="JK15","BANDIPORA",IF(LEFT(I43,4)="JK17","KISHTWAR",IF(LEFT(I43,4)="LA01","KARGIL",IF(LEFT(I43,1)="T","TEMP","NEW")))))))))))))))))</f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>ROW()-1</f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>IF(LEFT(I44,4)="JK13","PULWAMA",IF(LEFT(I44,4)="JK01","SRINAGAR",IF(LEFT(I44,4)="JK04","BUDGAM",IF(LEFT(I44,4)="JK03","ANANTNAG",IF(LEFT(I44,4)="JK05","BARAMULLA",IF(LEFT(I44,4)="26BH","BHARAT",IF(LEFT(I44,4)="25BH","BHARAT",IF(LEFT(I44,4)="JK12","POONCH",IF(LEFT(I44,4)="JK16","GANDERBAL",IF(LEFT(I44,4)="JK18","KULGAM",IF(LEFT(I44,4)="JK22","SHOPIAN",IF(LEFT(I44,4)="JK02","JAMMU",IF(LEFT(I44,4)="JK09","KUPWARA",IF(LEFT(I44,4)="JK15","BANDIPORA",IF(LEFT(I44,4)="JK17","KISHTWAR",IF(LEFT(I44,4)="LA01","KARGIL",IF(LEFT(I44,1)="T","TEMP","NEW")))))))))))))))))</f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>ROW()-1</f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>IF(LEFT(I45,4)="JK13","PULWAMA",IF(LEFT(I45,4)="JK01","SRINAGAR",IF(LEFT(I45,4)="JK04","BUDGAM",IF(LEFT(I45,4)="JK03","ANANTNAG",IF(LEFT(I45,4)="JK05","BARAMULLA",IF(LEFT(I45,4)="26BH","BHARAT",IF(LEFT(I45,4)="25BH","BHARAT",IF(LEFT(I45,4)="JK12","POONCH",IF(LEFT(I45,4)="JK16","GANDERBAL",IF(LEFT(I45,4)="JK18","KULGAM",IF(LEFT(I45,4)="JK22","SHOPIAN",IF(LEFT(I45,4)="JK02","JAMMU",IF(LEFT(I45,4)="JK09","KUPWARA",IF(LEFT(I45,4)="JK15","BANDIPORA",IF(LEFT(I45,4)="JK17","KISHTWAR",IF(LEFT(I45,4)="LA01","KARGIL",IF(LEFT(I45,1)="T","TEMP","NEW")))))))))))))))))</f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>ROW()-1</f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>IF(LEFT(I46,4)="JK13","PULWAMA",IF(LEFT(I46,4)="JK01","SRINAGAR",IF(LEFT(I46,4)="JK04","BUDGAM",IF(LEFT(I46,4)="JK03","ANANTNAG",IF(LEFT(I46,4)="JK05","BARAMULLA",IF(LEFT(I46,4)="26BH","BHARAT",IF(LEFT(I46,4)="25BH","BHARAT",IF(LEFT(I46,4)="JK12","POONCH",IF(LEFT(I46,4)="JK16","GANDERBAL",IF(LEFT(I46,4)="JK18","KULGAM",IF(LEFT(I46,4)="JK22","SHOPIAN",IF(LEFT(I46,4)="JK02","JAMMU",IF(LEFT(I46,4)="JK09","KUPWARA",IF(LEFT(I46,4)="JK15","BANDIPORA",IF(LEFT(I46,4)="JK17","KISHTWAR",IF(LEFT(I46,4)="LA01","KARGIL",IF(LEFT(I46,1)="T","TEMP","NEW")))))))))))))))))</f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>ROW()-1</f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>IF(LEFT(I47,4)="JK13","PULWAMA",IF(LEFT(I47,4)="JK01","SRINAGAR",IF(LEFT(I47,4)="JK04","BUDGAM",IF(LEFT(I47,4)="JK03","ANANTNAG",IF(LEFT(I47,4)="JK05","BARAMULLA",IF(LEFT(I47,4)="26BH","BHARAT",IF(LEFT(I47,4)="25BH","BHARAT",IF(LEFT(I47,4)="JK12","POONCH",IF(LEFT(I47,4)="JK16","GANDERBAL",IF(LEFT(I47,4)="JK18","KULGAM",IF(LEFT(I47,4)="JK22","SHOPIAN",IF(LEFT(I47,4)="JK02","JAMMU",IF(LEFT(I47,4)="JK09","KUPWARA",IF(LEFT(I47,4)="JK15","BANDIPORA",IF(LEFT(I47,4)="JK17","KISHTWAR",IF(LEFT(I47,4)="LA01","KARGIL",IF(LEFT(I47,1)="T","TEMP","NEW")))))))))))))))))</f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>ROW()-1</f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>IF(LEFT(I48,4)="JK13","PULWAMA",IF(LEFT(I48,4)="JK01","SRINAGAR",IF(LEFT(I48,4)="JK04","BUDGAM",IF(LEFT(I48,4)="JK03","ANANTNAG",IF(LEFT(I48,4)="JK05","BARAMULLA",IF(LEFT(I48,4)="26BH","BHARAT",IF(LEFT(I48,4)="25BH","BHARAT",IF(LEFT(I48,4)="JK12","POONCH",IF(LEFT(I48,4)="JK16","GANDERBAL",IF(LEFT(I48,4)="JK18","KULGAM",IF(LEFT(I48,4)="JK22","SHOPIAN",IF(LEFT(I48,4)="JK02","JAMMU",IF(LEFT(I48,4)="JK09","KUPWARA",IF(LEFT(I48,4)="JK15","BANDIPORA",IF(LEFT(I48,4)="JK17","KISHTWAR",IF(LEFT(I48,4)="LA01","KARGIL",IF(LEFT(I48,1)="T","TEMP","NEW")))))))))))))))))</f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>ROW()-1</f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>IF(LEFT(I49,4)="JK13","PULWAMA",IF(LEFT(I49,4)="JK01","SRINAGAR",IF(LEFT(I49,4)="JK04","BUDGAM",IF(LEFT(I49,4)="JK03","ANANTNAG",IF(LEFT(I49,4)="JK05","BARAMULLA",IF(LEFT(I49,4)="26BH","BHARAT",IF(LEFT(I49,4)="25BH","BHARAT",IF(LEFT(I49,4)="JK12","POONCH",IF(LEFT(I49,4)="JK16","GANDERBAL",IF(LEFT(I49,4)="JK18","KULGAM",IF(LEFT(I49,4)="JK22","SHOPIAN",IF(LEFT(I49,4)="JK02","JAMMU",IF(LEFT(I49,4)="JK09","KUPWARA",IF(LEFT(I49,4)="JK15","BANDIPORA",IF(LEFT(I49,4)="JK17","KISHTWAR",IF(LEFT(I49,4)="LA01","KARGIL",IF(LEFT(I49,1)="T","TEMP","NEW")))))))))))))))))</f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>ROW()-1</f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>IF(LEFT(I50,4)="JK13","PULWAMA",IF(LEFT(I50,4)="JK01","SRINAGAR",IF(LEFT(I50,4)="JK04","BUDGAM",IF(LEFT(I50,4)="JK03","ANANTNAG",IF(LEFT(I50,4)="JK05","BARAMULLA",IF(LEFT(I50,4)="26BH","BHARAT",IF(LEFT(I50,4)="25BH","BHARAT",IF(LEFT(I50,4)="JK12","POONCH",IF(LEFT(I50,4)="JK16","GANDERBAL",IF(LEFT(I50,4)="JK18","KULGAM",IF(LEFT(I50,4)="JK22","SHOPIAN",IF(LEFT(I50,4)="JK02","JAMMU",IF(LEFT(I50,4)="JK09","KUPWARA",IF(LEFT(I50,4)="JK15","BANDIPORA",IF(LEFT(I50,4)="JK17","KISHTWAR",IF(LEFT(I50,4)="LA01","KARGIL",IF(LEFT(I50,1)="T","TEMP","NEW")))))))))))))))))</f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>ROW()-1</f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>IF(LEFT(I51,4)="JK13","PULWAMA",IF(LEFT(I51,4)="JK01","SRINAGAR",IF(LEFT(I51,4)="JK04","BUDGAM",IF(LEFT(I51,4)="JK03","ANANTNAG",IF(LEFT(I51,4)="JK05","BARAMULLA",IF(LEFT(I51,4)="26BH","BHARAT",IF(LEFT(I51,4)="25BH","BHARAT",IF(LEFT(I51,4)="JK12","POONCH",IF(LEFT(I51,4)="JK16","GANDERBAL",IF(LEFT(I51,4)="JK18","KULGAM",IF(LEFT(I51,4)="JK22","SHOPIAN",IF(LEFT(I51,4)="JK02","JAMMU",IF(LEFT(I51,4)="JK09","KUPWARA",IF(LEFT(I51,4)="JK15","BANDIPORA",IF(LEFT(I51,4)="JK17","KISHTWAR",IF(LEFT(I51,4)="LA01","KARGIL",IF(LEFT(I51,1)="T","TEMP","NEW")))))))))))))))))</f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>ROW()-1</f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>IF(LEFT(I52,4)="JK13","PULWAMA",IF(LEFT(I52,4)="JK01","SRINAGAR",IF(LEFT(I52,4)="JK04","BUDGAM",IF(LEFT(I52,4)="JK03","ANANTNAG",IF(LEFT(I52,4)="JK05","BARAMULLA",IF(LEFT(I52,4)="26BH","BHARAT",IF(LEFT(I52,4)="25BH","BHARAT",IF(LEFT(I52,4)="JK12","POONCH",IF(LEFT(I52,4)="JK16","GANDERBAL",IF(LEFT(I52,4)="JK18","KULGAM",IF(LEFT(I52,4)="JK22","SHOPIAN",IF(LEFT(I52,4)="JK02","JAMMU",IF(LEFT(I52,4)="JK09","KUPWARA",IF(LEFT(I52,4)="JK15","BANDIPORA",IF(LEFT(I52,4)="JK17","KISHTWAR",IF(LEFT(I52,4)="LA01","KARGIL",IF(LEFT(I52,1)="T","TEMP","NEW")))))))))))))))))</f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>ROW()-1</f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>IF(LEFT(I53,4)="JK13","PULWAMA",IF(LEFT(I53,4)="JK01","SRINAGAR",IF(LEFT(I53,4)="JK04","BUDGAM",IF(LEFT(I53,4)="JK03","ANANTNAG",IF(LEFT(I53,4)="JK05","BARAMULLA",IF(LEFT(I53,4)="26BH","BHARAT",IF(LEFT(I53,4)="25BH","BHARAT",IF(LEFT(I53,4)="JK12","POONCH",IF(LEFT(I53,4)="JK16","GANDERBAL",IF(LEFT(I53,4)="JK18","KULGAM",IF(LEFT(I53,4)="JK22","SHOPIAN",IF(LEFT(I53,4)="JK02","JAMMU",IF(LEFT(I53,4)="JK09","KUPWARA",IF(LEFT(I53,4)="JK15","BANDIPORA",IF(LEFT(I53,4)="JK17","KISHTWAR",IF(LEFT(I53,4)="LA01","KARGIL",IF(LEFT(I53,1)="T","TEMP","NEW")))))))))))))))))</f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>ROW()-1</f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>IF(LEFT(I54,4)="JK13","PULWAMA",IF(LEFT(I54,4)="JK01","SRINAGAR",IF(LEFT(I54,4)="JK04","BUDGAM",IF(LEFT(I54,4)="JK03","ANANTNAG",IF(LEFT(I54,4)="JK05","BARAMULLA",IF(LEFT(I54,4)="26BH","BHARAT",IF(LEFT(I54,4)="25BH","BHARAT",IF(LEFT(I54,4)="JK12","POONCH",IF(LEFT(I54,4)="JK16","GANDERBAL",IF(LEFT(I54,4)="JK18","KULGAM",IF(LEFT(I54,4)="JK22","SHOPIAN",IF(LEFT(I54,4)="JK02","JAMMU",IF(LEFT(I54,4)="JK09","KUPWARA",IF(LEFT(I54,4)="JK15","BANDIPORA",IF(LEFT(I54,4)="JK17","KISHTWAR",IF(LEFT(I54,4)="LA01","KARGIL",IF(LEFT(I54,1)="T","TEMP","NEW")))))))))))))))))</f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>ROW()-1</f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>IF(LEFT(I55,4)="JK13","PULWAMA",IF(LEFT(I55,4)="JK01","SRINAGAR",IF(LEFT(I55,4)="JK04","BUDGAM",IF(LEFT(I55,4)="JK03","ANANTNAG",IF(LEFT(I55,4)="JK05","BARAMULLA",IF(LEFT(I55,4)="26BH","BHARAT",IF(LEFT(I55,4)="25BH","BHARAT",IF(LEFT(I55,4)="JK12","POONCH",IF(LEFT(I55,4)="JK16","GANDERBAL",IF(LEFT(I55,4)="JK18","KULGAM",IF(LEFT(I55,4)="JK22","SHOPIAN",IF(LEFT(I55,4)="JK02","JAMMU",IF(LEFT(I55,4)="JK09","KUPWARA",IF(LEFT(I55,4)="JK15","BANDIPORA",IF(LEFT(I55,4)="JK17","KISHTWAR",IF(LEFT(I55,4)="LA01","KARGIL",IF(LEFT(I55,1)="T","TEMP","NEW")))))))))))))))))</f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>ROW()-1</f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>IF(LEFT(I56,4)="JK13","PULWAMA",IF(LEFT(I56,4)="JK01","SRINAGAR",IF(LEFT(I56,4)="JK04","BUDGAM",IF(LEFT(I56,4)="JK03","ANANTNAG",IF(LEFT(I56,4)="JK05","BARAMULLA",IF(LEFT(I56,4)="26BH","BHARAT",IF(LEFT(I56,4)="25BH","BHARAT",IF(LEFT(I56,4)="JK12","POONCH",IF(LEFT(I56,4)="JK16","GANDERBAL",IF(LEFT(I56,4)="JK18","KULGAM",IF(LEFT(I56,4)="JK22","SHOPIAN",IF(LEFT(I56,4)="JK02","JAMMU",IF(LEFT(I56,4)="JK09","KUPWARA",IF(LEFT(I56,4)="JK15","BANDIPORA",IF(LEFT(I56,4)="JK17","KISHTWAR",IF(LEFT(I56,4)="LA01","KARGIL",IF(LEFT(I56,1)="T","TEMP","NEW")))))))))))))))))</f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>ROW()-1</f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>IF(LEFT(I57,4)="JK13","PULWAMA",IF(LEFT(I57,4)="JK01","SRINAGAR",IF(LEFT(I57,4)="JK04","BUDGAM",IF(LEFT(I57,4)="JK03","ANANTNAG",IF(LEFT(I57,4)="JK05","BARAMULLA",IF(LEFT(I57,4)="26BH","BHARAT",IF(LEFT(I57,4)="25BH","BHARAT",IF(LEFT(I57,4)="JK12","POONCH",IF(LEFT(I57,4)="JK16","GANDERBAL",IF(LEFT(I57,4)="JK18","KULGAM",IF(LEFT(I57,4)="JK22","SHOPIAN",IF(LEFT(I57,4)="JK02","JAMMU",IF(LEFT(I57,4)="JK09","KUPWARA",IF(LEFT(I57,4)="JK15","BANDIPORA",IF(LEFT(I57,4)="JK17","KISHTWAR",IF(LEFT(I57,4)="LA01","KARGIL",IF(LEFT(I57,1)="T","TEMP","NEW")))))))))))))))))</f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9889</v>
      </c>
      <c r="N57" s="27">
        <v>45971</v>
      </c>
      <c r="O57" s="26"/>
      <c r="P57" s="29"/>
      <c r="Q57" s="26"/>
      <c r="R57" s="26"/>
    </row>
    <row r="58" spans="1:18" x14ac:dyDescent="0.25">
      <c r="A58" s="26">
        <f>ROW()-1</f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>IF(LEFT(I58,4)="JK13","PULWAMA",IF(LEFT(I58,4)="JK01","SRINAGAR",IF(LEFT(I58,4)="JK04","BUDGAM",IF(LEFT(I58,4)="JK03","ANANTNAG",IF(LEFT(I58,4)="JK05","BARAMULLA",IF(LEFT(I58,4)="26BH","BHARAT",IF(LEFT(I58,4)="25BH","BHARAT",IF(LEFT(I58,4)="JK12","POONCH",IF(LEFT(I58,4)="JK16","GANDERBAL",IF(LEFT(I58,4)="JK18","KULGAM",IF(LEFT(I58,4)="JK22","SHOPIAN",IF(LEFT(I58,4)="JK02","JAMMU",IF(LEFT(I58,4)="JK09","KUPWARA",IF(LEFT(I58,4)="JK15","BANDIPORA",IF(LEFT(I58,4)="JK17","KISHTWAR",IF(LEFT(I58,4)="LA01","KARGIL",IF(LEFT(I58,1)="T","TEMP","NEW")))))))))))))))))</f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>ROW()-1</f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>IF(LEFT(I59,4)="JK13","PULWAMA",IF(LEFT(I59,4)="JK01","SRINAGAR",IF(LEFT(I59,4)="JK04","BUDGAM",IF(LEFT(I59,4)="JK03","ANANTNAG",IF(LEFT(I59,4)="JK05","BARAMULLA",IF(LEFT(I59,4)="26BH","BHARAT",IF(LEFT(I59,4)="25BH","BHARAT",IF(LEFT(I59,4)="JK12","POONCH",IF(LEFT(I59,4)="JK16","GANDERBAL",IF(LEFT(I59,4)="JK18","KULGAM",IF(LEFT(I59,4)="JK22","SHOPIAN",IF(LEFT(I59,4)="JK02","JAMMU",IF(LEFT(I59,4)="JK09","KUPWARA",IF(LEFT(I59,4)="JK15","BANDIPORA",IF(LEFT(I59,4)="JK17","KISHTWAR",IF(LEFT(I59,4)="LA01","KARGIL",IF(LEFT(I59,1)="T","TEMP","NEW")))))))))))))))))</f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>ROW()-1</f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>IF(LEFT(I60,4)="JK13","PULWAMA",IF(LEFT(I60,4)="JK01","SRINAGAR",IF(LEFT(I60,4)="JK04","BUDGAM",IF(LEFT(I60,4)="JK03","ANANTNAG",IF(LEFT(I60,4)="JK05","BARAMULLA",IF(LEFT(I60,4)="26BH","BHARAT",IF(LEFT(I60,4)="25BH","BHARAT",IF(LEFT(I60,4)="JK12","POONCH",IF(LEFT(I60,4)="JK16","GANDERBAL",IF(LEFT(I60,4)="JK18","KULGAM",IF(LEFT(I60,4)="JK22","SHOPIAN",IF(LEFT(I60,4)="JK02","JAMMU",IF(LEFT(I60,4)="JK09","KUPWARA",IF(LEFT(I60,4)="JK15","BANDIPORA",IF(LEFT(I60,4)="JK17","KISHTWAR",IF(LEFT(I60,4)="LA01","KARGIL",IF(LEFT(I60,1)="T","TEMP","NEW")))))))))))))))))</f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>ROW()-1</f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>IF(LEFT(I61,4)="JK13","PULWAMA",IF(LEFT(I61,4)="JK01","SRINAGAR",IF(LEFT(I61,4)="JK04","BUDGAM",IF(LEFT(I61,4)="JK03","ANANTNAG",IF(LEFT(I61,4)="JK05","BARAMULLA",IF(LEFT(I61,4)="26BH","BHARAT",IF(LEFT(I61,4)="25BH","BHARAT",IF(LEFT(I61,4)="JK12","POONCH",IF(LEFT(I61,4)="JK16","GANDERBAL",IF(LEFT(I61,4)="JK18","KULGAM",IF(LEFT(I61,4)="JK22","SHOPIAN",IF(LEFT(I61,4)="JK02","JAMMU",IF(LEFT(I61,4)="JK09","KUPWARA",IF(LEFT(I61,4)="JK15","BANDIPORA",IF(LEFT(I61,4)="JK17","KISHTWAR",IF(LEFT(I61,4)="LA01","KARGIL",IF(LEFT(I61,1)="T","TEMP","NEW")))))))))))))))))</f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>ROW()-1</f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>IF(LEFT(I62,4)="JK13","PULWAMA",IF(LEFT(I62,4)="JK01","SRINAGAR",IF(LEFT(I62,4)="JK04","BUDGAM",IF(LEFT(I62,4)="JK03","ANANTNAG",IF(LEFT(I62,4)="JK05","BARAMULLA",IF(LEFT(I62,4)="26BH","BHARAT",IF(LEFT(I62,4)="25BH","BHARAT",IF(LEFT(I62,4)="JK12","POONCH",IF(LEFT(I62,4)="JK16","GANDERBAL",IF(LEFT(I62,4)="JK18","KULGAM",IF(LEFT(I62,4)="JK22","SHOPIAN",IF(LEFT(I62,4)="JK02","JAMMU",IF(LEFT(I62,4)="JK09","KUPWARA",IF(LEFT(I62,4)="JK15","BANDIPORA",IF(LEFT(I62,4)="JK17","KISHTWAR",IF(LEFT(I62,4)="LA01","KARGIL",IF(LEFT(I62,1)="T","TEMP","NEW")))))))))))))))))</f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>ROW()-1</f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>IF(LEFT(I63,4)="JK13","PULWAMA",IF(LEFT(I63,4)="JK01","SRINAGAR",IF(LEFT(I63,4)="JK04","BUDGAM",IF(LEFT(I63,4)="JK03","ANANTNAG",IF(LEFT(I63,4)="JK05","BARAMULLA",IF(LEFT(I63,4)="26BH","BHARAT",IF(LEFT(I63,4)="25BH","BHARAT",IF(LEFT(I63,4)="JK12","POONCH",IF(LEFT(I63,4)="JK16","GANDERBAL",IF(LEFT(I63,4)="JK18","KULGAM",IF(LEFT(I63,4)="JK22","SHOPIAN",IF(LEFT(I63,4)="JK02","JAMMU",IF(LEFT(I63,4)="JK09","KUPWARA",IF(LEFT(I63,4)="JK15","BANDIPORA",IF(LEFT(I63,4)="JK17","KISHTWAR",IF(LEFT(I63,4)="LA01","KARGIL",IF(LEFT(I63,1)="T","TEMP","NEW")))))))))))))))))</f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9557</v>
      </c>
      <c r="N63" s="27">
        <v>45976</v>
      </c>
      <c r="O63" s="26"/>
      <c r="P63" s="29"/>
      <c r="Q63" s="26"/>
      <c r="R63" s="26"/>
    </row>
    <row r="64" spans="1:18" x14ac:dyDescent="0.25">
      <c r="A64" s="26">
        <f>ROW()-1</f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>IF(LEFT(I64,4)="JK13","PULWAMA",IF(LEFT(I64,4)="JK01","SRINAGAR",IF(LEFT(I64,4)="JK04","BUDGAM",IF(LEFT(I64,4)="JK03","ANANTNAG",IF(LEFT(I64,4)="JK05","BARAMULLA",IF(LEFT(I64,4)="26BH","BHARAT",IF(LEFT(I64,4)="25BH","BHARAT",IF(LEFT(I64,4)="JK12","POONCH",IF(LEFT(I64,4)="JK16","GANDERBAL",IF(LEFT(I64,4)="JK18","KULGAM",IF(LEFT(I64,4)="JK22","SHOPIAN",IF(LEFT(I64,4)="JK02","JAMMU",IF(LEFT(I64,4)="JK09","KUPWARA",IF(LEFT(I64,4)="JK15","BANDIPORA",IF(LEFT(I64,4)="JK17","KISHTWAR",IF(LEFT(I64,4)="LA01","KARGIL",IF(LEFT(I64,1)="T","TEMP","NEW")))))))))))))))))</f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>ROW()-1</f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>IF(LEFT(I65,4)="JK13","PULWAMA",IF(LEFT(I65,4)="JK01","SRINAGAR",IF(LEFT(I65,4)="JK04","BUDGAM",IF(LEFT(I65,4)="JK03","ANANTNAG",IF(LEFT(I65,4)="JK05","BARAMULLA",IF(LEFT(I65,4)="26BH","BHARAT",IF(LEFT(I65,4)="25BH","BHARAT",IF(LEFT(I65,4)="JK12","POONCH",IF(LEFT(I65,4)="JK16","GANDERBAL",IF(LEFT(I65,4)="JK18","KULGAM",IF(LEFT(I65,4)="JK22","SHOPIAN",IF(LEFT(I65,4)="JK02","JAMMU",IF(LEFT(I65,4)="JK09","KUPWARA",IF(LEFT(I65,4)="JK15","BANDIPORA",IF(LEFT(I65,4)="JK17","KISHTWAR",IF(LEFT(I65,4)="LA01","KARGIL",IF(LEFT(I65,1)="T","TEMP","NEW")))))))))))))))))</f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>ROW()-1</f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>ROW()-1</f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>IF(LEFT(I68,4)="JK13","PULWAMA",IF(LEFT(I68,4)="JK01","SRINAGAR",IF(LEFT(I68,4)="JK04","BUDGAM",IF(LEFT(I68,4)="JK03","ANANTNAG",IF(LEFT(I68,4)="JK05","BARAMULLA",IF(LEFT(I68,4)="26BH","BHARAT",IF(LEFT(I68,4)="25BH","BHARAT",IF(LEFT(I68,4)="JK12","POONCH",IF(LEFT(I68,4)="JK16","GANDERBAL",IF(LEFT(I68,4)="JK18","KULGAM",IF(LEFT(I68,4)="JK22","SHOPIAN",IF(LEFT(I68,4)="JK02","JAMMU",IF(LEFT(I68,4)="JK09","KUPWARA",IF(LEFT(I68,4)="JK15","BANDIPORA",IF(LEFT(I68,4)="JK17","KISHTWAR",IF(LEFT(I68,4)="LA01","KARGIL",IF(LEFT(I68,1)="T","TEMP","NEW")))))))))))))))))</f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>ROW()-1</f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>IF(LEFT(I69,4)="JK13","PULWAMA",IF(LEFT(I69,4)="JK01","SRINAGAR",IF(LEFT(I69,4)="JK04","BUDGAM",IF(LEFT(I69,4)="JK03","ANANTNAG",IF(LEFT(I69,4)="JK05","BARAMULLA",IF(LEFT(I69,4)="26BH","BHARAT",IF(LEFT(I69,4)="25BH","BHARAT",IF(LEFT(I69,4)="JK12","POONCH",IF(LEFT(I69,4)="JK16","GANDERBAL",IF(LEFT(I69,4)="JK18","KULGAM",IF(LEFT(I69,4)="JK22","SHOPIAN",IF(LEFT(I69,4)="JK02","JAMMU",IF(LEFT(I69,4)="JK09","KUPWARA",IF(LEFT(I69,4)="JK15","BANDIPORA",IF(LEFT(I69,4)="JK17","KISHTWAR",IF(LEFT(I69,4)="LA01","KARGIL",IF(LEFT(I69,1)="T","TEMP","NEW")))))))))))))))))</f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>ROW()-1</f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>IF(LEFT(I70,4)="JK13","PULWAMA",IF(LEFT(I70,4)="JK01","SRINAGAR",IF(LEFT(I70,4)="JK04","BUDGAM",IF(LEFT(I70,4)="JK03","ANANTNAG",IF(LEFT(I70,4)="JK05","BARAMULLA",IF(LEFT(I70,4)="26BH","BHARAT",IF(LEFT(I70,4)="25BH","BHARAT",IF(LEFT(I70,4)="JK12","POONCH",IF(LEFT(I70,4)="JK16","GANDERBAL",IF(LEFT(I70,4)="JK18","KULGAM",IF(LEFT(I70,4)="JK22","SHOPIAN",IF(LEFT(I70,4)="JK02","JAMMU",IF(LEFT(I70,4)="JK09","KUPWARA",IF(LEFT(I70,4)="JK15","BANDIPORA",IF(LEFT(I70,4)="JK17","KISHTWAR",IF(LEFT(I70,4)="LA01","KARGIL",IF(LEFT(I70,1)="T","TEMP","NEW")))))))))))))))))</f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>ROW()-1</f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>IF(LEFT(I71,4)="JK13","PULWAMA",IF(LEFT(I71,4)="JK01","SRINAGAR",IF(LEFT(I71,4)="JK04","BUDGAM",IF(LEFT(I71,4)="JK03","ANANTNAG",IF(LEFT(I71,4)="JK05","BARAMULLA",IF(LEFT(I71,4)="26BH","BHARAT",IF(LEFT(I71,4)="25BH","BHARAT",IF(LEFT(I71,4)="JK12","POONCH",IF(LEFT(I71,4)="JK16","GANDERBAL",IF(LEFT(I71,4)="JK18","KULGAM",IF(LEFT(I71,4)="JK22","SHOPIAN",IF(LEFT(I71,4)="JK02","JAMMU",IF(LEFT(I71,4)="JK09","KUPWARA",IF(LEFT(I71,4)="JK15","BANDIPORA",IF(LEFT(I71,4)="JK17","KISHTWAR",IF(LEFT(I71,4)="LA01","KARGIL",IF(LEFT(I71,1)="T","TEMP","NEW")))))))))))))))))</f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>ROW()-1</f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>ROW()-1</f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>IF(LEFT(I73,4)="JK13","PULWAMA",IF(LEFT(I73,4)="JK01","SRINAGAR",IF(LEFT(I73,4)="JK04","BUDGAM",IF(LEFT(I73,4)="JK03","ANANTNAG",IF(LEFT(I73,4)="JK05","BARAMULLA",IF(LEFT(I73,4)="26BH","BHARAT",IF(LEFT(I73,4)="25BH","BHARAT",IF(LEFT(I73,4)="JK12","POONCH",IF(LEFT(I73,4)="JK16","GANDERBAL",IF(LEFT(I73,4)="JK18","KULGAM",IF(LEFT(I73,4)="JK22","SHOPIAN",IF(LEFT(I73,4)="JK02","JAMMU",IF(LEFT(I73,4)="JK09","KUPWARA",IF(LEFT(I73,4)="JK15","BANDIPORA",IF(LEFT(I73,4)="JK17","KISHTWAR",IF(LEFT(I73,4)="LA01","KARGIL",IF(LEFT(I73,1)="T","TEMP","NEW")))))))))))))))))</f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>ROW()-1</f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>IF(LEFT(I74,4)="JK13","PULWAMA",IF(LEFT(I74,4)="JK01","SRINAGAR",IF(LEFT(I74,4)="JK04","BUDGAM",IF(LEFT(I74,4)="JK03","ANANTNAG",IF(LEFT(I74,4)="JK05","BARAMULLA",IF(LEFT(I74,4)="26BH","BHARAT",IF(LEFT(I74,4)="25BH","BHARAT",IF(LEFT(I74,4)="JK12","POONCH",IF(LEFT(I74,4)="JK16","GANDERBAL",IF(LEFT(I74,4)="JK18","KULGAM",IF(LEFT(I74,4)="JK22","SHOPIAN",IF(LEFT(I74,4)="JK02","JAMMU",IF(LEFT(I74,4)="JK09","KUPWARA",IF(LEFT(I74,4)="JK15","BANDIPORA",IF(LEFT(I74,4)="JK17","KISHTWAR",IF(LEFT(I74,4)="LA01","KARGIL",IF(LEFT(I74,1)="T","TEMP","NEW")))))))))))))))))</f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>ROW()-1</f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>IF(LEFT(I75,4)="JK13","PULWAMA",IF(LEFT(I75,4)="JK01","SRINAGAR",IF(LEFT(I75,4)="JK04","BUDGAM",IF(LEFT(I75,4)="JK03","ANANTNAG",IF(LEFT(I75,4)="JK05","BARAMULLA",IF(LEFT(I75,4)="26BH","BHARAT",IF(LEFT(I75,4)="25BH","BHARAT",IF(LEFT(I75,4)="JK12","POONCH",IF(LEFT(I75,4)="JK16","GANDERBAL",IF(LEFT(I75,4)="JK18","KULGAM",IF(LEFT(I75,4)="JK22","SHOPIAN",IF(LEFT(I75,4)="JK02","JAMMU",IF(LEFT(I75,4)="JK09","KUPWARA",IF(LEFT(I75,4)="JK15","BANDIPORA",IF(LEFT(I75,4)="JK17","KISHTWAR",IF(LEFT(I75,4)="LA01","KARGIL",IF(LEFT(I75,1)="T","TEMP","NEW")))))))))))))))))</f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>ROW()-1</f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>IF(LEFT(I76,4)="JK13","PULWAMA",IF(LEFT(I76,4)="JK01","SRINAGAR",IF(LEFT(I76,4)="JK04","BUDGAM",IF(LEFT(I76,4)="JK03","ANANTNAG",IF(LEFT(I76,4)="JK05","BARAMULLA",IF(LEFT(I76,4)="26BH","BHARAT",IF(LEFT(I76,4)="25BH","BHARAT",IF(LEFT(I76,4)="JK12","POONCH",IF(LEFT(I76,4)="JK16","GANDERBAL",IF(LEFT(I76,4)="JK18","KULGAM",IF(LEFT(I76,4)="JK22","SHOPIAN",IF(LEFT(I76,4)="JK02","JAMMU",IF(LEFT(I76,4)="JK09","KUPWARA",IF(LEFT(I76,4)="JK15","BANDIPORA",IF(LEFT(I76,4)="JK17","KISHTWAR",IF(LEFT(I76,4)="LA01","KARGIL",IF(LEFT(I76,1)="T","TEMP","NEW")))))))))))))))))</f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>ROW()-1</f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>IF(LEFT(I77,4)="JK13","PULWAMA",IF(LEFT(I77,4)="JK01","SRINAGAR",IF(LEFT(I77,4)="JK04","BUDGAM",IF(LEFT(I77,4)="JK03","ANANTNAG",IF(LEFT(I77,4)="JK05","BARAMULLA",IF(LEFT(I77,4)="26BH","BHARAT",IF(LEFT(I77,4)="25BH","BHARAT",IF(LEFT(I77,4)="JK12","POONCH",IF(LEFT(I77,4)="JK16","GANDERBAL",IF(LEFT(I77,4)="JK18","KULGAM",IF(LEFT(I77,4)="JK22","SHOPIAN",IF(LEFT(I77,4)="JK02","JAMMU",IF(LEFT(I77,4)="JK09","KUPWARA",IF(LEFT(I77,4)="JK15","BANDIPORA",IF(LEFT(I77,4)="JK17","KISHTWAR",IF(LEFT(I77,4)="LA01","KARGIL",IF(LEFT(I77,1)="T","TEMP","NEW")))))))))))))))))</f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>ROW()-1</f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>IF(LEFT(I78,4)="JK13","PULWAMA",IF(LEFT(I78,4)="JK01","SRINAGAR",IF(LEFT(I78,4)="JK04","BUDGAM",IF(LEFT(I78,4)="JK03","ANANTNAG",IF(LEFT(I78,4)="JK05","BARAMULLA",IF(LEFT(I78,4)="26BH","BHARAT",IF(LEFT(I78,4)="25BH","BHARAT",IF(LEFT(I78,4)="JK12","POONCH",IF(LEFT(I78,4)="JK16","GANDERBAL",IF(LEFT(I78,4)="JK18","KULGAM",IF(LEFT(I78,4)="JK22","SHOPIAN",IF(LEFT(I78,4)="JK02","JAMMU",IF(LEFT(I78,4)="JK09","KUPWARA",IF(LEFT(I78,4)="JK15","BANDIPORA",IF(LEFT(I78,4)="JK17","KISHTWAR",IF(LEFT(I78,4)="LA01","KARGIL",IF(LEFT(I78,1)="T","TEMP","NEW")))))))))))))))))</f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>ROW()-1</f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>IF(LEFT(I79,4)="JK13","PULWAMA",IF(LEFT(I79,4)="JK01","SRINAGAR",IF(LEFT(I79,4)="JK04","BUDGAM",IF(LEFT(I79,4)="JK03","ANANTNAG",IF(LEFT(I79,4)="JK05","BARAMULLA",IF(LEFT(I79,4)="26BH","BHARAT",IF(LEFT(I79,4)="25BH","BHARAT",IF(LEFT(I79,4)="JK12","POONCH",IF(LEFT(I79,4)="JK16","GANDERBAL",IF(LEFT(I79,4)="JK18","KULGAM",IF(LEFT(I79,4)="JK22","SHOPIAN",IF(LEFT(I79,4)="JK02","JAMMU",IF(LEFT(I79,4)="JK09","KUPWARA",IF(LEFT(I79,4)="JK15","BANDIPORA",IF(LEFT(I79,4)="JK17","KISHTWAR",IF(LEFT(I79,4)="LA01","KARGIL",IF(LEFT(I79,1)="T","TEMP","NEW")))))))))))))))))</f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>ROW()-1</f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>IF(LEFT(I80,4)="JK13","PULWAMA",IF(LEFT(I80,4)="JK01","SRINAGAR",IF(LEFT(I80,4)="JK04","BUDGAM",IF(LEFT(I80,4)="JK03","ANANTNAG",IF(LEFT(I80,4)="JK05","BARAMULLA",IF(LEFT(I80,4)="26BH","BHARAT",IF(LEFT(I80,4)="25BH","BHARAT",IF(LEFT(I80,4)="JK12","POONCH",IF(LEFT(I80,4)="JK16","GANDERBAL",IF(LEFT(I80,4)="JK18","KULGAM",IF(LEFT(I80,4)="JK22","SHOPIAN",IF(LEFT(I80,4)="JK02","JAMMU",IF(LEFT(I80,4)="JK09","KUPWARA",IF(LEFT(I80,4)="JK15","BANDIPORA",IF(LEFT(I80,4)="JK17","KISHTWAR",IF(LEFT(I80,4)="LA01","KARGIL",IF(LEFT(I80,1)="T","TEMP","NEW")))))))))))))))))</f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>ROW()-1</f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>IF(LEFT(I81,4)="JK13","PULWAMA",IF(LEFT(I81,4)="JK01","SRINAGAR",IF(LEFT(I81,4)="JK04","BUDGAM",IF(LEFT(I81,4)="JK03","ANANTNAG",IF(LEFT(I81,4)="JK05","BARAMULLA",IF(LEFT(I81,4)="26BH","BHARAT",IF(LEFT(I81,4)="25BH","BHARAT",IF(LEFT(I81,4)="JK12","POONCH",IF(LEFT(I81,4)="JK16","GANDERBAL",IF(LEFT(I81,4)="JK18","KULGAM",IF(LEFT(I81,4)="JK22","SHOPIAN",IF(LEFT(I81,4)="JK02","JAMMU",IF(LEFT(I81,4)="JK09","KUPWARA",IF(LEFT(I81,4)="JK15","BANDIPORA",IF(LEFT(I81,4)="JK17","KISHTWAR",IF(LEFT(I81,4)="LA01","KARGIL",IF(LEFT(I81,1)="T","TEMP","NEW")))))))))))))))))</f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>ROW()-1</f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>IF(LEFT(I82,4)="JK13","PULWAMA",IF(LEFT(I82,4)="JK01","SRINAGAR",IF(LEFT(I82,4)="JK04","BUDGAM",IF(LEFT(I82,4)="JK03","ANANTNAG",IF(LEFT(I82,4)="JK05","BARAMULLA",IF(LEFT(I82,4)="26BH","BHARAT",IF(LEFT(I82,4)="25BH","BHARAT",IF(LEFT(I82,4)="JK12","POONCH",IF(LEFT(I82,4)="JK16","GANDERBAL",IF(LEFT(I82,4)="JK18","KULGAM",IF(LEFT(I82,4)="JK22","SHOPIAN",IF(LEFT(I82,4)="JK02","JAMMU",IF(LEFT(I82,4)="JK09","KUPWARA",IF(LEFT(I82,4)="JK15","BANDIPORA",IF(LEFT(I82,4)="JK17","KISHTWAR",IF(LEFT(I82,4)="LA01","KARGIL",IF(LEFT(I82,1)="T","TEMP","NEW")))))))))))))))))</f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>ROW()-1</f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>IF(LEFT(I83,4)="JK13","PULWAMA",IF(LEFT(I83,4)="JK01","SRINAGAR",IF(LEFT(I83,4)="JK04","BUDGAM",IF(LEFT(I83,4)="JK03","ANANTNAG",IF(LEFT(I83,4)="JK05","BARAMULLA",IF(LEFT(I83,4)="26BH","BHARAT",IF(LEFT(I83,4)="25BH","BHARAT",IF(LEFT(I83,4)="JK12","POONCH",IF(LEFT(I83,4)="JK16","GANDERBAL",IF(LEFT(I83,4)="JK18","KULGAM",IF(LEFT(I83,4)="JK22","SHOPIAN",IF(LEFT(I83,4)="JK02","JAMMU",IF(LEFT(I83,4)="JK09","KUPWARA",IF(LEFT(I83,4)="JK15","BANDIPORA",IF(LEFT(I83,4)="JK17","KISHTWAR",IF(LEFT(I83,4)="LA01","KARGIL",IF(LEFT(I83,1)="T","TEMP","NEW")))))))))))))))))</f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>ROW()-1</f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>IF(LEFT(I84,4)="JK13","PULWAMA",IF(LEFT(I84,4)="JK01","SRINAGAR",IF(LEFT(I84,4)="JK04","BUDGAM",IF(LEFT(I84,4)="JK03","ANANTNAG",IF(LEFT(I84,4)="JK05","BARAMULLA",IF(LEFT(I84,4)="26BH","BHARAT",IF(LEFT(I84,4)="25BH","BHARAT",IF(LEFT(I84,4)="JK12","POONCH",IF(LEFT(I84,4)="JK16","GANDERBAL",IF(LEFT(I84,4)="JK18","KULGAM",IF(LEFT(I84,4)="JK22","SHOPIAN",IF(LEFT(I84,4)="JK02","JAMMU",IF(LEFT(I84,4)="JK09","KUPWARA",IF(LEFT(I84,4)="JK15","BANDIPORA",IF(LEFT(I84,4)="JK17","KISHTWAR",IF(LEFT(I84,4)="LA01","KARGIL",IF(LEFT(I84,1)="T","TEMP","NEW")))))))))))))))))</f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>ROW()-1</f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>IF(LEFT(I85,4)="JK13","PULWAMA",IF(LEFT(I85,4)="JK01","SRINAGAR",IF(LEFT(I85,4)="JK04","BUDGAM",IF(LEFT(I85,4)="JK03","ANANTNAG",IF(LEFT(I85,4)="JK05","BARAMULLA",IF(LEFT(I85,4)="26BH","BHARAT",IF(LEFT(I85,4)="25BH","BHARAT",IF(LEFT(I85,4)="JK12","POONCH",IF(LEFT(I85,4)="JK16","GANDERBAL",IF(LEFT(I85,4)="JK18","KULGAM",IF(LEFT(I85,4)="JK22","SHOPIAN",IF(LEFT(I85,4)="JK02","JAMMU",IF(LEFT(I85,4)="JK09","KUPWARA",IF(LEFT(I85,4)="JK15","BANDIPORA",IF(LEFT(I85,4)="JK17","KISHTWAR",IF(LEFT(I85,4)="LA01","KARGIL",IF(LEFT(I85,1)="T","TEMP","NEW")))))))))))))))))</f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>ROW()-1</f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>IF(LEFT(I86,4)="JK13","PULWAMA",IF(LEFT(I86,4)="JK01","SRINAGAR",IF(LEFT(I86,4)="JK04","BUDGAM",IF(LEFT(I86,4)="JK03","ANANTNAG",IF(LEFT(I86,4)="JK05","BARAMULLA",IF(LEFT(I86,4)="26BH","BHARAT",IF(LEFT(I86,4)="25BH","BHARAT",IF(LEFT(I86,4)="JK12","POONCH",IF(LEFT(I86,4)="JK16","GANDERBAL",IF(LEFT(I86,4)="JK18","KULGAM",IF(LEFT(I86,4)="JK22","SHOPIAN",IF(LEFT(I86,4)="JK02","JAMMU",IF(LEFT(I86,4)="JK09","KUPWARA",IF(LEFT(I86,4)="JK15","BANDIPORA",IF(LEFT(I86,4)="JK17","KISHTWAR",IF(LEFT(I86,4)="LA01","KARGIL",IF(LEFT(I86,1)="T","TEMP","NEW")))))))))))))))))</f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>ROW()-1</f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>IF(LEFT(I87,4)="JK13","PULWAMA",IF(LEFT(I87,4)="JK01","SRINAGAR",IF(LEFT(I87,4)="JK04","BUDGAM",IF(LEFT(I87,4)="JK03","ANANTNAG",IF(LEFT(I87,4)="JK05","BARAMULLA",IF(LEFT(I87,4)="26BH","BHARAT",IF(LEFT(I87,4)="25BH","BHARAT",IF(LEFT(I87,4)="JK12","POONCH",IF(LEFT(I87,4)="JK16","GANDERBAL",IF(LEFT(I87,4)="JK18","KULGAM",IF(LEFT(I87,4)="JK22","SHOPIAN",IF(LEFT(I87,4)="JK02","JAMMU",IF(LEFT(I87,4)="JK09","KUPWARA",IF(LEFT(I87,4)="JK15","BANDIPORA",IF(LEFT(I87,4)="JK17","KISHTWAR",IF(LEFT(I87,4)="LA01","KARGIL",IF(LEFT(I87,1)="T","TEMP","NEW")))))))))))))))))</f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>ROW()-1</f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>IF(LEFT(I88,4)="JK13","PULWAMA",IF(LEFT(I88,4)="JK01","SRINAGAR",IF(LEFT(I88,4)="JK04","BUDGAM",IF(LEFT(I88,4)="JK03","ANANTNAG",IF(LEFT(I88,4)="JK05","BARAMULLA",IF(LEFT(I88,4)="26BH","BHARAT",IF(LEFT(I88,4)="25BH","BHARAT",IF(LEFT(I88,4)="JK12","POONCH",IF(LEFT(I88,4)="JK16","GANDERBAL",IF(LEFT(I88,4)="JK18","KULGAM",IF(LEFT(I88,4)="JK22","SHOPIAN",IF(LEFT(I88,4)="JK02","JAMMU",IF(LEFT(I88,4)="JK09","KUPWARA",IF(LEFT(I88,4)="JK15","BANDIPORA",IF(LEFT(I88,4)="JK17","KISHTWAR",IF(LEFT(I88,4)="LA01","KARGIL",IF(LEFT(I88,1)="T","TEMP","NEW")))))))))))))))))</f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>ROW()-1</f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>IF(LEFT(I89,4)="JK13","PULWAMA",IF(LEFT(I89,4)="JK01","SRINAGAR",IF(LEFT(I89,4)="JK04","BUDGAM",IF(LEFT(I89,4)="JK03","ANANTNAG",IF(LEFT(I89,4)="JK05","BARAMULLA",IF(LEFT(I89,4)="26BH","BHARAT",IF(LEFT(I89,4)="25BH","BHARAT",IF(LEFT(I89,4)="JK12","POONCH",IF(LEFT(I89,4)="JK16","GANDERBAL",IF(LEFT(I89,4)="JK18","KULGAM",IF(LEFT(I89,4)="JK22","SHOPIAN",IF(LEFT(I89,4)="JK02","JAMMU",IF(LEFT(I89,4)="JK09","KUPWARA",IF(LEFT(I89,4)="JK15","BANDIPORA",IF(LEFT(I89,4)="JK17","KISHTWAR",IF(LEFT(I89,4)="LA01","KARGIL",IF(LEFT(I89,1)="T","TEMP","NEW")))))))))))))))))</f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>ROW()-1</f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>IF(LEFT(I90,4)="JK13","PULWAMA",IF(LEFT(I90,4)="JK01","SRINAGAR",IF(LEFT(I90,4)="JK04","BUDGAM",IF(LEFT(I90,4)="JK03","ANANTNAG",IF(LEFT(I90,4)="JK05","BARAMULLA",IF(LEFT(I90,4)="26BH","BHARAT",IF(LEFT(I90,4)="25BH","BHARAT",IF(LEFT(I90,4)="JK12","POONCH",IF(LEFT(I90,4)="JK16","GANDERBAL",IF(LEFT(I90,4)="JK18","KULGAM",IF(LEFT(I90,4)="JK22","SHOPIAN",IF(LEFT(I90,4)="JK02","JAMMU",IF(LEFT(I90,4)="JK09","KUPWARA",IF(LEFT(I90,4)="JK15","BANDIPORA",IF(LEFT(I90,4)="JK17","KISHTWAR",IF(LEFT(I90,4)="LA01","KARGIL",IF(LEFT(I90,1)="T","TEMP","NEW")))))))))))))))))</f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>ROW()-1</f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>IF(LEFT(I91,4)="JK13","PULWAMA",IF(LEFT(I91,4)="JK01","SRINAGAR",IF(LEFT(I91,4)="JK04","BUDGAM",IF(LEFT(I91,4)="JK03","ANANTNAG",IF(LEFT(I91,4)="JK05","BARAMULLA",IF(LEFT(I91,4)="26BH","BHARAT",IF(LEFT(I91,4)="25BH","BHARAT",IF(LEFT(I91,4)="JK12","POONCH",IF(LEFT(I91,4)="JK16","GANDERBAL",IF(LEFT(I91,4)="JK18","KULGAM",IF(LEFT(I91,4)="JK22","SHOPIAN",IF(LEFT(I91,4)="JK02","JAMMU",IF(LEFT(I91,4)="JK09","KUPWARA",IF(LEFT(I91,4)="JK15","BANDIPORA",IF(LEFT(I91,4)="JK17","KISHTWAR",IF(LEFT(I91,4)="LA01","KARGIL",IF(LEFT(I91,1)="T","TEMP","NEW")))))))))))))))))</f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>ROW()-1</f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>IF(LEFT(I92,4)="JK13","PULWAMA",IF(LEFT(I92,4)="JK01","SRINAGAR",IF(LEFT(I92,4)="JK04","BUDGAM",IF(LEFT(I92,4)="JK03","ANANTNAG",IF(LEFT(I92,4)="JK05","BARAMULLA",IF(LEFT(I92,4)="26BH","BHARAT",IF(LEFT(I92,4)="25BH","BHARAT",IF(LEFT(I92,4)="JK12","POONCH",IF(LEFT(I92,4)="JK16","GANDERBAL",IF(LEFT(I92,4)="JK18","KULGAM",IF(LEFT(I92,4)="JK22","SHOPIAN",IF(LEFT(I92,4)="JK02","JAMMU",IF(LEFT(I92,4)="JK09","KUPWARA",IF(LEFT(I92,4)="JK15","BANDIPORA",IF(LEFT(I92,4)="JK17","KISHTWAR",IF(LEFT(I92,4)="LA01","KARGIL",IF(LEFT(I92,1)="T","TEMP","NEW")))))))))))))))))</f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>ROW()-1</f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>IF(LEFT(I93,4)="JK13","PULWAMA",IF(LEFT(I93,4)="JK01","SRINAGAR",IF(LEFT(I93,4)="JK04","BUDGAM",IF(LEFT(I93,4)="JK03","ANANTNAG",IF(LEFT(I93,4)="JK05","BARAMULLA",IF(LEFT(I93,4)="26BH","BHARAT",IF(LEFT(I93,4)="25BH","BHARAT",IF(LEFT(I93,4)="JK12","POONCH",IF(LEFT(I93,4)="JK16","GANDERBAL",IF(LEFT(I93,4)="JK18","KULGAM",IF(LEFT(I93,4)="JK22","SHOPIAN",IF(LEFT(I93,4)="JK02","JAMMU",IF(LEFT(I93,4)="JK09","KUPWARA",IF(LEFT(I93,4)="JK15","BANDIPORA",IF(LEFT(I93,4)="JK17","KISHTWAR",IF(LEFT(I93,4)="LA01","KARGIL",IF(LEFT(I93,1)="T","TEMP","NEW")))))))))))))))))</f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4" customFormat="1" x14ac:dyDescent="0.25">
      <c r="A94" s="26">
        <f>ROW()-1</f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>ROW()-1</f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16","GANDERBAL",IF(LEFT(I95,4)="JK18","KULGAM",IF(LEFT(I95,4)="JK22","SHOPIAN",IF(LEFT(I95,4)="JK02","JAMMU",IF(LEFT(I95,4)="JK09","KUPWARA",IF(LEFT(I95,4)="JK15","BANDIPORA",IF(LEFT(I95,4)="JK17","KISHTWAR",IF(LEFT(I95,4)="LA01","KARGIL",IF(LEFT(I95,1)="T","TEMP","NEW")))))))))))))))))</f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>ROW()-1</f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16","GANDERBAL",IF(LEFT(I96,4)="JK18","KULGAM",IF(LEFT(I96,4)="JK22","SHOPIAN",IF(LEFT(I96,4)="JK02","JAMMU",IF(LEFT(I96,4)="JK09","KUPWARA",IF(LEFT(I96,4)="JK15","BANDIPORA",IF(LEFT(I96,4)="JK17","KISHTWAR",IF(LEFT(I96,4)="LA01","KARGIL",IF(LEFT(I96,1)="T","TEMP","NEW")))))))))))))))))</f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>ROW()-1</f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16","GANDERBAL",IF(LEFT(I97,4)="JK18","KULGAM",IF(LEFT(I97,4)="JK22","SHOPIAN",IF(LEFT(I97,4)="JK02","JAMMU",IF(LEFT(I97,4)="JK09","KUPWARA",IF(LEFT(I97,4)="JK15","BANDIPORA",IF(LEFT(I97,4)="JK17","KISHTWAR",IF(LEFT(I97,4)="LA01","KARGIL",IF(LEFT(I97,1)="T","TEMP","NEW")))))))))))))))))</f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>ROW()-1</f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16","GANDERBAL",IF(LEFT(I98,4)="JK18","KULGAM",IF(LEFT(I98,4)="JK22","SHOPIAN",IF(LEFT(I98,4)="JK02","JAMMU",IF(LEFT(I98,4)="JK09","KUPWARA",IF(LEFT(I98,4)="JK15","BANDIPORA",IF(LEFT(I98,4)="JK17","KISHTWAR",IF(LEFT(I98,4)="LA01","KARGIL",IF(LEFT(I98,1)="T","TEMP","NEW")))))))))))))))))</f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>ROW()-1</f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16","GANDERBAL",IF(LEFT(I99,4)="JK18","KULGAM",IF(LEFT(I99,4)="JK22","SHOPIAN",IF(LEFT(I99,4)="JK02","JAMMU",IF(LEFT(I99,4)="JK09","KUPWARA",IF(LEFT(I99,4)="JK15","BANDIPORA",IF(LEFT(I99,4)="JK17","KISHTWAR",IF(LEFT(I99,4)="LA01","KARGIL",IF(LEFT(I99,1)="T","TEMP","NEW")))))))))))))))))</f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>ROW()-1</f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16","GANDERBAL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)</f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>ROW()-1</f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16","GANDERBAL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)</f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>ROW()-1</f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16","GANDERBAL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)</f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>ROW()-1</f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16","GANDERBAL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)</f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>ROW()-1</f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16","GANDERBAL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)</f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>ROW()-1</f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16","GANDERBAL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)</f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4" customFormat="1" x14ac:dyDescent="0.25">
      <c r="A106" s="26">
        <f>ROW()-1</f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16","GANDERBAL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)</f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>ROW()-1</f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16","GANDERBAL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)</f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>ROW()-1</f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16","GANDERBAL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)</f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>ROW()-1</f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16","GANDERBAL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)</f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>ROW()-1</f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16","GANDERBAL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)</f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>ROW()-1</f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16","GANDERBAL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)</f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>ROW()-1</f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16","GANDERBAL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)</f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>ROW()-1</f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16","GANDERBAL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)</f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>ROW()-1</f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16","GANDERBAL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)</f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>ROW()-1</f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16","GANDERBAL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)</f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>ROW()-1</f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16","GANDERBAL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)</f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>ROW()-1</f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16","GANDERBAL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)</f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>ROW()-1</f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16","GANDERBAL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)</f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>ROW()-1</f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16","GANDERBAL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)</f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4" customFormat="1" x14ac:dyDescent="0.25">
      <c r="A120" s="26">
        <f>ROW()-1</f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16","GANDERBAL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)</f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>ROW()-1</f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16","GANDERBAL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)</f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>ROW()-1</f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16","GANDERBAL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)</f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>ROW()-1</f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16","GANDERBAL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)</f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>ROW()-1</f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16","GANDERBAL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)</f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>ROW()-1</f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16","GANDERBAL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)</f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>ROW()-1</f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16","GANDERBAL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)</f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>ROW()-1</f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16","GANDERBAL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)</f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>ROW()-1</f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16","GANDERBAL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)</f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>ROW()-1</f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16","GANDERBAL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)</f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>ROW()-1</f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>ROW()-1</f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16","GANDERBAL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)</f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>ROW()-1</f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16","GANDERBAL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)</f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>ROW()-1</f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16","GANDERBAL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)</f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>ROW()-1</f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16","GANDERBAL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)</f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>ROW()-1</f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>ROW()-1</f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16","GANDERBAL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)</f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/>
      <c r="P137" s="29"/>
      <c r="Q137" s="26"/>
      <c r="R137" s="26"/>
    </row>
    <row r="138" spans="1:18" x14ac:dyDescent="0.25">
      <c r="A138" s="26">
        <f>ROW()-1</f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16","GANDERBAL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)</f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>ROW()-1</f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16","GANDERBAL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)</f>
        <v>SHOPIAN</v>
      </c>
      <c r="I139" s="26" t="s">
        <v>6755</v>
      </c>
      <c r="J139" s="27">
        <v>45995</v>
      </c>
      <c r="K139" s="26">
        <v>7780824558</v>
      </c>
      <c r="L139" s="26" t="s">
        <v>9242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>ROW()-1</f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16","GANDERBAL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)</f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>ROW()-1</f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16","GANDERBAL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)</f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>ROW()-1</f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16","GANDERBAL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)</f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>ROW()-1</f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16","GANDERBAL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)</f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>ROW()-1</f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16","GANDERBAL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)</f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>ROW()-1</f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16","GANDERBAL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)</f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>ROW()-1</f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16","GANDERBAL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)</f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>ROW()-1</f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16","GANDERBAL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)</f>
        <v>PULWAMA</v>
      </c>
      <c r="I147" s="26" t="s">
        <v>6809</v>
      </c>
      <c r="J147" s="27">
        <v>45996</v>
      </c>
      <c r="K147" s="26">
        <v>6005402097</v>
      </c>
      <c r="L147" s="26" t="s">
        <v>9904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>ROW()-1</f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16","GANDERBAL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)</f>
        <v>SHOPIAN</v>
      </c>
      <c r="I148" s="26" t="s">
        <v>6833</v>
      </c>
      <c r="J148" s="27">
        <v>45997</v>
      </c>
      <c r="K148" s="26">
        <v>7006819575</v>
      </c>
      <c r="L148" s="26" t="s">
        <v>9242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>ROW()-1</f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16","GANDERBAL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)</f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>ROW()-1</f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16","GANDERBAL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)</f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>ROW()-1</f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16","GANDERBAL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)</f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4" customFormat="1" x14ac:dyDescent="0.25">
      <c r="A152" s="26">
        <f>ROW()-1</f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16","GANDERBAL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)</f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>ROW()-1</f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16","GANDERBAL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)</f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>ROW()-1</f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16","GANDERBAL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)</f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>ROW()-1</f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16","GANDERBAL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)</f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>ROW()-1</f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16","GANDERBAL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)</f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>ROW()-1</f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16","GANDERBAL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)</f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>ROW()-1</f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>ROW()-1</f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16","GANDERBAL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)</f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>ROW()-1</f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16","GANDERBAL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)</f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>ROW()-1</f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16","GANDERBAL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)</f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>ROW()-1</f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16","GANDERBAL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)</f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>ROW()-1</f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16","GANDERBAL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)</f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>ROW()-1</f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16","GANDERBAL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)</f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>ROW()-1</f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16","GANDERBAL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)</f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>ROW()-1</f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16","GANDERBAL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)</f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>ROW()-1</f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16","GANDERBAL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)</f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>ROW()-1</f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16","GANDERBAL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)</f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>ROW()-1</f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16","GANDERBAL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)</f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>ROW()-1</f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16","GANDERBAL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)</f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>ROW()-1</f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16","GANDERBAL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)</f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>ROW()-1</f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16","GANDERBAL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)</f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>ROW()-1</f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16","GANDERBAL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)</f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>ROW()-1</f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16","GANDERBAL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)</f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>ROW()-1</f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16","GANDERBAL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)</f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>ROW()-1</f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16","GANDERBAL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)</f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>ROW()-1</f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16","GANDERBAL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)</f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>ROW()-1</f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16","GANDERBAL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)</f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>ROW()-1</f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16","GANDERBAL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)</f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>ROW()-1</f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16","GANDERBAL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)</f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>ROW()-1</f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16","GANDERBAL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)</f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>ROW()-1</f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16","GANDERBAL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)</f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>ROW()-1</f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16","GANDERBAL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)</f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>ROW()-1</f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16","GANDERBAL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)</f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>ROW()-1</f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16","GANDERBAL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)</f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9657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>ROW()-1</f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16","GANDERBAL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)</f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>ROW()-1</f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16","GANDERBAL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)</f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>ROW()-1</f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16","GANDERBAL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)</f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>ROW()-1</f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16","GANDERBAL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)</f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>ROW()-1</f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16","GANDERBAL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)</f>
        <v>JAMMU</v>
      </c>
      <c r="I190" s="26" t="s">
        <v>7097</v>
      </c>
      <c r="J190" s="27">
        <v>46004</v>
      </c>
      <c r="K190" s="26">
        <v>7006058332</v>
      </c>
      <c r="L190" s="26" t="s">
        <v>9242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>ROW()-1</f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16","GANDERBAL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)</f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>ROW()-1</f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16","GANDERBAL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)</f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>ROW()-1</f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16","GANDERBAL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)</f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>ROW()-1</f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>ROW()-1</f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16","GANDERBAL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)</f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>ROW()-1</f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16","GANDERBAL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)</f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>ROW()-1</f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16","GANDERBAL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)</f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>ROW()-1</f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16","GANDERBAL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)</f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>ROW()-1</f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>ROW()-1</f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16","GANDERBAL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)</f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>ROW()-1</f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16","GANDERBAL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)</f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>ROW()-1</f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16","GANDERBAL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)</f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>ROW()-1</f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16","GANDERBAL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)</f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>ROW()-1</f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16","GANDERBAL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)</f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>ROW()-1</f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16","GANDERBAL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)</f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>ROW()-1</f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16","GANDERBAL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)</f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>ROW()-1</f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16","GANDERBAL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)</f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>ROW()-1</f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16","GANDERBAL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)</f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>ROW()-1</f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16","GANDERBAL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)</f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>ROW()-1</f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16","GANDERBAL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)</f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>ROW()-1</f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16","GANDERBAL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)</f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>ROW()-1</f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16","GANDERBAL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)</f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>ROW()-1</f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16","GANDERBAL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)</f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>ROW()-1</f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16","GANDERBAL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)</f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>ROW()-1</f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16","GANDERBAL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)</f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>ROW()-1</f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16","GANDERBAL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)</f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4" customFormat="1" x14ac:dyDescent="0.25">
      <c r="A218" s="26">
        <f>ROW()-1</f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16","GANDERBAL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)</f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>ROW()-1</f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16","GANDERBAL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)</f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>ROW()-1</f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16","GANDERBAL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)</f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>ROW()-1</f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16","GANDERBAL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)</f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>ROW()-1</f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>ROW()-1</f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16","GANDERBAL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)</f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4" customFormat="1" x14ac:dyDescent="0.25">
      <c r="A224" s="26">
        <f>ROW()-1</f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16","GANDERBAL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)</f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>ROW()-1</f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16","GANDERBAL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)</f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>ROW()-1</f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16","GANDERBAL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)</f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>ROW()-1</f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16","GANDERBAL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)</f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>ROW()-1</f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16","GANDERBAL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)</f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>ROW()-1</f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16","GANDERBAL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)</f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>ROW()-1</f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16","GANDERBAL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)</f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>ROW()-1</f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16","GANDERBAL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)</f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>ROW()-1</f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16","GANDERBAL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)</f>
        <v>PULWAMA</v>
      </c>
      <c r="I232" s="26" t="s">
        <v>7367</v>
      </c>
      <c r="J232" s="27">
        <v>46012</v>
      </c>
      <c r="K232" s="26">
        <v>6006619660</v>
      </c>
      <c r="L232" s="26" t="s">
        <v>9904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>ROW()-1</f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16","GANDERBAL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)</f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>ROW()-1</f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16","GANDERBAL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)</f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>ROW()-1</f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16","GANDERBAL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)</f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>ROW()-1</f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16","GANDERBAL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)</f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>ROW()-1</f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16","GANDERBAL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)</f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>ROW()-1</f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16","GANDERBAL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)</f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>ROW()-1</f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16","GANDERBAL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)</f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>ROW()-1</f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16","GANDERBAL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)</f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>ROW()-1</f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16","GANDERBAL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)</f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>ROW()-1</f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16","GANDERBAL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)</f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>ROW()-1</f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16","GANDERBAL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)</f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>ROW()-1</f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16","GANDERBAL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)</f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>ROW()-1</f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16","GANDERBAL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)</f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>ROW()-1</f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16","GANDERBAL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)</f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>ROW()-1</f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16","GANDERBAL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)</f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>ROW()-1</f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16","GANDERBAL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)</f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>ROW()-1</f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16","GANDERBAL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)</f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>ROW()-1</f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16","GANDERBAL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)</f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>ROW()-1</f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16","GANDERBAL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)</f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>ROW()-1</f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16","GANDERBAL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)</f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>ROW()-1</f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16","GANDERBAL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)</f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>ROW()-1</f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16","GANDERBAL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)</f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>ROW()-1</f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16","GANDERBAL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)</f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>ROW()-1</f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16","GANDERBAL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)</f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>ROW()-1</f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16","GANDERBAL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)</f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>ROW()-1</f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>ROW()-1</f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16","GANDERBAL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)</f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>ROW()-1</f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16","GANDERBAL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)</f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>ROW()-1</f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16","GANDERBAL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)</f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>ROW()-1</f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16","GANDERBAL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)</f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>ROW()-1</f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>ROW()-1</f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16","GANDERBAL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)</f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>ROW()-1</f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16","GANDERBAL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)</f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>ROW()-1</f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16","GANDERBAL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)</f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>ROW()-1</f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16","GANDERBAL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)</f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>ROW()-1</f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16","GANDERBAL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)</f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>ROW()-1</f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16","GANDERBAL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)</f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>ROW()-1</f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16","GANDERBAL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)</f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>ROW()-1</f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16","GANDERBAL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)</f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>ROW()-1</f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16","GANDERBAL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)</f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9823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>ROW()-1</f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16","GANDERBAL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)</f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>ROW()-1</f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16","GANDERBAL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)</f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>ROW()-1</f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16","GANDERBAL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)</f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>ROW()-1</f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16","GANDERBAL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)</f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>ROW()-1</f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16","GANDERBAL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)</f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>ROW()-1</f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16","GANDERBAL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)</f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>ROW()-1</f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16","GANDERBAL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)</f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>ROW()-1</f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16","GANDERBAL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)</f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>ROW()-1</f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16","GANDERBAL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)</f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>ROW()-1</f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16","GANDERBAL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)</f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>ROW()-1</f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16","GANDERBAL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)</f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>ROW()-1</f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16","GANDERBAL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)</f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>ROW()-1</f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SRINAGAR</v>
      </c>
      <c r="I286" s="26" t="s">
        <v>7719</v>
      </c>
      <c r="J286" s="27">
        <v>46020</v>
      </c>
      <c r="K286" s="26">
        <v>7006274587</v>
      </c>
      <c r="L286" s="26" t="s">
        <v>9904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>ROW()-1</f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16","GANDERBAL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)</f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>ROW()-1</f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16","GANDERBAL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)</f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>ROW()-1</f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16","GANDERBAL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)</f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>ROW()-1</f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16","GANDERBAL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)</f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>ROW()-1</f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16","GANDERBAL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)</f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>ROW()-1</f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16","GANDERBAL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)</f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>ROW()-1</f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16","GANDERBAL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)</f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>ROW()-1</f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16","GANDERBAL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)</f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>ROW()-1</f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16","GANDERBAL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)</f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>ROW()-1</f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16","GANDERBAL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)</f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>ROW()-1</f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16","GANDERBAL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)</f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>ROW()-1</f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16","GANDERBAL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)</f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>ROW()-1</f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16","GANDERBAL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)</f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>ROW()-1</f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16","GANDERBAL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)</f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>ROW()-1</f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16","GANDERBAL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)</f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>ROW()-1</f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16","GANDERBAL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)</f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>ROW()-1</f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16","GANDERBAL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)</f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>ROW()-1</f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16","GANDERBAL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)</f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>ROW()-1</f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16","GANDERBAL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)</f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>ROW()-1</f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16","GANDERBAL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)</f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>ROW()-1</f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16","GANDERBAL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)</f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>ROW()-1</f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16","GANDERBAL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)</f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>ROW()-1</f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16","GANDERBAL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)</f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>ROW()-1</f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16","GANDERBAL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)</f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>ROW()-1</f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16","GANDERBAL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)</f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>ROW()-1</f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16","GANDERBAL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)</f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>ROW()-1</f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16","GANDERBAL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)</f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>ROW()-1</f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16","GANDERBAL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)</f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>ROW()-1</f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16","GANDERBAL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)</f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>ROW()-1</f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16","GANDERBAL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)</f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>ROW()-1</f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16","GANDERBAL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)</f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>ROW()-1</f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16","GANDERBAL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)</f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>ROW()-1</f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16","GANDERBAL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)</f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>ROW()-1</f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16","GANDERBAL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)</f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>ROW()-1</f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16","GANDERBAL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)</f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9195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>ROW()-1</f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>ROW()-1</f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16","GANDERBAL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)</f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>ROW()-1</f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16","GANDERBAL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)</f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>ROW()-1</f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16","GANDERBAL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)</f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>ROW()-1</f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16","GANDERBAL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)</f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>ROW()-1</f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>ROW()-1</f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16","GANDERBAL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)</f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>ROW()-1</f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16","GANDERBAL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)</f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>ROW()-1</f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16","GANDERBAL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)</f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>ROW()-1</f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16","GANDERBAL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)</f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>ROW()-1</f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16","GANDERBAL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)</f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>ROW()-1</f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16","GANDERBAL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)</f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>ROW()-1</f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16","GANDERBAL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)</f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>ROW()-1</f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16","GANDERBAL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)</f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>ROW()-1</f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16","GANDERBAL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)</f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>ROW()-1</f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16","GANDERBAL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)</f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>ROW()-1</f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16","GANDERBAL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)</f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>ROW()-1</f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16","GANDERBAL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)</f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>ROW()-1</f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16","GANDERBAL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)</f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>ROW()-1</f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16","GANDERBAL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)</f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>ROW()-1</f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16","GANDERBAL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)</f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>ROW()-1</f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16","GANDERBAL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)</f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>ROW()-1</f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16","GANDERBAL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)</f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>ROW()-1</f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16","GANDERBAL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)</f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>ROW()-1</f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16","GANDERBAL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)</f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>ROW()-1</f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16","GANDERBAL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)</f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>ROW()-1</f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16","GANDERBAL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)</f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>ROW()-1</f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>ROW()-1</f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16","GANDERBAL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)</f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>ROW()-1</f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16","GANDERBAL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)</f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>ROW()-1</f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16","GANDERBAL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)</f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>ROW()-1</f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16","GANDERBAL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)</f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>ROW()-1</f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16","GANDERBAL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)</f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>ROW()-1</f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16","GANDERBAL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)</f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>ROW()-1</f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16","GANDERBAL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)</f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>ROW()-1</f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16","GANDERBAL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)</f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>ROW()-1</f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16","GANDERBAL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)</f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>ROW()-1</f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16","GANDERBAL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)</f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>ROW()-1</f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16","GANDERBAL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)</f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>ROW()-1</f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16","GANDERBAL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)</f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>ROW()-1</f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16","GANDERBAL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)</f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>ROW()-1</f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16","GANDERBAL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)</f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>ROW()-1</f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16","GANDERBAL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)</f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>ROW()-1</f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16","GANDERBAL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)</f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>ROW()-1</f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16","GANDERBAL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)</f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9888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>ROW()-1</f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16","GANDERBAL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)</f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>ROW()-1</f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16","GANDERBAL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)</f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>ROW()-1</f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16","GANDERBAL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)</f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>ROW()-1</f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16","GANDERBAL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)</f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>ROW()-1</f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16","GANDERBAL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)</f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>ROW()-1</f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>IF(LEFT(I373,4)="JK13","PULWAMA",IF(LEFT(I373,4)="JK01","SRINAGAR",IF(LEFT(I373,4)="JK04","BUDGAM",IF(LEFT(I373,4)="JK03","ANANTNAG",IF(LEFT(I373,4)="JK05","BARAMULLA",IF(LEFT(I373,4)="26BH","BHARAT",IF(LEFT(I373,4)="25BH","BHARAT",IF(LEFT(I373,4)="JK12","POONCH",IF(LEFT(I373,4)="JK16","GANDERBAL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)</f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>ROW()-1</f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>IF(LEFT(I374,4)="JK13","PULWAMA",IF(LEFT(I374,4)="JK01","SRINAGAR",IF(LEFT(I374,4)="JK04","BUDGAM",IF(LEFT(I374,4)="JK03","ANANTNAG",IF(LEFT(I374,4)="JK05","BARAMULLA",IF(LEFT(I374,4)="26BH","BHARAT",IF(LEFT(I374,4)="25BH","BHARAT",IF(LEFT(I374,4)="JK12","POONCH",IF(LEFT(I374,4)="JK16","GANDERBAL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)</f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>ROW()-1</f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>IF(LEFT(I375,4)="JK13","PULWAMA",IF(LEFT(I375,4)="JK01","SRINAGAR",IF(LEFT(I375,4)="JK04","BUDGAM",IF(LEFT(I375,4)="JK03","ANANTNAG",IF(LEFT(I375,4)="JK05","BARAMULLA",IF(LEFT(I375,4)="26BH","BHARAT",IF(LEFT(I375,4)="25BH","BHARAT",IF(LEFT(I375,4)="JK12","POONCH",IF(LEFT(I375,4)="JK16","GANDERBAL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)</f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>ROW()-1</f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>IF(LEFT(I376,4)="JK13","PULWAMA",IF(LEFT(I376,4)="JK01","SRINAGAR",IF(LEFT(I376,4)="JK04","BUDGAM",IF(LEFT(I376,4)="JK03","ANANTNAG",IF(LEFT(I376,4)="JK05","BARAMULLA",IF(LEFT(I376,4)="26BH","BHARAT",IF(LEFT(I376,4)="25BH","BHARAT",IF(LEFT(I376,4)="JK12","POONCH",IF(LEFT(I376,4)="JK16","GANDERBAL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)</f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>ROW()-1</f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16","GANDERBAL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)</f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>ROW()-1</f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>IF(LEFT(I378,4)="JK13","PULWAMA",IF(LEFT(I378,4)="JK01","SRINAGAR",IF(LEFT(I378,4)="JK04","BUDGAM",IF(LEFT(I378,4)="JK03","ANANTNAG",IF(LEFT(I378,4)="JK05","BARAMULLA",IF(LEFT(I378,4)="26BH","BHARAT",IF(LEFT(I378,4)="25BH","BHARAT",IF(LEFT(I378,4)="JK12","POONCH",IF(LEFT(I378,4)="JK16","GANDERBAL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)</f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>ROW()-1</f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>IF(LEFT(I379,4)="JK13","PULWAMA",IF(LEFT(I379,4)="JK01","SRINAGAR",IF(LEFT(I379,4)="JK04","BUDGAM",IF(LEFT(I379,4)="JK03","ANANTNAG",IF(LEFT(I379,4)="JK05","BARAMULLA",IF(LEFT(I379,4)="26BH","BHARAT",IF(LEFT(I379,4)="25BH","BHARAT",IF(LEFT(I379,4)="JK12","POONCH",IF(LEFT(I379,4)="JK16","GANDERBAL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)</f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>ROW()-1</f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>IF(LEFT(I380,4)="JK13","PULWAMA",IF(LEFT(I380,4)="JK01","SRINAGAR",IF(LEFT(I380,4)="JK04","BUDGAM",IF(LEFT(I380,4)="JK03","ANANTNAG",IF(LEFT(I380,4)="JK05","BARAMULLA",IF(LEFT(I380,4)="26BH","BHARAT",IF(LEFT(I380,4)="25BH","BHARAT",IF(LEFT(I380,4)="JK12","POONCH",IF(LEFT(I380,4)="JK16","GANDERBAL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)</f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>ROW()-1</f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>IF(LEFT(I381,4)="JK13","PULWAMA",IF(LEFT(I381,4)="JK01","SRINAGAR",IF(LEFT(I381,4)="JK04","BUDGAM",IF(LEFT(I381,4)="JK03","ANANTNAG",IF(LEFT(I381,4)="JK05","BARAMULLA",IF(LEFT(I381,4)="26BH","BHARAT",IF(LEFT(I381,4)="25BH","BHARAT",IF(LEFT(I381,4)="JK12","POONCH",IF(LEFT(I381,4)="JK16","GANDERBAL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)</f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>ROW()-1</f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>IF(LEFT(I382,4)="JK13","PULWAMA",IF(LEFT(I382,4)="JK01","SRINAGAR",IF(LEFT(I382,4)="JK04","BUDGAM",IF(LEFT(I382,4)="JK03","ANANTNAG",IF(LEFT(I382,4)="JK05","BARAMULLA",IF(LEFT(I382,4)="26BH","BHARAT",IF(LEFT(I382,4)="25BH","BHARAT",IF(LEFT(I382,4)="JK12","POONCH",IF(LEFT(I382,4)="JK16","GANDERBAL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)</f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>ROW()-1</f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>IF(LEFT(I383,4)="JK13","PULWAMA",IF(LEFT(I383,4)="JK01","SRINAGAR",IF(LEFT(I383,4)="JK04","BUDGAM",IF(LEFT(I383,4)="JK03","ANANTNAG",IF(LEFT(I383,4)="JK05","BARAMULLA",IF(LEFT(I383,4)="26BH","BHARAT",IF(LEFT(I383,4)="25BH","BHARAT",IF(LEFT(I383,4)="JK12","POONCH",IF(LEFT(I383,4)="JK16","GANDERBAL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)</f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>ROW()-1</f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>IF(LEFT(I384,4)="JK13","PULWAMA",IF(LEFT(I384,4)="JK01","SRINAGAR",IF(LEFT(I384,4)="JK04","BUDGAM",IF(LEFT(I384,4)="JK03","ANANTNAG",IF(LEFT(I384,4)="JK05","BARAMULLA",IF(LEFT(I384,4)="26BH","BHARAT",IF(LEFT(I384,4)="25BH","BHARAT",IF(LEFT(I384,4)="JK12","POONCH",IF(LEFT(I384,4)="JK16","GANDERBAL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)</f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>ROW()-1</f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>IF(LEFT(I385,4)="JK13","PULWAMA",IF(LEFT(I385,4)="JK01","SRINAGAR",IF(LEFT(I385,4)="JK04","BUDGAM",IF(LEFT(I385,4)="JK03","ANANTNAG",IF(LEFT(I385,4)="JK05","BARAMULLA",IF(LEFT(I385,4)="26BH","BHARAT",IF(LEFT(I385,4)="25BH","BHARAT",IF(LEFT(I385,4)="JK12","POONCH",IF(LEFT(I385,4)="JK16","GANDERBAL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)</f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>ROW()-1</f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9888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>ROW()-1</f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>IF(LEFT(I388,4)="JK13","PULWAMA",IF(LEFT(I388,4)="JK01","SRINAGAR",IF(LEFT(I388,4)="JK04","BUDGAM",IF(LEFT(I388,4)="JK03","ANANTNAG",IF(LEFT(I388,4)="JK05","BARAMULLA",IF(LEFT(I388,4)="26BH","BHARAT",IF(LEFT(I388,4)="25BH","BHARAT",IF(LEFT(I388,4)="JK12","POONCH",IF(LEFT(I388,4)="JK16","GANDERBAL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)</f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>ROW()-1</f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16","GANDERBAL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)</f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>ROW()-1</f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>IF(LEFT(I390,4)="JK13","PULWAMA",IF(LEFT(I390,4)="JK01","SRINAGAR",IF(LEFT(I390,4)="JK04","BUDGAM",IF(LEFT(I390,4)="JK03","ANANTNAG",IF(LEFT(I390,4)="JK05","BARAMULLA",IF(LEFT(I390,4)="26BH","BHARAT",IF(LEFT(I390,4)="25BH","BHARAT",IF(LEFT(I390,4)="JK12","POONCH",IF(LEFT(I390,4)="JK16","GANDERBAL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)</f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>ROW()-1</f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>IF(LEFT(I391,4)="JK13","PULWAMA",IF(LEFT(I391,4)="JK01","SRINAGAR",IF(LEFT(I391,4)="JK04","BUDGAM",IF(LEFT(I391,4)="JK03","ANANTNAG",IF(LEFT(I391,4)="JK05","BARAMULLA",IF(LEFT(I391,4)="26BH","BHARAT",IF(LEFT(I391,4)="25BH","BHARAT",IF(LEFT(I391,4)="JK12","POONCH",IF(LEFT(I391,4)="JK16","GANDERBAL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)</f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>ROW()-1</f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9888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>ROW()-1</f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>IF(LEFT(I393,4)="JK13","PULWAMA",IF(LEFT(I393,4)="JK01","SRINAGAR",IF(LEFT(I393,4)="JK04","BUDGAM",IF(LEFT(I393,4)="JK03","ANANTNAG",IF(LEFT(I393,4)="JK05","BARAMULLA",IF(LEFT(I393,4)="26BH","BHARAT",IF(LEFT(I393,4)="25BH","BHARAT",IF(LEFT(I393,4)="JK12","POONCH",IF(LEFT(I393,4)="JK16","GANDERBAL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)</f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>ROW()-1</f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>IF(LEFT(I394,4)="JK13","PULWAMA",IF(LEFT(I394,4)="JK01","SRINAGAR",IF(LEFT(I394,4)="JK04","BUDGAM",IF(LEFT(I394,4)="JK03","ANANTNAG",IF(LEFT(I394,4)="JK05","BARAMULLA",IF(LEFT(I394,4)="26BH","BHARAT",IF(LEFT(I394,4)="25BH","BHARAT",IF(LEFT(I394,4)="JK12","POONCH",IF(LEFT(I394,4)="JK16","GANDERBAL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)</f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>ROW()-1</f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>IF(LEFT(I395,4)="JK13","PULWAMA",IF(LEFT(I395,4)="JK01","SRINAGAR",IF(LEFT(I395,4)="JK04","BUDGAM",IF(LEFT(I395,4)="JK03","ANANTNAG",IF(LEFT(I395,4)="JK05","BARAMULLA",IF(LEFT(I395,4)="26BH","BHARAT",IF(LEFT(I395,4)="25BH","BHARAT",IF(LEFT(I395,4)="JK12","POONCH",IF(LEFT(I395,4)="JK16","GANDERBAL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)</f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>ROW()-1</f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>IF(LEFT(I396,4)="JK13","PULWAMA",IF(LEFT(I396,4)="JK01","SRINAGAR",IF(LEFT(I396,4)="JK04","BUDGAM",IF(LEFT(I396,4)="JK03","ANANTNAG",IF(LEFT(I396,4)="JK05","BARAMULLA",IF(LEFT(I396,4)="26BH","BHARAT",IF(LEFT(I396,4)="25BH","BHARAT",IF(LEFT(I396,4)="JK12","POONCH",IF(LEFT(I396,4)="JK16","GANDERBAL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)</f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>ROW()-1</f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16","GANDERBAL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)</f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>ROW()-1</f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>IF(LEFT(I398,4)="JK13","PULWAMA",IF(LEFT(I398,4)="JK01","SRINAGAR",IF(LEFT(I398,4)="JK04","BUDGAM",IF(LEFT(I398,4)="JK03","ANANTNAG",IF(LEFT(I398,4)="JK05","BARAMULLA",IF(LEFT(I398,4)="26BH","BHARAT",IF(LEFT(I398,4)="25BH","BHARAT",IF(LEFT(I398,4)="JK12","POONCH",IF(LEFT(I398,4)="JK16","GANDERBAL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)</f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>ROW()-1</f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>IF(LEFT(I399,4)="JK13","PULWAMA",IF(LEFT(I399,4)="JK01","SRINAGAR",IF(LEFT(I399,4)="JK04","BUDGAM",IF(LEFT(I399,4)="JK03","ANANTNAG",IF(LEFT(I399,4)="JK05","BARAMULLA",IF(LEFT(I399,4)="26BH","BHARAT",IF(LEFT(I399,4)="25BH","BHARAT",IF(LEFT(I399,4)="JK12","POONCH",IF(LEFT(I399,4)="JK16","GANDERBAL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)</f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>ROW()-1</f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>IF(LEFT(I400,4)="JK13","PULWAMA",IF(LEFT(I400,4)="JK01","SRINAGAR",IF(LEFT(I400,4)="JK04","BUDGAM",IF(LEFT(I400,4)="JK03","ANANTNAG",IF(LEFT(I400,4)="JK05","BARAMULLA",IF(LEFT(I400,4)="26BH","BHARAT",IF(LEFT(I400,4)="25BH","BHARAT",IF(LEFT(I400,4)="JK12","POONCH",IF(LEFT(I400,4)="JK16","GANDERBAL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)</f>
        <v>PULWAMA</v>
      </c>
      <c r="I400" s="26" t="s">
        <v>8394</v>
      </c>
      <c r="J400" s="27">
        <v>46050</v>
      </c>
      <c r="K400" s="26">
        <v>7889353093</v>
      </c>
      <c r="L400" s="26" t="s">
        <v>9904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>ROW()-1</f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>IF(LEFT(I401,4)="JK13","PULWAMA",IF(LEFT(I401,4)="JK01","SRINAGAR",IF(LEFT(I401,4)="JK04","BUDGAM",IF(LEFT(I401,4)="JK03","ANANTNAG",IF(LEFT(I401,4)="JK05","BARAMULLA",IF(LEFT(I401,4)="26BH","BHARAT",IF(LEFT(I401,4)="25BH","BHARAT",IF(LEFT(I401,4)="JK12","POONCH",IF(LEFT(I401,4)="JK16","GANDERBAL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)</f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>ROW()-1</f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>IF(LEFT(I402,4)="JK13","PULWAMA",IF(LEFT(I402,4)="JK01","SRINAGAR",IF(LEFT(I402,4)="JK04","BUDGAM",IF(LEFT(I402,4)="JK03","ANANTNAG",IF(LEFT(I402,4)="JK05","BARAMULLA",IF(LEFT(I402,4)="26BH","BHARAT",IF(LEFT(I402,4)="25BH","BHARAT",IF(LEFT(I402,4)="JK12","POONCH",IF(LEFT(I402,4)="JK16","GANDERBAL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)</f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>ROW()-1</f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>IF(LEFT(I403,4)="JK13","PULWAMA",IF(LEFT(I403,4)="JK01","SRINAGAR",IF(LEFT(I403,4)="JK04","BUDGAM",IF(LEFT(I403,4)="JK03","ANANTNAG",IF(LEFT(I403,4)="JK05","BARAMULLA",IF(LEFT(I403,4)="26BH","BHARAT",IF(LEFT(I403,4)="25BH","BHARAT",IF(LEFT(I403,4)="JK12","POONCH",IF(LEFT(I403,4)="JK16","GANDERBAL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)</f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>ROW()-1</f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>IF(LEFT(I404,4)="JK13","PULWAMA",IF(LEFT(I404,4)="JK01","SRINAGAR",IF(LEFT(I404,4)="JK04","BUDGAM",IF(LEFT(I404,4)="JK03","ANANTNAG",IF(LEFT(I404,4)="JK05","BARAMULLA",IF(LEFT(I404,4)="26BH","BHARAT",IF(LEFT(I404,4)="25BH","BHARAT",IF(LEFT(I404,4)="JK12","POONCH",IF(LEFT(I404,4)="JK16","GANDERBAL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)</f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>ROW()-1</f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>IF(LEFT(I405,4)="JK13","PULWAMA",IF(LEFT(I405,4)="JK01","SRINAGAR",IF(LEFT(I405,4)="JK04","BUDGAM",IF(LEFT(I405,4)="JK03","ANANTNAG",IF(LEFT(I405,4)="JK05","BARAMULLA",IF(LEFT(I405,4)="26BH","BHARAT",IF(LEFT(I405,4)="25BH","BHARAT",IF(LEFT(I405,4)="JK12","POONCH",IF(LEFT(I405,4)="JK16","GANDERBAL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)</f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>ROW()-1</f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>IF(LEFT(I406,4)="JK13","PULWAMA",IF(LEFT(I406,4)="JK01","SRINAGAR",IF(LEFT(I406,4)="JK04","BUDGAM",IF(LEFT(I406,4)="JK03","ANANTNAG",IF(LEFT(I406,4)="JK05","BARAMULLA",IF(LEFT(I406,4)="26BH","BHARAT",IF(LEFT(I406,4)="25BH","BHARAT",IF(LEFT(I406,4)="JK12","POONCH",IF(LEFT(I406,4)="JK16","GANDERBAL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)</f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>ROW()-1</f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>IF(LEFT(I407,4)="JK13","PULWAMA",IF(LEFT(I407,4)="JK01","SRINAGAR",IF(LEFT(I407,4)="JK04","BUDGAM",IF(LEFT(I407,4)="JK03","ANANTNAG",IF(LEFT(I407,4)="JK05","BARAMULLA",IF(LEFT(I407,4)="26BH","BHARAT",IF(LEFT(I407,4)="25BH","BHARAT",IF(LEFT(I407,4)="JK12","POONCH",IF(LEFT(I407,4)="JK16","GANDERBAL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)</f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>ROW()-1</f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>IF(LEFT(I408,4)="JK13","PULWAMA",IF(LEFT(I408,4)="JK01","SRINAGAR",IF(LEFT(I408,4)="JK04","BUDGAM",IF(LEFT(I408,4)="JK03","ANANTNAG",IF(LEFT(I408,4)="JK05","BARAMULLA",IF(LEFT(I408,4)="26BH","BHARAT",IF(LEFT(I408,4)="25BH","BHARAT",IF(LEFT(I408,4)="JK12","POONCH",IF(LEFT(I408,4)="JK16","GANDERBAL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)</f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>ROW()-1</f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>IF(LEFT(I409,4)="JK13","PULWAMA",IF(LEFT(I409,4)="JK01","SRINAGAR",IF(LEFT(I409,4)="JK04","BUDGAM",IF(LEFT(I409,4)="JK03","ANANTNAG",IF(LEFT(I409,4)="JK05","BARAMULLA",IF(LEFT(I409,4)="26BH","BHARAT",IF(LEFT(I409,4)="25BH","BHARAT",IF(LEFT(I409,4)="JK12","POONCH",IF(LEFT(I409,4)="JK16","GANDERBAL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)</f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>ROW()-1</f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16","GANDERBAL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)</f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>ROW()-1</f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>IF(LEFT(I411,4)="JK13","PULWAMA",IF(LEFT(I411,4)="JK01","SRINAGAR",IF(LEFT(I411,4)="JK04","BUDGAM",IF(LEFT(I411,4)="JK03","ANANTNAG",IF(LEFT(I411,4)="JK05","BARAMULLA",IF(LEFT(I411,4)="26BH","BHARAT",IF(LEFT(I411,4)="25BH","BHARAT",IF(LEFT(I411,4)="JK12","POONCH",IF(LEFT(I411,4)="JK16","GANDERBAL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)</f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>ROW()-1</f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>IF(LEFT(I412,4)="JK13","PULWAMA",IF(LEFT(I412,4)="JK01","SRINAGAR",IF(LEFT(I412,4)="JK04","BUDGAM",IF(LEFT(I412,4)="JK03","ANANTNAG",IF(LEFT(I412,4)="JK05","BARAMULLA",IF(LEFT(I412,4)="26BH","BHARAT",IF(LEFT(I412,4)="25BH","BHARAT",IF(LEFT(I412,4)="JK12","POONCH",IF(LEFT(I412,4)="JK16","GANDERBAL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)</f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>ROW()-1</f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>IF(LEFT(I413,4)="JK13","PULWAMA",IF(LEFT(I413,4)="JK01","SRINAGAR",IF(LEFT(I413,4)="JK04","BUDGAM",IF(LEFT(I413,4)="JK03","ANANTNAG",IF(LEFT(I413,4)="JK05","BARAMULLA",IF(LEFT(I413,4)="26BH","BHARAT",IF(LEFT(I413,4)="25BH","BHARAT",IF(LEFT(I413,4)="JK12","POONCH",IF(LEFT(I413,4)="JK16","GANDERBAL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)</f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>ROW()-1</f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>ROW()-1</f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>IF(LEFT(I415,4)="JK13","PULWAMA",IF(LEFT(I415,4)="JK01","SRINAGAR",IF(LEFT(I415,4)="JK04","BUDGAM",IF(LEFT(I415,4)="JK03","ANANTNAG",IF(LEFT(I415,4)="JK05","BARAMULLA",IF(LEFT(I415,4)="26BH","BHARAT",IF(LEFT(I415,4)="25BH","BHARAT",IF(LEFT(I415,4)="JK12","POONCH",IF(LEFT(I415,4)="JK16","GANDERBAL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)</f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>ROW()-1</f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16","GANDERBAL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)</f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>ROW()-1</f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>IF(LEFT(I417,4)="JK13","PULWAMA",IF(LEFT(I417,4)="JK01","SRINAGAR",IF(LEFT(I417,4)="JK04","BUDGAM",IF(LEFT(I417,4)="JK03","ANANTNAG",IF(LEFT(I417,4)="JK05","BARAMULLA",IF(LEFT(I417,4)="26BH","BHARAT",IF(LEFT(I417,4)="25BH","BHARAT",IF(LEFT(I417,4)="JK12","POONCH",IF(LEFT(I417,4)="JK16","GANDERBAL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)</f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>ROW()-1</f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>IF(LEFT(I418,4)="JK13","PULWAMA",IF(LEFT(I418,4)="JK01","SRINAGAR",IF(LEFT(I418,4)="JK04","BUDGAM",IF(LEFT(I418,4)="JK03","ANANTNAG",IF(LEFT(I418,4)="JK05","BARAMULLA",IF(LEFT(I418,4)="26BH","BHARAT",IF(LEFT(I418,4)="25BH","BHARAT",IF(LEFT(I418,4)="JK12","POONCH",IF(LEFT(I418,4)="JK16","GANDERBAL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)</f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>ROW()-1</f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>IF(LEFT(I419,4)="JK13","PULWAMA",IF(LEFT(I419,4)="JK01","SRINAGAR",IF(LEFT(I419,4)="JK04","BUDGAM",IF(LEFT(I419,4)="JK03","ANANTNAG",IF(LEFT(I419,4)="JK05","BARAMULLA",IF(LEFT(I419,4)="26BH","BHARAT",IF(LEFT(I419,4)="25BH","BHARAT",IF(LEFT(I419,4)="JK12","POONCH",IF(LEFT(I419,4)="JK16","GANDERBAL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)</f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>ROW()-1</f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16","GANDERBAL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)</f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>ROW()-1</f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>IF(LEFT(I421,4)="JK13","PULWAMA",IF(LEFT(I421,4)="JK01","SRINAGAR",IF(LEFT(I421,4)="JK04","BUDGAM",IF(LEFT(I421,4)="JK03","ANANTNAG",IF(LEFT(I421,4)="JK05","BARAMULLA",IF(LEFT(I421,4)="26BH","BHARAT",IF(LEFT(I421,4)="25BH","BHARAT",IF(LEFT(I421,4)="JK12","POONCH",IF(LEFT(I421,4)="JK16","GANDERBAL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)</f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>ROW()-1</f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>IF(LEFT(I422,4)="JK13","PULWAMA",IF(LEFT(I422,4)="JK01","SRINAGAR",IF(LEFT(I422,4)="JK04","BUDGAM",IF(LEFT(I422,4)="JK03","ANANTNAG",IF(LEFT(I422,4)="JK05","BARAMULLA",IF(LEFT(I422,4)="26BH","BHARAT",IF(LEFT(I422,4)="25BH","BHARAT",IF(LEFT(I422,4)="JK12","POONCH",IF(LEFT(I422,4)="JK16","GANDERBAL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)</f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>ROW()-1</f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>IF(LEFT(I423,4)="JK13","PULWAMA",IF(LEFT(I423,4)="JK01","SRINAGAR",IF(LEFT(I423,4)="JK04","BUDGAM",IF(LEFT(I423,4)="JK03","ANANTNAG",IF(LEFT(I423,4)="JK05","BARAMULLA",IF(LEFT(I423,4)="26BH","BHARAT",IF(LEFT(I423,4)="25BH","BHARAT",IF(LEFT(I423,4)="JK12","POONCH",IF(LEFT(I423,4)="JK16","GANDERBAL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)</f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9608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>ROW()-1</f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>IF(LEFT(I424,4)="JK13","PULWAMA",IF(LEFT(I424,4)="JK01","SRINAGAR",IF(LEFT(I424,4)="JK04","BUDGAM",IF(LEFT(I424,4)="JK03","ANANTNAG",IF(LEFT(I424,4)="JK05","BARAMULLA",IF(LEFT(I424,4)="26BH","BHARAT",IF(LEFT(I424,4)="25BH","BHARAT",IF(LEFT(I424,4)="JK12","POONCH",IF(LEFT(I424,4)="JK16","GANDERBAL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)</f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>ROW()-1</f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>IF(LEFT(I425,4)="JK13","PULWAMA",IF(LEFT(I425,4)="JK01","SRINAGAR",IF(LEFT(I425,4)="JK04","BUDGAM",IF(LEFT(I425,4)="JK03","ANANTNAG",IF(LEFT(I425,4)="JK05","BARAMULLA",IF(LEFT(I425,4)="26BH","BHARAT",IF(LEFT(I425,4)="25BH","BHARAT",IF(LEFT(I425,4)="JK12","POONCH",IF(LEFT(I425,4)="JK16","GANDERBAL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)</f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>ROW()-1</f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>IF(LEFT(I426,4)="JK13","PULWAMA",IF(LEFT(I426,4)="JK01","SRINAGAR",IF(LEFT(I426,4)="JK04","BUDGAM",IF(LEFT(I426,4)="JK03","ANANTNAG",IF(LEFT(I426,4)="JK05","BARAMULLA",IF(LEFT(I426,4)="26BH","BHARAT",IF(LEFT(I426,4)="25BH","BHARAT",IF(LEFT(I426,4)="JK12","POONCH",IF(LEFT(I426,4)="JK16","GANDERBAL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)</f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>ROW()-1</f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16","GANDERBAL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)</f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9549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>ROW()-1</f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>IF(LEFT(I428,4)="JK13","PULWAMA",IF(LEFT(I428,4)="JK01","SRINAGAR",IF(LEFT(I428,4)="JK04","BUDGAM",IF(LEFT(I428,4)="JK03","ANANTNAG",IF(LEFT(I428,4)="JK05","BARAMULLA",IF(LEFT(I428,4)="26BH","BHARAT",IF(LEFT(I428,4)="25BH","BHARAT",IF(LEFT(I428,4)="JK12","POONCH",IF(LEFT(I428,4)="JK16","GANDERBAL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)</f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>ROW()-1</f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>IF(LEFT(I429,4)="JK13","PULWAMA",IF(LEFT(I429,4)="JK01","SRINAGAR",IF(LEFT(I429,4)="JK04","BUDGAM",IF(LEFT(I429,4)="JK03","ANANTNAG",IF(LEFT(I429,4)="JK05","BARAMULLA",IF(LEFT(I429,4)="26BH","BHARAT",IF(LEFT(I429,4)="25BH","BHARAT",IF(LEFT(I429,4)="JK12","POONCH",IF(LEFT(I429,4)="JK16","GANDERBAL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)</f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>ROW()-1</f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>IF(LEFT(I430,4)="JK13","PULWAMA",IF(LEFT(I430,4)="JK01","SRINAGAR",IF(LEFT(I430,4)="JK04","BUDGAM",IF(LEFT(I430,4)="JK03","ANANTNAG",IF(LEFT(I430,4)="JK05","BARAMULLA",IF(LEFT(I430,4)="26BH","BHARAT",IF(LEFT(I430,4)="25BH","BHARAT",IF(LEFT(I430,4)="JK12","POONCH",IF(LEFT(I430,4)="JK16","GANDERBAL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)</f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>ROW()-1</f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>IF(LEFT(I431,4)="JK13","PULWAMA",IF(LEFT(I431,4)="JK01","SRINAGAR",IF(LEFT(I431,4)="JK04","BUDGAM",IF(LEFT(I431,4)="JK03","ANANTNAG",IF(LEFT(I431,4)="JK05","BARAMULLA",IF(LEFT(I431,4)="26BH","BHARAT",IF(LEFT(I431,4)="25BH","BHARAT",IF(LEFT(I431,4)="JK12","POONCH",IF(LEFT(I431,4)="JK16","GANDERBAL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)</f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>ROW()-1</f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>IF(LEFT(I432,4)="JK13","PULWAMA",IF(LEFT(I432,4)="JK01","SRINAGAR",IF(LEFT(I432,4)="JK04","BUDGAM",IF(LEFT(I432,4)="JK03","ANANTNAG",IF(LEFT(I432,4)="JK05","BARAMULLA",IF(LEFT(I432,4)="26BH","BHARAT",IF(LEFT(I432,4)="25BH","BHARAT",IF(LEFT(I432,4)="JK12","POONCH",IF(LEFT(I432,4)="JK16","GANDERBAL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)</f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>ROW()-1</f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>IF(LEFT(I433,4)="JK13","PULWAMA",IF(LEFT(I433,4)="JK01","SRINAGAR",IF(LEFT(I433,4)="JK04","BUDGAM",IF(LEFT(I433,4)="JK03","ANANTNAG",IF(LEFT(I433,4)="JK05","BARAMULLA",IF(LEFT(I433,4)="26BH","BHARAT",IF(LEFT(I433,4)="25BH","BHARAT",IF(LEFT(I433,4)="JK12","POONCH",IF(LEFT(I433,4)="JK16","GANDERBAL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)</f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>ROW()-1</f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>IF(LEFT(I434,4)="JK13","PULWAMA",IF(LEFT(I434,4)="JK01","SRINAGAR",IF(LEFT(I434,4)="JK04","BUDGAM",IF(LEFT(I434,4)="JK03","ANANTNAG",IF(LEFT(I434,4)="JK05","BARAMULLA",IF(LEFT(I434,4)="26BH","BHARAT",IF(LEFT(I434,4)="25BH","BHARAT",IF(LEFT(I434,4)="JK12","POONCH",IF(LEFT(I434,4)="JK16","GANDERBAL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)</f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>ROW()-1</f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16","GANDERBAL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)</f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>ROW()-1</f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>IF(LEFT(I436,4)="JK13","PULWAMA",IF(LEFT(I436,4)="JK01","SRINAGAR",IF(LEFT(I436,4)="JK04","BUDGAM",IF(LEFT(I436,4)="JK03","ANANTNAG",IF(LEFT(I436,4)="JK05","BARAMULLA",IF(LEFT(I436,4)="26BH","BHARAT",IF(LEFT(I436,4)="25BH","BHARAT",IF(LEFT(I436,4)="JK12","POONCH",IF(LEFT(I436,4)="JK16","GANDERBAL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)</f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>ROW()-1</f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>IF(LEFT(I437,4)="JK13","PULWAMA",IF(LEFT(I437,4)="JK01","SRINAGAR",IF(LEFT(I437,4)="JK04","BUDGAM",IF(LEFT(I437,4)="JK03","ANANTNAG",IF(LEFT(I437,4)="JK05","BARAMULLA",IF(LEFT(I437,4)="26BH","BHARAT",IF(LEFT(I437,4)="25BH","BHARAT",IF(LEFT(I437,4)="JK12","POONCH",IF(LEFT(I437,4)="JK16","GANDERBAL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)</f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>ROW()-1</f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16","GANDERBAL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)</f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>ROW()-1</f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>IF(LEFT(I439,4)="JK13","PULWAMA",IF(LEFT(I439,4)="JK01","SRINAGAR",IF(LEFT(I439,4)="JK04","BUDGAM",IF(LEFT(I439,4)="JK03","ANANTNAG",IF(LEFT(I439,4)="JK05","BARAMULLA",IF(LEFT(I439,4)="26BH","BHARAT",IF(LEFT(I439,4)="25BH","BHARAT",IF(LEFT(I439,4)="JK12","POONCH",IF(LEFT(I439,4)="JK16","GANDERBAL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)</f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>ROW()-1</f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>IF(LEFT(I440,4)="JK13","PULWAMA",IF(LEFT(I440,4)="JK01","SRINAGAR",IF(LEFT(I440,4)="JK04","BUDGAM",IF(LEFT(I440,4)="JK03","ANANTNAG",IF(LEFT(I440,4)="JK05","BARAMULLA",IF(LEFT(I440,4)="26BH","BHARAT",IF(LEFT(I440,4)="25BH","BHARAT",IF(LEFT(I440,4)="JK12","POONCH",IF(LEFT(I440,4)="JK16","GANDERBAL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)</f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>ROW()-1</f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16","GANDERBAL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)</f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>ROW()-1</f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16","GANDERBAL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)</f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>ROW()-1</f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>IF(LEFT(I443,4)="JK13","PULWAMA",IF(LEFT(I443,4)="JK01","SRINAGAR",IF(LEFT(I443,4)="JK04","BUDGAM",IF(LEFT(I443,4)="JK03","ANANTNAG",IF(LEFT(I443,4)="JK05","BARAMULLA",IF(LEFT(I443,4)="26BH","BHARAT",IF(LEFT(I443,4)="25BH","BHARAT",IF(LEFT(I443,4)="JK12","POONCH",IF(LEFT(I443,4)="JK16","GANDERBAL",IF(LEFT(I443,4)="JK18","KULGAM",IF(LEFT(I443,4)="JK22","SHOPIAN",IF(LEFT(I443,4)="JK02","JAMMU",IF(LEFT(I443,4)="JK09","KUPWARA",IF(LEFT(I443,4)="JK15","BANDIPORA",IF(LEFT(I443,4)="JK17","KISHTWAR",IF(LEFT(I443,4)="LA01","KARGIL",IF(LEFT(I443,1)="T","TEMP","NEW")))))))))))))))))</f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>ROW()-1</f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>IF(LEFT(I444,4)="JK13","PULWAMA",IF(LEFT(I444,4)="JK01","SRINAGAR",IF(LEFT(I444,4)="JK04","BUDGAM",IF(LEFT(I444,4)="JK03","ANANTNAG",IF(LEFT(I444,4)="JK05","BARAMULLA",IF(LEFT(I444,4)="26BH","BHARAT",IF(LEFT(I444,4)="25BH","BHARAT",IF(LEFT(I444,4)="JK12","POONCH",IF(LEFT(I444,4)="JK16","GANDERBAL",IF(LEFT(I444,4)="JK18","KULGAM",IF(LEFT(I444,4)="JK22","SHOPIAN",IF(LEFT(I444,4)="JK02","JAMMU",IF(LEFT(I444,4)="JK09","KUPWARA",IF(LEFT(I444,4)="JK15","BANDIPORA",IF(LEFT(I444,4)="JK17","KISHTWAR",IF(LEFT(I444,4)="LA01","KARGIL",IF(LEFT(I444,1)="T","TEMP","NEW")))))))))))))))))</f>
        <v>SHOPIAN</v>
      </c>
      <c r="I444" s="26" t="s">
        <v>8676</v>
      </c>
      <c r="J444" s="27">
        <v>46058</v>
      </c>
      <c r="K444" s="26">
        <v>8825090520</v>
      </c>
      <c r="L444" s="26" t="s">
        <v>9242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>ROW()-1</f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>IF(LEFT(I445,4)="JK13","PULWAMA",IF(LEFT(I445,4)="JK01","SRINAGAR",IF(LEFT(I445,4)="JK04","BUDGAM",IF(LEFT(I445,4)="JK03","ANANTNAG",IF(LEFT(I445,4)="JK05","BARAMULLA",IF(LEFT(I445,4)="26BH","BHARAT",IF(LEFT(I445,4)="25BH","BHARAT",IF(LEFT(I445,4)="JK12","POONCH",IF(LEFT(I445,4)="JK16","GANDERBAL",IF(LEFT(I445,4)="JK18","KULGAM",IF(LEFT(I445,4)="JK22","SHOPIAN",IF(LEFT(I445,4)="JK02","JAMMU",IF(LEFT(I445,4)="JK09","KUPWARA",IF(LEFT(I445,4)="JK15","BANDIPORA",IF(LEFT(I445,4)="JK17","KISHTWAR",IF(LEFT(I445,4)="LA01","KARGIL",IF(LEFT(I445,1)="T","TEMP","NEW")))))))))))))))))</f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>ROW()-1</f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>IF(LEFT(I446,4)="JK13","PULWAMA",IF(LEFT(I446,4)="JK01","SRINAGAR",IF(LEFT(I446,4)="JK04","BUDGAM",IF(LEFT(I446,4)="JK03","ANANTNAG",IF(LEFT(I446,4)="JK05","BARAMULLA",IF(LEFT(I446,4)="26BH","BHARAT",IF(LEFT(I446,4)="25BH","BHARAT",IF(LEFT(I446,4)="JK12","POONCH",IF(LEFT(I446,4)="JK16","GANDERBAL",IF(LEFT(I446,4)="JK18","KULGAM",IF(LEFT(I446,4)="JK22","SHOPIAN",IF(LEFT(I446,4)="JK02","JAMMU",IF(LEFT(I446,4)="JK09","KUPWARA",IF(LEFT(I446,4)="JK15","BANDIPORA",IF(LEFT(I446,4)="JK17","KISHTWAR",IF(LEFT(I446,4)="LA01","KARGIL",IF(LEFT(I446,1)="T","TEMP","NEW")))))))))))))))))</f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>ROW()-1</f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>IF(LEFT(I447,4)="JK13","PULWAMA",IF(LEFT(I447,4)="JK01","SRINAGAR",IF(LEFT(I447,4)="JK04","BUDGAM",IF(LEFT(I447,4)="JK03","ANANTNAG",IF(LEFT(I447,4)="JK05","BARAMULLA",IF(LEFT(I447,4)="26BH","BHARAT",IF(LEFT(I447,4)="25BH","BHARAT",IF(LEFT(I447,4)="JK12","POONCH",IF(LEFT(I447,4)="JK16","GANDERBAL",IF(LEFT(I447,4)="JK18","KULGAM",IF(LEFT(I447,4)="JK22","SHOPIAN",IF(LEFT(I447,4)="JK02","JAMMU",IF(LEFT(I447,4)="JK09","KUPWARA",IF(LEFT(I447,4)="JK15","BANDIPORA",IF(LEFT(I447,4)="JK17","KISHTWAR",IF(LEFT(I447,4)="LA01","KARGIL",IF(LEFT(I447,1)="T","TEMP","NEW")))))))))))))))))</f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>ROW()-1</f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>IF(LEFT(I448,4)="JK13","PULWAMA",IF(LEFT(I448,4)="JK01","SRINAGAR",IF(LEFT(I448,4)="JK04","BUDGAM",IF(LEFT(I448,4)="JK03","ANANTNAG",IF(LEFT(I448,4)="JK05","BARAMULLA",IF(LEFT(I448,4)="26BH","BHARAT",IF(LEFT(I448,4)="25BH","BHARAT",IF(LEFT(I448,4)="JK12","POONCH",IF(LEFT(I448,4)="JK16","GANDERBAL",IF(LEFT(I448,4)="JK18","KULGAM",IF(LEFT(I448,4)="JK22","SHOPIAN",IF(LEFT(I448,4)="JK02","JAMMU",IF(LEFT(I448,4)="JK09","KUPWARA",IF(LEFT(I448,4)="JK15","BANDIPORA",IF(LEFT(I448,4)="JK17","KISHTWAR",IF(LEFT(I448,4)="LA01","KARGIL",IF(LEFT(I448,1)="T","TEMP","NEW")))))))))))))))))</f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>ROW()-1</f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>IF(LEFT(I449,4)="JK13","PULWAMA",IF(LEFT(I449,4)="JK01","SRINAGAR",IF(LEFT(I449,4)="JK04","BUDGAM",IF(LEFT(I449,4)="JK03","ANANTNAG",IF(LEFT(I449,4)="JK05","BARAMULLA",IF(LEFT(I449,4)="26BH","BHARAT",IF(LEFT(I449,4)="25BH","BHARAT",IF(LEFT(I449,4)="JK12","POONCH",IF(LEFT(I449,4)="JK16","GANDERBAL",IF(LEFT(I449,4)="JK18","KULGAM",IF(LEFT(I449,4)="JK22","SHOPIAN",IF(LEFT(I449,4)="JK02","JAMMU",IF(LEFT(I449,4)="JK09","KUPWARA",IF(LEFT(I449,4)="JK15","BANDIPORA",IF(LEFT(I449,4)="JK17","KISHTWAR",IF(LEFT(I449,4)="LA01","KARGIL",IF(LEFT(I449,1)="T","TEMP","NEW")))))))))))))))))</f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>ROW()-1</f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>ROW()-1</f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16","GANDERBAL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)</f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>ROW()-1</f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>IF(LEFT(I453,4)="JK13","PULWAMA",IF(LEFT(I453,4)="JK01","SRINAGAR",IF(LEFT(I453,4)="JK04","BUDGAM",IF(LEFT(I453,4)="JK03","ANANTNAG",IF(LEFT(I453,4)="JK05","BARAMULLA",IF(LEFT(I453,4)="26BH","BHARAT",IF(LEFT(I453,4)="25BH","BHARAT",IF(LEFT(I453,4)="JK12","POONCH",IF(LEFT(I453,4)="JK16","GANDERBAL",IF(LEFT(I453,4)="JK18","KULGAM",IF(LEFT(I453,4)="JK22","SHOPIAN",IF(LEFT(I453,4)="JK02","JAMMU",IF(LEFT(I453,4)="JK09","KUPWARA",IF(LEFT(I453,4)="JK15","BANDIPORA",IF(LEFT(I453,4)="JK17","KISHTWAR",IF(LEFT(I453,4)="LA01","KARGIL",IF(LEFT(I453,1)="T","TEMP","NEW")))))))))))))))))</f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9888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>ROW()-1</f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>IF(LEFT(I454,4)="JK13","PULWAMA",IF(LEFT(I454,4)="JK01","SRINAGAR",IF(LEFT(I454,4)="JK04","BUDGAM",IF(LEFT(I454,4)="JK03","ANANTNAG",IF(LEFT(I454,4)="JK05","BARAMULLA",IF(LEFT(I454,4)="26BH","BHARAT",IF(LEFT(I454,4)="25BH","BHARAT",IF(LEFT(I454,4)="JK12","POONCH",IF(LEFT(I454,4)="JK16","GANDERBAL",IF(LEFT(I454,4)="JK18","KULGAM",IF(LEFT(I454,4)="JK22","SHOPIAN",IF(LEFT(I454,4)="JK02","JAMMU",IF(LEFT(I454,4)="JK09","KUPWARA",IF(LEFT(I454,4)="JK15","BANDIPORA",IF(LEFT(I454,4)="JK17","KISHTWAR",IF(LEFT(I454,4)="LA01","KARGIL",IF(LEFT(I454,1)="T","TEMP","NEW")))))))))))))))))</f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>ROW()-1</f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>IF(LEFT(I455,4)="JK13","PULWAMA",IF(LEFT(I455,4)="JK01","SRINAGAR",IF(LEFT(I455,4)="JK04","BUDGAM",IF(LEFT(I455,4)="JK03","ANANTNAG",IF(LEFT(I455,4)="JK05","BARAMULLA",IF(LEFT(I455,4)="26BH","BHARAT",IF(LEFT(I455,4)="25BH","BHARAT",IF(LEFT(I455,4)="JK12","POONCH",IF(LEFT(I455,4)="JK16","GANDERBAL",IF(LEFT(I455,4)="JK18","KULGAM",IF(LEFT(I455,4)="JK22","SHOPIAN",IF(LEFT(I455,4)="JK02","JAMMU",IF(LEFT(I455,4)="JK09","KUPWARA",IF(LEFT(I455,4)="JK15","BANDIPORA",IF(LEFT(I455,4)="JK17","KISHTWAR",IF(LEFT(I455,4)="LA01","KARGIL",IF(LEFT(I455,1)="T","TEMP","NEW")))))))))))))))))</f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>ROW()-1</f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>ROW()-1</f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16","GANDERBAL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)</f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>ROW()-1</f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>IF(LEFT(I458,4)="JK13","PULWAMA",IF(LEFT(I458,4)="JK01","SRINAGAR",IF(LEFT(I458,4)="JK04","BUDGAM",IF(LEFT(I458,4)="JK03","ANANTNAG",IF(LEFT(I458,4)="JK05","BARAMULLA",IF(LEFT(I458,4)="26BH","BHARAT",IF(LEFT(I458,4)="25BH","BHARAT",IF(LEFT(I458,4)="JK12","POONCH",IF(LEFT(I458,4)="JK16","GANDERBAL",IF(LEFT(I458,4)="JK18","KULGAM",IF(LEFT(I458,4)="JK22","SHOPIAN",IF(LEFT(I458,4)="JK02","JAMMU",IF(LEFT(I458,4)="JK09","KUPWARA",IF(LEFT(I458,4)="JK15","BANDIPORA",IF(LEFT(I458,4)="JK17","KISHTWAR",IF(LEFT(I458,4)="LA01","KARGIL",IF(LEFT(I458,1)="T","TEMP","NEW")))))))))))))))))</f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>ROW()-1</f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>IF(LEFT(I459,4)="JK13","PULWAMA",IF(LEFT(I459,4)="JK01","SRINAGAR",IF(LEFT(I459,4)="JK04","BUDGAM",IF(LEFT(I459,4)="JK03","ANANTNAG",IF(LEFT(I459,4)="JK05","BARAMULLA",IF(LEFT(I459,4)="26BH","BHARAT",IF(LEFT(I459,4)="25BH","BHARAT",IF(LEFT(I459,4)="JK12","POONCH",IF(LEFT(I459,4)="JK16","GANDERBAL",IF(LEFT(I459,4)="JK18","KULGAM",IF(LEFT(I459,4)="JK22","SHOPIAN",IF(LEFT(I459,4)="JK02","JAMMU",IF(LEFT(I459,4)="JK09","KUPWARA",IF(LEFT(I459,4)="JK15","BANDIPORA",IF(LEFT(I459,4)="JK17","KISHTWAR",IF(LEFT(I459,4)="LA01","KARGIL",IF(LEFT(I459,1)="T","TEMP","NEW")))))))))))))))))</f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9888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>ROW()-1</f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>IF(LEFT(I460,4)="JK13","PULWAMA",IF(LEFT(I460,4)="JK01","SRINAGAR",IF(LEFT(I460,4)="JK04","BUDGAM",IF(LEFT(I460,4)="JK03","ANANTNAG",IF(LEFT(I460,4)="JK05","BARAMULLA",IF(LEFT(I460,4)="26BH","BHARAT",IF(LEFT(I460,4)="25BH","BHARAT",IF(LEFT(I460,4)="JK12","POONCH",IF(LEFT(I460,4)="JK16","GANDERBAL",IF(LEFT(I460,4)="JK18","KULGAM",IF(LEFT(I460,4)="JK22","SHOPIAN",IF(LEFT(I460,4)="JK02","JAMMU",IF(LEFT(I460,4)="JK09","KUPWARA",IF(LEFT(I460,4)="JK15","BANDIPORA",IF(LEFT(I460,4)="JK17","KISHTWAR",IF(LEFT(I460,4)="LA01","KARGIL",IF(LEFT(I460,1)="T","TEMP","NEW")))))))))))))))))</f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>ROW()-1</f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>IF(LEFT(I461,4)="JK13","PULWAMA",IF(LEFT(I461,4)="JK01","SRINAGAR",IF(LEFT(I461,4)="JK04","BUDGAM",IF(LEFT(I461,4)="JK03","ANANTNAG",IF(LEFT(I461,4)="JK05","BARAMULLA",IF(LEFT(I461,4)="26BH","BHARAT",IF(LEFT(I461,4)="25BH","BHARAT",IF(LEFT(I461,4)="JK12","POONCH",IF(LEFT(I461,4)="JK16","GANDERBAL",IF(LEFT(I461,4)="JK18","KULGAM",IF(LEFT(I461,4)="JK22","SHOPIAN",IF(LEFT(I461,4)="JK02","JAMMU",IF(LEFT(I461,4)="JK09","KUPWARA",IF(LEFT(I461,4)="JK15","BANDIPORA",IF(LEFT(I461,4)="JK17","KISHTWAR",IF(LEFT(I461,4)="LA01","KARGIL",IF(LEFT(I461,1)="T","TEMP","NEW")))))))))))))))))</f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>ROW()-1</f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>IF(LEFT(I462,4)="JK13","PULWAMA",IF(LEFT(I462,4)="JK01","SRINAGAR",IF(LEFT(I462,4)="JK04","BUDGAM",IF(LEFT(I462,4)="JK03","ANANTNAG",IF(LEFT(I462,4)="JK05","BARAMULLA",IF(LEFT(I462,4)="26BH","BHARAT",IF(LEFT(I462,4)="25BH","BHARAT",IF(LEFT(I462,4)="JK12","POONCH",IF(LEFT(I462,4)="JK16","GANDERBAL",IF(LEFT(I462,4)="JK18","KULGAM",IF(LEFT(I462,4)="JK22","SHOPIAN",IF(LEFT(I462,4)="JK02","JAMMU",IF(LEFT(I462,4)="JK09","KUPWARA",IF(LEFT(I462,4)="JK15","BANDIPORA",IF(LEFT(I462,4)="JK17","KISHTWAR",IF(LEFT(I462,4)="LA01","KARGIL",IF(LEFT(I462,1)="T","TEMP","NEW")))))))))))))))))</f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>ROW()-1</f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>IF(LEFT(I463,4)="JK13","PULWAMA",IF(LEFT(I463,4)="JK01","SRINAGAR",IF(LEFT(I463,4)="JK04","BUDGAM",IF(LEFT(I463,4)="JK03","ANANTNAG",IF(LEFT(I463,4)="JK05","BARAMULLA",IF(LEFT(I463,4)="26BH","BHARAT",IF(LEFT(I463,4)="25BH","BHARAT",IF(LEFT(I463,4)="JK12","POONCH",IF(LEFT(I463,4)="JK16","GANDERBAL",IF(LEFT(I463,4)="JK18","KULGAM",IF(LEFT(I463,4)="JK22","SHOPIAN",IF(LEFT(I463,4)="JK02","JAMMU",IF(LEFT(I463,4)="JK09","KUPWARA",IF(LEFT(I463,4)="JK15","BANDIPORA",IF(LEFT(I463,4)="JK17","KISHTWAR",IF(LEFT(I463,4)="LA01","KARGIL",IF(LEFT(I463,1)="T","TEMP","NEW")))))))))))))))))</f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>ROW()-1</f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>IF(LEFT(I464,4)="JK13","PULWAMA",IF(LEFT(I464,4)="JK01","SRINAGAR",IF(LEFT(I464,4)="JK04","BUDGAM",IF(LEFT(I464,4)="JK03","ANANTNAG",IF(LEFT(I464,4)="JK05","BARAMULLA",IF(LEFT(I464,4)="26BH","BHARAT",IF(LEFT(I464,4)="25BH","BHARAT",IF(LEFT(I464,4)="JK12","POONCH",IF(LEFT(I464,4)="JK16","GANDERBAL",IF(LEFT(I464,4)="JK18","KULGAM",IF(LEFT(I464,4)="JK22","SHOPIAN",IF(LEFT(I464,4)="JK02","JAMMU",IF(LEFT(I464,4)="JK09","KUPWARA",IF(LEFT(I464,4)="JK15","BANDIPORA",IF(LEFT(I464,4)="JK17","KISHTWAR",IF(LEFT(I464,4)="LA01","KARGIL",IF(LEFT(I464,1)="T","TEMP","NEW")))))))))))))))))</f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9550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>ROW()-1</f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>IF(LEFT(I465,4)="JK13","PULWAMA",IF(LEFT(I465,4)="JK01","SRINAGAR",IF(LEFT(I465,4)="JK04","BUDGAM",IF(LEFT(I465,4)="JK03","ANANTNAG",IF(LEFT(I465,4)="JK05","BARAMULLA",IF(LEFT(I465,4)="26BH","BHARAT",IF(LEFT(I465,4)="25BH","BHARAT",IF(LEFT(I465,4)="JK12","POONCH",IF(LEFT(I465,4)="JK16","GANDERBAL",IF(LEFT(I465,4)="JK18","KULGAM",IF(LEFT(I465,4)="JK22","SHOPIAN",IF(LEFT(I465,4)="JK02","JAMMU",IF(LEFT(I465,4)="JK09","KUPWARA",IF(LEFT(I465,4)="JK15","BANDIPORA",IF(LEFT(I465,4)="JK17","KISHTWAR",IF(LEFT(I465,4)="LA01","KARGIL",IF(LEFT(I465,1)="T","TEMP","NEW")))))))))))))))))</f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>ROW()-1</f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>IF(LEFT(I466,4)="JK13","PULWAMA",IF(LEFT(I466,4)="JK01","SRINAGAR",IF(LEFT(I466,4)="JK04","BUDGAM",IF(LEFT(I466,4)="JK03","ANANTNAG",IF(LEFT(I466,4)="JK05","BARAMULLA",IF(LEFT(I466,4)="26BH","BHARAT",IF(LEFT(I466,4)="25BH","BHARAT",IF(LEFT(I466,4)="JK12","POONCH",IF(LEFT(I466,4)="JK16","GANDERBAL",IF(LEFT(I466,4)="JK18","KULGAM",IF(LEFT(I466,4)="JK22","SHOPIAN",IF(LEFT(I466,4)="JK02","JAMMU",IF(LEFT(I466,4)="JK09","KUPWARA",IF(LEFT(I466,4)="JK15","BANDIPORA",IF(LEFT(I466,4)="JK17","KISHTWAR",IF(LEFT(I466,4)="LA01","KARGIL",IF(LEFT(I466,1)="T","TEMP","NEW")))))))))))))))))</f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>ROW()-1</f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>IF(LEFT(I467,4)="JK13","PULWAMA",IF(LEFT(I467,4)="JK01","SRINAGAR",IF(LEFT(I467,4)="JK04","BUDGAM",IF(LEFT(I467,4)="JK03","ANANTNAG",IF(LEFT(I467,4)="JK05","BARAMULLA",IF(LEFT(I467,4)="26BH","BHARAT",IF(LEFT(I467,4)="25BH","BHARAT",IF(LEFT(I467,4)="JK12","POONCH",IF(LEFT(I467,4)="JK16","GANDERBAL",IF(LEFT(I467,4)="JK18","KULGAM",IF(LEFT(I467,4)="JK22","SHOPIAN",IF(LEFT(I467,4)="JK02","JAMMU",IF(LEFT(I467,4)="JK09","KUPWARA",IF(LEFT(I467,4)="JK15","BANDIPORA",IF(LEFT(I467,4)="JK17","KISHTWAR",IF(LEFT(I467,4)="LA01","KARGIL",IF(LEFT(I467,1)="T","TEMP","NEW")))))))))))))))))</f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9241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>ROW()-1</f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>IF(LEFT(I468,4)="JK13","PULWAMA",IF(LEFT(I468,4)="JK01","SRINAGAR",IF(LEFT(I468,4)="JK04","BUDGAM",IF(LEFT(I468,4)="JK03","ANANTNAG",IF(LEFT(I468,4)="JK05","BARAMULLA",IF(LEFT(I468,4)="26BH","BHARAT",IF(LEFT(I468,4)="25BH","BHARAT",IF(LEFT(I468,4)="JK12","POONCH",IF(LEFT(I468,4)="JK16","GANDERBAL",IF(LEFT(I468,4)="JK18","KULGAM",IF(LEFT(I468,4)="JK22","SHOPIAN",IF(LEFT(I468,4)="JK02","JAMMU",IF(LEFT(I468,4)="JK09","KUPWARA",IF(LEFT(I468,4)="JK15","BANDIPORA",IF(LEFT(I468,4)="JK17","KISHTWAR",IF(LEFT(I468,4)="LA01","KARGIL",IF(LEFT(I468,1)="T","TEMP","NEW")))))))))))))))))</f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>ROW()-1</f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>IF(LEFT(I469,4)="JK13","PULWAMA",IF(LEFT(I469,4)="JK01","SRINAGAR",IF(LEFT(I469,4)="JK04","BUDGAM",IF(LEFT(I469,4)="JK03","ANANTNAG",IF(LEFT(I469,4)="JK05","BARAMULLA",IF(LEFT(I469,4)="26BH","BHARAT",IF(LEFT(I469,4)="25BH","BHARAT",IF(LEFT(I469,4)="JK12","POONCH",IF(LEFT(I469,4)="JK16","GANDERBAL",IF(LEFT(I469,4)="JK18","KULGAM",IF(LEFT(I469,4)="JK22","SHOPIAN",IF(LEFT(I469,4)="JK02","JAMMU",IF(LEFT(I469,4)="JK09","KUPWARA",IF(LEFT(I469,4)="JK15","BANDIPORA",IF(LEFT(I469,4)="JK17","KISHTWAR",IF(LEFT(I469,4)="LA01","KARGIL",IF(LEFT(I469,1)="T","TEMP","NEW")))))))))))))))))</f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>ROW()-1</f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>IF(LEFT(I470,4)="JK13","PULWAMA",IF(LEFT(I470,4)="JK01","SRINAGAR",IF(LEFT(I470,4)="JK04","BUDGAM",IF(LEFT(I470,4)="JK03","ANANTNAG",IF(LEFT(I470,4)="JK05","BARAMULLA",IF(LEFT(I470,4)="26BH","BHARAT",IF(LEFT(I470,4)="25BH","BHARAT",IF(LEFT(I470,4)="JK12","POONCH",IF(LEFT(I470,4)="JK16","GANDERBAL",IF(LEFT(I470,4)="JK18","KULGAM",IF(LEFT(I470,4)="JK22","SHOPIAN",IF(LEFT(I470,4)="JK02","JAMMU",IF(LEFT(I470,4)="JK09","KUPWARA",IF(LEFT(I470,4)="JK15","BANDIPORA",IF(LEFT(I470,4)="JK17","KISHTWAR",IF(LEFT(I470,4)="LA01","KARGIL",IF(LEFT(I470,1)="T","TEMP","NEW")))))))))))))))))</f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>ROW()-1</f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>IF(LEFT(I471,4)="JK13","PULWAMA",IF(LEFT(I471,4)="JK01","SRINAGAR",IF(LEFT(I471,4)="JK04","BUDGAM",IF(LEFT(I471,4)="JK03","ANANTNAG",IF(LEFT(I471,4)="JK05","BARAMULLA",IF(LEFT(I471,4)="26BH","BHARAT",IF(LEFT(I471,4)="25BH","BHARAT",IF(LEFT(I471,4)="JK12","POONCH",IF(LEFT(I471,4)="JK16","GANDERBAL",IF(LEFT(I471,4)="JK18","KULGAM",IF(LEFT(I471,4)="JK22","SHOPIAN",IF(LEFT(I471,4)="JK02","JAMMU",IF(LEFT(I471,4)="JK09","KUPWARA",IF(LEFT(I471,4)="JK15","BANDIPORA",IF(LEFT(I471,4)="JK17","KISHTWAR",IF(LEFT(I471,4)="LA01","KARGIL",IF(LEFT(I471,1)="T","TEMP","NEW")))))))))))))))))</f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>ROW()-1</f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>IF(LEFT(I472,4)="JK13","PULWAMA",IF(LEFT(I472,4)="JK01","SRINAGAR",IF(LEFT(I472,4)="JK04","BUDGAM",IF(LEFT(I472,4)="JK03","ANANTNAG",IF(LEFT(I472,4)="JK05","BARAMULLA",IF(LEFT(I472,4)="26BH","BHARAT",IF(LEFT(I472,4)="25BH","BHARAT",IF(LEFT(I472,4)="JK12","POONCH",IF(LEFT(I472,4)="JK16","GANDERBAL",IF(LEFT(I472,4)="JK18","KULGAM",IF(LEFT(I472,4)="JK22","SHOPIAN",IF(LEFT(I472,4)="JK02","JAMMU",IF(LEFT(I472,4)="JK09","KUPWARA",IF(LEFT(I472,4)="JK15","BANDIPORA",IF(LEFT(I472,4)="JK17","KISHTWAR",IF(LEFT(I472,4)="LA01","KARGIL",IF(LEFT(I472,1)="T","TEMP","NEW")))))))))))))))))</f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>ROW()-1</f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>IF(LEFT(I473,4)="JK13","PULWAMA",IF(LEFT(I473,4)="JK01","SRINAGAR",IF(LEFT(I473,4)="JK04","BUDGAM",IF(LEFT(I473,4)="JK03","ANANTNAG",IF(LEFT(I473,4)="JK05","BARAMULLA",IF(LEFT(I473,4)="26BH","BHARAT",IF(LEFT(I473,4)="25BH","BHARAT",IF(LEFT(I473,4)="JK12","POONCH",IF(LEFT(I473,4)="JK16","GANDERBAL",IF(LEFT(I473,4)="JK18","KULGAM",IF(LEFT(I473,4)="JK22","SHOPIAN",IF(LEFT(I473,4)="JK02","JAMMU",IF(LEFT(I473,4)="JK09","KUPWARA",IF(LEFT(I473,4)="JK15","BANDIPORA",IF(LEFT(I473,4)="JK17","KISHTWAR",IF(LEFT(I473,4)="LA01","KARGIL",IF(LEFT(I473,1)="T","TEMP","NEW")))))))))))))))))</f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>ROW()-1</f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>IF(LEFT(I474,4)="JK13","PULWAMA",IF(LEFT(I474,4)="JK01","SRINAGAR",IF(LEFT(I474,4)="JK04","BUDGAM",IF(LEFT(I474,4)="JK03","ANANTNAG",IF(LEFT(I474,4)="JK05","BARAMULLA",IF(LEFT(I474,4)="26BH","BHARAT",IF(LEFT(I474,4)="25BH","BHARAT",IF(LEFT(I474,4)="JK12","POONCH",IF(LEFT(I474,4)="JK16","GANDERBAL",IF(LEFT(I474,4)="JK18","KULGAM",IF(LEFT(I474,4)="JK22","SHOPIAN",IF(LEFT(I474,4)="JK02","JAMMU",IF(LEFT(I474,4)="JK09","KUPWARA",IF(LEFT(I474,4)="JK15","BANDIPORA",IF(LEFT(I474,4)="JK17","KISHTWAR",IF(LEFT(I474,4)="LA01","KARGIL",IF(LEFT(I474,1)="T","TEMP","NEW")))))))))))))))))</f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>ROW()-1</f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>IF(LEFT(I475,4)="JK13","PULWAMA",IF(LEFT(I475,4)="JK01","SRINAGAR",IF(LEFT(I475,4)="JK04","BUDGAM",IF(LEFT(I475,4)="JK03","ANANTNAG",IF(LEFT(I475,4)="JK05","BARAMULLA",IF(LEFT(I475,4)="26BH","BHARAT",IF(LEFT(I475,4)="25BH","BHARAT",IF(LEFT(I475,4)="JK12","POONCH",IF(LEFT(I475,4)="JK16","GANDERBAL",IF(LEFT(I475,4)="JK18","KULGAM",IF(LEFT(I475,4)="JK22","SHOPIAN",IF(LEFT(I475,4)="JK02","JAMMU",IF(LEFT(I475,4)="JK09","KUPWARA",IF(LEFT(I475,4)="JK15","BANDIPORA",IF(LEFT(I475,4)="JK17","KISHTWAR",IF(LEFT(I475,4)="LA01","KARGIL",IF(LEFT(I475,1)="T","TEMP","NEW")))))))))))))))))</f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>ROW()-1</f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>IF(LEFT(I476,4)="JK13","PULWAMA",IF(LEFT(I476,4)="JK01","SRINAGAR",IF(LEFT(I476,4)="JK04","BUDGAM",IF(LEFT(I476,4)="JK03","ANANTNAG",IF(LEFT(I476,4)="JK05","BARAMULLA",IF(LEFT(I476,4)="26BH","BHARAT",IF(LEFT(I476,4)="25BH","BHARAT",IF(LEFT(I476,4)="JK12","POONCH",IF(LEFT(I476,4)="JK16","GANDERBAL",IF(LEFT(I476,4)="JK18","KULGAM",IF(LEFT(I476,4)="JK22","SHOPIAN",IF(LEFT(I476,4)="JK02","JAMMU",IF(LEFT(I476,4)="JK09","KUPWARA",IF(LEFT(I476,4)="JK15","BANDIPORA",IF(LEFT(I476,4)="JK17","KISHTWAR",IF(LEFT(I476,4)="LA01","KARGIL",IF(LEFT(I476,1)="T","TEMP","NEW")))))))))))))))))</f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>ROW()-1</f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>IF(LEFT(I477,4)="JK13","PULWAMA",IF(LEFT(I477,4)="JK01","SRINAGAR",IF(LEFT(I477,4)="JK04","BUDGAM",IF(LEFT(I477,4)="JK03","ANANTNAG",IF(LEFT(I477,4)="JK05","BARAMULLA",IF(LEFT(I477,4)="26BH","BHARAT",IF(LEFT(I477,4)="25BH","BHARAT",IF(LEFT(I477,4)="JK12","POONCH",IF(LEFT(I477,4)="JK16","GANDERBAL",IF(LEFT(I477,4)="JK18","KULGAM",IF(LEFT(I477,4)="JK22","SHOPIAN",IF(LEFT(I477,4)="JK02","JAMMU",IF(LEFT(I477,4)="JK09","KUPWARA",IF(LEFT(I477,4)="JK15","BANDIPORA",IF(LEFT(I477,4)="JK17","KISHTWAR",IF(LEFT(I477,4)="LA01","KARGIL",IF(LEFT(I477,1)="T","TEMP","NEW")))))))))))))))))</f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>ROW()-1</f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>ROW()-1</f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>IF(LEFT(I479,4)="JK13","PULWAMA",IF(LEFT(I479,4)="JK01","SRINAGAR",IF(LEFT(I479,4)="JK04","BUDGAM",IF(LEFT(I479,4)="JK03","ANANTNAG",IF(LEFT(I479,4)="JK05","BARAMULLA",IF(LEFT(I479,4)="26BH","BHARAT",IF(LEFT(I479,4)="25BH","BHARAT",IF(LEFT(I479,4)="JK12","POONCH",IF(LEFT(I479,4)="JK16","GANDERBAL",IF(LEFT(I479,4)="JK18","KULGAM",IF(LEFT(I479,4)="JK22","SHOPIAN",IF(LEFT(I479,4)="JK02","JAMMU",IF(LEFT(I479,4)="JK09","KUPWARA",IF(LEFT(I479,4)="JK15","BANDIPORA",IF(LEFT(I479,4)="JK17","KISHTWAR",IF(LEFT(I479,4)="LA01","KARGIL",IF(LEFT(I479,1)="T","TEMP","NEW")))))))))))))))))</f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>ROW()-1</f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>IF(LEFT(I480,4)="JK13","PULWAMA",IF(LEFT(I480,4)="JK01","SRINAGAR",IF(LEFT(I480,4)="JK04","BUDGAM",IF(LEFT(I480,4)="JK03","ANANTNAG",IF(LEFT(I480,4)="JK05","BARAMULLA",IF(LEFT(I480,4)="26BH","BHARAT",IF(LEFT(I480,4)="25BH","BHARAT",IF(LEFT(I480,4)="JK12","POONCH",IF(LEFT(I480,4)="JK16","GANDERBAL",IF(LEFT(I480,4)="JK18","KULGAM",IF(LEFT(I480,4)="JK22","SHOPIAN",IF(LEFT(I480,4)="JK02","JAMMU",IF(LEFT(I480,4)="JK09","KUPWARA",IF(LEFT(I480,4)="JK15","BANDIPORA",IF(LEFT(I480,4)="JK17","KISHTWAR",IF(LEFT(I480,4)="LA01","KARGIL",IF(LEFT(I480,1)="T","TEMP","NEW")))))))))))))))))</f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>ROW()-1</f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>IF(LEFT(I481,4)="JK13","PULWAMA",IF(LEFT(I481,4)="JK01","SRINAGAR",IF(LEFT(I481,4)="JK04","BUDGAM",IF(LEFT(I481,4)="JK03","ANANTNAG",IF(LEFT(I481,4)="JK05","BARAMULLA",IF(LEFT(I481,4)="26BH","BHARAT",IF(LEFT(I481,4)="25BH","BHARAT",IF(LEFT(I481,4)="JK12","POONCH",IF(LEFT(I481,4)="JK16","GANDERBAL",IF(LEFT(I481,4)="JK18","KULGAM",IF(LEFT(I481,4)="JK22","SHOPIAN",IF(LEFT(I481,4)="JK02","JAMMU",IF(LEFT(I481,4)="JK09","KUPWARA",IF(LEFT(I481,4)="JK15","BANDIPORA",IF(LEFT(I481,4)="JK17","KISHTWAR",IF(LEFT(I481,4)="LA01","KARGIL",IF(LEFT(I481,1)="T","TEMP","NEW")))))))))))))))))</f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>ROW()-1</f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>IF(LEFT(I482,4)="JK13","PULWAMA",IF(LEFT(I482,4)="JK01","SRINAGAR",IF(LEFT(I482,4)="JK04","BUDGAM",IF(LEFT(I482,4)="JK03","ANANTNAG",IF(LEFT(I482,4)="JK05","BARAMULLA",IF(LEFT(I482,4)="26BH","BHARAT",IF(LEFT(I482,4)="25BH","BHARAT",IF(LEFT(I482,4)="JK12","POONCH",IF(LEFT(I482,4)="JK16","GANDERBAL",IF(LEFT(I482,4)="JK18","KULGAM",IF(LEFT(I482,4)="JK22","SHOPIAN",IF(LEFT(I482,4)="JK02","JAMMU",IF(LEFT(I482,4)="JK09","KUPWARA",IF(LEFT(I482,4)="JK15","BANDIPORA",IF(LEFT(I482,4)="JK17","KISHTWAR",IF(LEFT(I482,4)="LA01","KARGIL",IF(LEFT(I482,1)="T","TEMP","NEW")))))))))))))))))</f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>ROW()-1</f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>IF(LEFT(I483,4)="JK13","PULWAMA",IF(LEFT(I483,4)="JK01","SRINAGAR",IF(LEFT(I483,4)="JK04","BUDGAM",IF(LEFT(I483,4)="JK03","ANANTNAG",IF(LEFT(I483,4)="JK05","BARAMULLA",IF(LEFT(I483,4)="26BH","BHARAT",IF(LEFT(I483,4)="25BH","BHARAT",IF(LEFT(I483,4)="JK12","POONCH",IF(LEFT(I483,4)="JK16","GANDERBAL",IF(LEFT(I483,4)="JK18","KULGAM",IF(LEFT(I483,4)="JK22","SHOPIAN",IF(LEFT(I483,4)="JK02","JAMMU",IF(LEFT(I483,4)="JK09","KUPWARA",IF(LEFT(I483,4)="JK15","BANDIPORA",IF(LEFT(I483,4)="JK17","KISHTWAR",IF(LEFT(I483,4)="LA01","KARGIL",IF(LEFT(I483,1)="T","TEMP","NEW")))))))))))))))))</f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9550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>ROW()-1</f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>IF(LEFT(I484,4)="JK13","PULWAMA",IF(LEFT(I484,4)="JK01","SRINAGAR",IF(LEFT(I484,4)="JK04","BUDGAM",IF(LEFT(I484,4)="JK03","ANANTNAG",IF(LEFT(I484,4)="JK05","BARAMULLA",IF(LEFT(I484,4)="26BH","BHARAT",IF(LEFT(I484,4)="25BH","BHARAT",IF(LEFT(I484,4)="JK12","POONCH",IF(LEFT(I484,4)="JK16","GANDERBAL",IF(LEFT(I484,4)="JK18","KULGAM",IF(LEFT(I484,4)="JK22","SHOPIAN",IF(LEFT(I484,4)="JK02","JAMMU",IF(LEFT(I484,4)="JK09","KUPWARA",IF(LEFT(I484,4)="JK15","BANDIPORA",IF(LEFT(I484,4)="JK17","KISHTWAR",IF(LEFT(I484,4)="LA01","KARGIL",IF(LEFT(I484,1)="T","TEMP","NEW")))))))))))))))))</f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>ROW()-1</f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>IF(LEFT(I485,4)="JK13","PULWAMA",IF(LEFT(I485,4)="JK01","SRINAGAR",IF(LEFT(I485,4)="JK04","BUDGAM",IF(LEFT(I485,4)="JK03","ANANTNAG",IF(LEFT(I485,4)="JK05","BARAMULLA",IF(LEFT(I485,4)="26BH","BHARAT",IF(LEFT(I485,4)="25BH","BHARAT",IF(LEFT(I485,4)="JK12","POONCH",IF(LEFT(I485,4)="JK16","GANDERBAL",IF(LEFT(I485,4)="JK18","KULGAM",IF(LEFT(I485,4)="JK22","SHOPIAN",IF(LEFT(I485,4)="JK02","JAMMU",IF(LEFT(I485,4)="JK09","KUPWARA",IF(LEFT(I485,4)="JK15","BANDIPORA",IF(LEFT(I485,4)="JK17","KISHTWAR",IF(LEFT(I485,4)="LA01","KARGIL",IF(LEFT(I485,1)="T","TEMP","NEW")))))))))))))))))</f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>ROW()-1</f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>IF(LEFT(I486,4)="JK13","PULWAMA",IF(LEFT(I486,4)="JK01","SRINAGAR",IF(LEFT(I486,4)="JK04","BUDGAM",IF(LEFT(I486,4)="JK03","ANANTNAG",IF(LEFT(I486,4)="JK05","BARAMULLA",IF(LEFT(I486,4)="26BH","BHARAT",IF(LEFT(I486,4)="25BH","BHARAT",IF(LEFT(I486,4)="JK12","POONCH",IF(LEFT(I486,4)="JK16","GANDERBAL",IF(LEFT(I486,4)="JK18","KULGAM",IF(LEFT(I486,4)="JK22","SHOPIAN",IF(LEFT(I486,4)="JK02","JAMMU",IF(LEFT(I486,4)="JK09","KUPWARA",IF(LEFT(I486,4)="JK15","BANDIPORA",IF(LEFT(I486,4)="JK17","KISHTWAR",IF(LEFT(I486,4)="LA01","KARGIL",IF(LEFT(I486,1)="T","TEMP","NEW")))))))))))))))))</f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>ROW()-1</f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>IF(LEFT(I487,4)="JK13","PULWAMA",IF(LEFT(I487,4)="JK01","SRINAGAR",IF(LEFT(I487,4)="JK04","BUDGAM",IF(LEFT(I487,4)="JK03","ANANTNAG",IF(LEFT(I487,4)="JK05","BARAMULLA",IF(LEFT(I487,4)="26BH","BHARAT",IF(LEFT(I487,4)="25BH","BHARAT",IF(LEFT(I487,4)="JK12","POONCH",IF(LEFT(I487,4)="JK16","GANDERBAL",IF(LEFT(I487,4)="JK18","KULGAM",IF(LEFT(I487,4)="JK22","SHOPIAN",IF(LEFT(I487,4)="JK02","JAMMU",IF(LEFT(I487,4)="JK09","KUPWARA",IF(LEFT(I487,4)="JK15","BANDIPORA",IF(LEFT(I487,4)="JK17","KISHTWAR",IF(LEFT(I487,4)="LA01","KARGIL",IF(LEFT(I487,1)="T","TEMP","NEW")))))))))))))))))</f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9200</v>
      </c>
    </row>
    <row r="488" spans="1:18" x14ac:dyDescent="0.25">
      <c r="A488" s="26">
        <f>ROW()-1</f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16","GANDERBAL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)</f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9888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>ROW()-1</f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16","GANDERBAL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)</f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>ROW()-1</f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>IF(LEFT(I490,4)="JK13","PULWAMA",IF(LEFT(I490,4)="JK01","SRINAGAR",IF(LEFT(I490,4)="JK04","BUDGAM",IF(LEFT(I490,4)="JK03","ANANTNAG",IF(LEFT(I490,4)="JK05","BARAMULLA",IF(LEFT(I490,4)="26BH","BHARAT",IF(LEFT(I490,4)="25BH","BHARAT",IF(LEFT(I490,4)="JK12","POONCH",IF(LEFT(I490,4)="JK16","GANDERBAL",IF(LEFT(I490,4)="JK18","KULGAM",IF(LEFT(I490,4)="JK22","SHOPIAN",IF(LEFT(I490,4)="JK02","JAMMU",IF(LEFT(I490,4)="JK09","KUPWARA",IF(LEFT(I490,4)="JK15","BANDIPORA",IF(LEFT(I490,4)="JK17","KISHTWAR",IF(LEFT(I490,4)="LA01","KARGIL",IF(LEFT(I490,1)="T","TEMP","NEW")))))))))))))))))</f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>ROW()-1</f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>IF(LEFT(I491,4)="JK13","PULWAMA",IF(LEFT(I491,4)="JK01","SRINAGAR",IF(LEFT(I491,4)="JK04","BUDGAM",IF(LEFT(I491,4)="JK03","ANANTNAG",IF(LEFT(I491,4)="JK05","BARAMULLA",IF(LEFT(I491,4)="26BH","BHARAT",IF(LEFT(I491,4)="25BH","BHARAT",IF(LEFT(I491,4)="JK12","POONCH",IF(LEFT(I491,4)="JK16","GANDERBAL",IF(LEFT(I491,4)="JK18","KULGAM",IF(LEFT(I491,4)="JK22","SHOPIAN",IF(LEFT(I491,4)="JK02","JAMMU",IF(LEFT(I491,4)="JK09","KUPWARA",IF(LEFT(I491,4)="JK15","BANDIPORA",IF(LEFT(I491,4)="JK17","KISHTWAR",IF(LEFT(I491,4)="LA01","KARGIL",IF(LEFT(I491,1)="T","TEMP","NEW")))))))))))))))))</f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>ROW()-1</f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>IF(LEFT(I492,4)="JK13","PULWAMA",IF(LEFT(I492,4)="JK01","SRINAGAR",IF(LEFT(I492,4)="JK04","BUDGAM",IF(LEFT(I492,4)="JK03","ANANTNAG",IF(LEFT(I492,4)="JK05","BARAMULLA",IF(LEFT(I492,4)="26BH","BHARAT",IF(LEFT(I492,4)="25BH","BHARAT",IF(LEFT(I492,4)="JK12","POONCH",IF(LEFT(I492,4)="JK16","GANDERBAL",IF(LEFT(I492,4)="JK18","KULGAM",IF(LEFT(I492,4)="JK22","SHOPIAN",IF(LEFT(I492,4)="JK02","JAMMU",IF(LEFT(I492,4)="JK09","KUPWARA",IF(LEFT(I492,4)="JK15","BANDIPORA",IF(LEFT(I492,4)="JK17","KISHTWAR",IF(LEFT(I492,4)="LA01","KARGIL",IF(LEFT(I492,1)="T","TEMP","NEW")))))))))))))))))</f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>ROW()-1</f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>IF(LEFT(I493,4)="JK13","PULWAMA",IF(LEFT(I493,4)="JK01","SRINAGAR",IF(LEFT(I493,4)="JK04","BUDGAM",IF(LEFT(I493,4)="JK03","ANANTNAG",IF(LEFT(I493,4)="JK05","BARAMULLA",IF(LEFT(I493,4)="26BH","BHARAT",IF(LEFT(I493,4)="25BH","BHARAT",IF(LEFT(I493,4)="JK12","POONCH",IF(LEFT(I493,4)="JK16","GANDERBAL",IF(LEFT(I493,4)="JK18","KULGAM",IF(LEFT(I493,4)="JK22","SHOPIAN",IF(LEFT(I493,4)="JK02","JAMMU",IF(LEFT(I493,4)="JK09","KUPWARA",IF(LEFT(I493,4)="JK15","BANDIPORA",IF(LEFT(I493,4)="JK17","KISHTWAR",IF(LEFT(I493,4)="LA01","KARGIL",IF(LEFT(I493,1)="T","TEMP","NEW")))))))))))))))))</f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>ROW()-1</f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>IF(LEFT(I494,4)="JK13","PULWAMA",IF(LEFT(I494,4)="JK01","SRINAGAR",IF(LEFT(I494,4)="JK04","BUDGAM",IF(LEFT(I494,4)="JK03","ANANTNAG",IF(LEFT(I494,4)="JK05","BARAMULLA",IF(LEFT(I494,4)="26BH","BHARAT",IF(LEFT(I494,4)="25BH","BHARAT",IF(LEFT(I494,4)="JK12","POONCH",IF(LEFT(I494,4)="JK16","GANDERBAL",IF(LEFT(I494,4)="JK18","KULGAM",IF(LEFT(I494,4)="JK22","SHOPIAN",IF(LEFT(I494,4)="JK02","JAMMU",IF(LEFT(I494,4)="JK09","KUPWARA",IF(LEFT(I494,4)="JK15","BANDIPORA",IF(LEFT(I494,4)="JK17","KISHTWAR",IF(LEFT(I494,4)="LA01","KARGIL",IF(LEFT(I494,1)="T","TEMP","NEW")))))))))))))))))</f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>ROW()-1</f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>IF(LEFT(I495,4)="JK13","PULWAMA",IF(LEFT(I495,4)="JK01","SRINAGAR",IF(LEFT(I495,4)="JK04","BUDGAM",IF(LEFT(I495,4)="JK03","ANANTNAG",IF(LEFT(I495,4)="JK05","BARAMULLA",IF(LEFT(I495,4)="26BH","BHARAT",IF(LEFT(I495,4)="25BH","BHARAT",IF(LEFT(I495,4)="JK12","POONCH",IF(LEFT(I495,4)="JK16","GANDERBAL",IF(LEFT(I495,4)="JK18","KULGAM",IF(LEFT(I495,4)="JK22","SHOPIAN",IF(LEFT(I495,4)="JK02","JAMMU",IF(LEFT(I495,4)="JK09","KUPWARA",IF(LEFT(I495,4)="JK15","BANDIPORA",IF(LEFT(I495,4)="JK17","KISHTWAR",IF(LEFT(I495,4)="LA01","KARGIL",IF(LEFT(I495,1)="T","TEMP","NEW")))))))))))))))))</f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9194</v>
      </c>
      <c r="N495" s="27"/>
      <c r="O495" s="26"/>
      <c r="P495" s="29"/>
      <c r="Q495" s="26"/>
      <c r="R495" s="26"/>
    </row>
    <row r="496" spans="1:18" x14ac:dyDescent="0.25">
      <c r="A496" s="26">
        <f>ROW()-1</f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>IF(LEFT(I496,4)="JK13","PULWAMA",IF(LEFT(I496,4)="JK01","SRINAGAR",IF(LEFT(I496,4)="JK04","BUDGAM",IF(LEFT(I496,4)="JK03","ANANTNAG",IF(LEFT(I496,4)="JK05","BARAMULLA",IF(LEFT(I496,4)="26BH","BHARAT",IF(LEFT(I496,4)="25BH","BHARAT",IF(LEFT(I496,4)="JK12","POONCH",IF(LEFT(I496,4)="JK16","GANDERBAL",IF(LEFT(I496,4)="JK18","KULGAM",IF(LEFT(I496,4)="JK22","SHOPIAN",IF(LEFT(I496,4)="JK02","JAMMU",IF(LEFT(I496,4)="JK09","KUPWARA",IF(LEFT(I496,4)="JK15","BANDIPORA",IF(LEFT(I496,4)="JK17","KISHTWAR",IF(LEFT(I496,4)="LA01","KARGIL",IF(LEFT(I496,1)="T","TEMP","NEW")))))))))))))))))</f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>ROW()-1</f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>IF(LEFT(I497,4)="JK13","PULWAMA",IF(LEFT(I497,4)="JK01","SRINAGAR",IF(LEFT(I497,4)="JK04","BUDGAM",IF(LEFT(I497,4)="JK03","ANANTNAG",IF(LEFT(I497,4)="JK05","BARAMULLA",IF(LEFT(I497,4)="26BH","BHARAT",IF(LEFT(I497,4)="25BH","BHARAT",IF(LEFT(I497,4)="JK12","POONCH",IF(LEFT(I497,4)="JK16","GANDERBAL",IF(LEFT(I497,4)="JK18","KULGAM",IF(LEFT(I497,4)="JK22","SHOPIAN",IF(LEFT(I497,4)="JK02","JAMMU",IF(LEFT(I497,4)="JK09","KUPWARA",IF(LEFT(I497,4)="JK15","BANDIPORA",IF(LEFT(I497,4)="JK17","KISHTWAR",IF(LEFT(I497,4)="LA01","KARGIL",IF(LEFT(I497,1)="T","TEMP","NEW")))))))))))))))))</f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>ROW()-1</f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>IF(LEFT(I498,4)="JK13","PULWAMA",IF(LEFT(I498,4)="JK01","SRINAGAR",IF(LEFT(I498,4)="JK04","BUDGAM",IF(LEFT(I498,4)="JK03","ANANTNAG",IF(LEFT(I498,4)="JK05","BARAMULLA",IF(LEFT(I498,4)="26BH","BHARAT",IF(LEFT(I498,4)="25BH","BHARAT",IF(LEFT(I498,4)="JK12","POONCH",IF(LEFT(I498,4)="JK16","GANDERBAL",IF(LEFT(I498,4)="JK18","KULGAM",IF(LEFT(I498,4)="JK22","SHOPIAN",IF(LEFT(I498,4)="JK02","JAMMU",IF(LEFT(I498,4)="JK09","KUPWARA",IF(LEFT(I498,4)="JK15","BANDIPORA",IF(LEFT(I498,4)="JK17","KISHTWAR",IF(LEFT(I498,4)="LA01","KARGIL",IF(LEFT(I498,1)="T","TEMP","NEW")))))))))))))))))</f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>ROW()-1</f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>IF(LEFT(I499,4)="JK13","PULWAMA",IF(LEFT(I499,4)="JK01","SRINAGAR",IF(LEFT(I499,4)="JK04","BUDGAM",IF(LEFT(I499,4)="JK03","ANANTNAG",IF(LEFT(I499,4)="JK05","BARAMULLA",IF(LEFT(I499,4)="26BH","BHARAT",IF(LEFT(I499,4)="25BH","BHARAT",IF(LEFT(I499,4)="JK12","POONCH",IF(LEFT(I499,4)="JK16","GANDERBAL",IF(LEFT(I499,4)="JK18","KULGAM",IF(LEFT(I499,4)="JK22","SHOPIAN",IF(LEFT(I499,4)="JK02","JAMMU",IF(LEFT(I499,4)="JK09","KUPWARA",IF(LEFT(I499,4)="JK15","BANDIPORA",IF(LEFT(I499,4)="JK17","KISHTWAR",IF(LEFT(I499,4)="LA01","KARGIL",IF(LEFT(I499,1)="T","TEMP","NEW")))))))))))))))))</f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>ROW()-1</f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>IF(LEFT(I500,4)="JK13","PULWAMA",IF(LEFT(I500,4)="JK01","SRINAGAR",IF(LEFT(I500,4)="JK04","BUDGAM",IF(LEFT(I500,4)="JK03","ANANTNAG",IF(LEFT(I500,4)="JK05","BARAMULLA",IF(LEFT(I500,4)="26BH","BHARAT",IF(LEFT(I500,4)="25BH","BHARAT",IF(LEFT(I500,4)="JK12","POONCH",IF(LEFT(I500,4)="JK16","GANDERBAL",IF(LEFT(I500,4)="JK18","KULGAM",IF(LEFT(I500,4)="JK22","SHOPIAN",IF(LEFT(I500,4)="JK02","JAMMU",IF(LEFT(I500,4)="JK09","KUPWARA",IF(LEFT(I500,4)="JK15","BANDIPORA",IF(LEFT(I500,4)="JK17","KISHTWAR",IF(LEFT(I500,4)="LA01","KARGIL",IF(LEFT(I500,1)="T","TEMP","NEW")))))))))))))))))</f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>ROW()-1</f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>IF(LEFT(I501,4)="JK13","PULWAMA",IF(LEFT(I501,4)="JK01","SRINAGAR",IF(LEFT(I501,4)="JK04","BUDGAM",IF(LEFT(I501,4)="JK03","ANANTNAG",IF(LEFT(I501,4)="JK05","BARAMULLA",IF(LEFT(I501,4)="26BH","BHARAT",IF(LEFT(I501,4)="25BH","BHARAT",IF(LEFT(I501,4)="JK12","POONCH",IF(LEFT(I501,4)="JK16","GANDERBAL",IF(LEFT(I501,4)="JK18","KULGAM",IF(LEFT(I501,4)="JK22","SHOPIAN",IF(LEFT(I501,4)="JK02","JAMMU",IF(LEFT(I501,4)="JK09","KUPWARA",IF(LEFT(I501,4)="JK15","BANDIPORA",IF(LEFT(I501,4)="JK17","KISHTWAR",IF(LEFT(I501,4)="LA01","KARGIL",IF(LEFT(I501,1)="T","TEMP","NEW")))))))))))))))))</f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9241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>ROW()-1</f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>IF(LEFT(I502,4)="JK13","PULWAMA",IF(LEFT(I502,4)="JK01","SRINAGAR",IF(LEFT(I502,4)="JK04","BUDGAM",IF(LEFT(I502,4)="JK03","ANANTNAG",IF(LEFT(I502,4)="JK05","BARAMULLA",IF(LEFT(I502,4)="26BH","BHARAT",IF(LEFT(I502,4)="25BH","BHARAT",IF(LEFT(I502,4)="JK12","POONCH",IF(LEFT(I502,4)="JK16","GANDERBAL",IF(LEFT(I502,4)="JK18","KULGAM",IF(LEFT(I502,4)="JK22","SHOPIAN",IF(LEFT(I502,4)="JK02","JAMMU",IF(LEFT(I502,4)="JK09","KUPWARA",IF(LEFT(I502,4)="JK15","BANDIPORA",IF(LEFT(I502,4)="JK17","KISHTWAR",IF(LEFT(I502,4)="LA01","KARGIL",IF(LEFT(I502,1)="T","TEMP","NEW")))))))))))))))))</f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>ROW()-1</f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>IF(LEFT(I503,4)="JK13","PULWAMA",IF(LEFT(I503,4)="JK01","SRINAGAR",IF(LEFT(I503,4)="JK04","BUDGAM",IF(LEFT(I503,4)="JK03","ANANTNAG",IF(LEFT(I503,4)="JK05","BARAMULLA",IF(LEFT(I503,4)="26BH","BHARAT",IF(LEFT(I503,4)="25BH","BHARAT",IF(LEFT(I503,4)="JK12","POONCH",IF(LEFT(I503,4)="JK16","GANDERBAL",IF(LEFT(I503,4)="JK18","KULGAM",IF(LEFT(I503,4)="JK22","SHOPIAN",IF(LEFT(I503,4)="JK02","JAMMU",IF(LEFT(I503,4)="JK09","KUPWARA",IF(LEFT(I503,4)="JK15","BANDIPORA",IF(LEFT(I503,4)="JK17","KISHTWAR",IF(LEFT(I503,4)="LA01","KARGIL",IF(LEFT(I503,1)="T","TEMP","NEW")))))))))))))))))</f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>ROW()-1</f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>IF(LEFT(I504,4)="JK13","PULWAMA",IF(LEFT(I504,4)="JK01","SRINAGAR",IF(LEFT(I504,4)="JK04","BUDGAM",IF(LEFT(I504,4)="JK03","ANANTNAG",IF(LEFT(I504,4)="JK05","BARAMULLA",IF(LEFT(I504,4)="26BH","BHARAT",IF(LEFT(I504,4)="25BH","BHARAT",IF(LEFT(I504,4)="JK12","POONCH",IF(LEFT(I504,4)="JK16","GANDERBAL",IF(LEFT(I504,4)="JK18","KULGAM",IF(LEFT(I504,4)="JK22","SHOPIAN",IF(LEFT(I504,4)="JK02","JAMMU",IF(LEFT(I504,4)="JK09","KUPWARA",IF(LEFT(I504,4)="JK15","BANDIPORA",IF(LEFT(I504,4)="JK17","KISHTWAR",IF(LEFT(I504,4)="LA01","KARGIL",IF(LEFT(I504,1)="T","TEMP","NEW")))))))))))))))))</f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>ROW()-1</f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>IF(LEFT(I505,4)="JK13","PULWAMA",IF(LEFT(I505,4)="JK01","SRINAGAR",IF(LEFT(I505,4)="JK04","BUDGAM",IF(LEFT(I505,4)="JK03","ANANTNAG",IF(LEFT(I505,4)="JK05","BARAMULLA",IF(LEFT(I505,4)="26BH","BHARAT",IF(LEFT(I505,4)="25BH","BHARAT",IF(LEFT(I505,4)="JK12","POONCH",IF(LEFT(I505,4)="JK16","GANDERBAL",IF(LEFT(I505,4)="JK18","KULGAM",IF(LEFT(I505,4)="JK22","SHOPIAN",IF(LEFT(I505,4)="JK02","JAMMU",IF(LEFT(I505,4)="JK09","KUPWARA",IF(LEFT(I505,4)="JK15","BANDIPORA",IF(LEFT(I505,4)="JK17","KISHTWAR",IF(LEFT(I505,4)="LA01","KARGIL",IF(LEFT(I505,1)="T","TEMP","NEW")))))))))))))))))</f>
        <v>SRINAGAR</v>
      </c>
      <c r="I505" s="26" t="s">
        <v>9075</v>
      </c>
      <c r="J505" s="27">
        <v>46080</v>
      </c>
      <c r="K505" s="26">
        <v>7889489992</v>
      </c>
      <c r="L505" s="26" t="s">
        <v>9904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>ROW()-1</f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>IF(LEFT(I506,4)="JK13","PULWAMA",IF(LEFT(I506,4)="JK01","SRINAGAR",IF(LEFT(I506,4)="JK04","BUDGAM",IF(LEFT(I506,4)="JK03","ANANTNAG",IF(LEFT(I506,4)="JK05","BARAMULLA",IF(LEFT(I506,4)="26BH","BHARAT",IF(LEFT(I506,4)="25BH","BHARAT",IF(LEFT(I506,4)="JK12","POONCH",IF(LEFT(I506,4)="JK16","GANDERBAL",IF(LEFT(I506,4)="JK18","KULGAM",IF(LEFT(I506,4)="JK22","SHOPIAN",IF(LEFT(I506,4)="JK02","JAMMU",IF(LEFT(I506,4)="JK09","KUPWARA",IF(LEFT(I506,4)="JK15","BANDIPORA",IF(LEFT(I506,4)="JK17","KISHTWAR",IF(LEFT(I506,4)="LA01","KARGIL",IF(LEFT(I506,1)="T","TEMP","NEW")))))))))))))))))</f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>ROW()-1</f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>IF(LEFT(I507,4)="JK13","PULWAMA",IF(LEFT(I507,4)="JK01","SRINAGAR",IF(LEFT(I507,4)="JK04","BUDGAM",IF(LEFT(I507,4)="JK03","ANANTNAG",IF(LEFT(I507,4)="JK05","BARAMULLA",IF(LEFT(I507,4)="26BH","BHARAT",IF(LEFT(I507,4)="25BH","BHARAT",IF(LEFT(I507,4)="JK12","POONCH",IF(LEFT(I507,4)="JK16","GANDERBAL",IF(LEFT(I507,4)="JK18","KULGAM",IF(LEFT(I507,4)="JK22","SHOPIAN",IF(LEFT(I507,4)="JK02","JAMMU",IF(LEFT(I507,4)="JK09","KUPWARA",IF(LEFT(I507,4)="JK15","BANDIPORA",IF(LEFT(I507,4)="JK17","KISHTWAR",IF(LEFT(I507,4)="LA01","KARGIL",IF(LEFT(I507,1)="T","TEMP","NEW")))))))))))))))))</f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>ROW()-1</f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>IF(LEFT(I508,4)="JK13","PULWAMA",IF(LEFT(I508,4)="JK01","SRINAGAR",IF(LEFT(I508,4)="JK04","BUDGAM",IF(LEFT(I508,4)="JK03","ANANTNAG",IF(LEFT(I508,4)="JK05","BARAMULLA",IF(LEFT(I508,4)="26BH","BHARAT",IF(LEFT(I508,4)="25BH","BHARAT",IF(LEFT(I508,4)="JK12","POONCH",IF(LEFT(I508,4)="JK16","GANDERBAL",IF(LEFT(I508,4)="JK18","KULGAM",IF(LEFT(I508,4)="JK22","SHOPIAN",IF(LEFT(I508,4)="JK02","JAMMU",IF(LEFT(I508,4)="JK09","KUPWARA",IF(LEFT(I508,4)="JK15","BANDIPORA",IF(LEFT(I508,4)="JK17","KISHTWAR",IF(LEFT(I508,4)="LA01","KARGIL",IF(LEFT(I508,1)="T","TEMP","NEW")))))))))))))))))</f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>ROW()-1</f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>IF(LEFT(I509,4)="JK13","PULWAMA",IF(LEFT(I509,4)="JK01","SRINAGAR",IF(LEFT(I509,4)="JK04","BUDGAM",IF(LEFT(I509,4)="JK03","ANANTNAG",IF(LEFT(I509,4)="JK05","BARAMULLA",IF(LEFT(I509,4)="26BH","BHARAT",IF(LEFT(I509,4)="25BH","BHARAT",IF(LEFT(I509,4)="JK12","POONCH",IF(LEFT(I509,4)="JK16","GANDERBAL",IF(LEFT(I509,4)="JK18","KULGAM",IF(LEFT(I509,4)="JK22","SHOPIAN",IF(LEFT(I509,4)="JK02","JAMMU",IF(LEFT(I509,4)="JK09","KUPWARA",IF(LEFT(I509,4)="JK15","BANDIPORA",IF(LEFT(I509,4)="JK17","KISHTWAR",IF(LEFT(I509,4)="LA01","KARGIL",IF(LEFT(I509,1)="T","TEMP","NEW")))))))))))))))))</f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>ROW()-1</f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>IF(LEFT(I510,4)="JK13","PULWAMA",IF(LEFT(I510,4)="JK01","SRINAGAR",IF(LEFT(I510,4)="JK04","BUDGAM",IF(LEFT(I510,4)="JK03","ANANTNAG",IF(LEFT(I510,4)="JK05","BARAMULLA",IF(LEFT(I510,4)="26BH","BHARAT",IF(LEFT(I510,4)="25BH","BHARAT",IF(LEFT(I510,4)="JK12","POONCH",IF(LEFT(I510,4)="JK16","GANDERBAL",IF(LEFT(I510,4)="JK18","KULGAM",IF(LEFT(I510,4)="JK22","SHOPIAN",IF(LEFT(I510,4)="JK02","JAMMU",IF(LEFT(I510,4)="JK09","KUPWARA",IF(LEFT(I510,4)="JK15","BANDIPORA",IF(LEFT(I510,4)="JK17","KISHTWAR",IF(LEFT(I510,4)="LA01","KARGIL",IF(LEFT(I510,1)="T","TEMP","NEW")))))))))))))))))</f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>ROW()-1</f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>IF(LEFT(I511,4)="JK13","PULWAMA",IF(LEFT(I511,4)="JK01","SRINAGAR",IF(LEFT(I511,4)="JK04","BUDGAM",IF(LEFT(I511,4)="JK03","ANANTNAG",IF(LEFT(I511,4)="JK05","BARAMULLA",IF(LEFT(I511,4)="26BH","BHARAT",IF(LEFT(I511,4)="25BH","BHARAT",IF(LEFT(I511,4)="JK12","POONCH",IF(LEFT(I511,4)="JK16","GANDERBAL",IF(LEFT(I511,4)="JK18","KULGAM",IF(LEFT(I511,4)="JK22","SHOPIAN",IF(LEFT(I511,4)="JK02","JAMMU",IF(LEFT(I511,4)="JK09","KUPWARA",IF(LEFT(I511,4)="JK15","BANDIPORA",IF(LEFT(I511,4)="JK17","KISHTWAR",IF(LEFT(I511,4)="LA01","KARGIL",IF(LEFT(I511,1)="T","TEMP","NEW")))))))))))))))))</f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>ROW()-1</f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>IF(LEFT(I512,4)="JK13","PULWAMA",IF(LEFT(I512,4)="JK01","SRINAGAR",IF(LEFT(I512,4)="JK04","BUDGAM",IF(LEFT(I512,4)="JK03","ANANTNAG",IF(LEFT(I512,4)="JK05","BARAMULLA",IF(LEFT(I512,4)="26BH","BHARAT",IF(LEFT(I512,4)="25BH","BHARAT",IF(LEFT(I512,4)="JK12","POONCH",IF(LEFT(I512,4)="JK16","GANDERBAL",IF(LEFT(I512,4)="JK18","KULGAM",IF(LEFT(I512,4)="JK22","SHOPIAN",IF(LEFT(I512,4)="JK02","JAMMU",IF(LEFT(I512,4)="JK09","KUPWARA",IF(LEFT(I512,4)="JK15","BANDIPORA",IF(LEFT(I512,4)="JK17","KISHTWAR",IF(LEFT(I512,4)="LA01","KARGIL",IF(LEFT(I512,1)="T","TEMP","NEW")))))))))))))))))</f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>ROW()-1</f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>IF(LEFT(I513,4)="JK13","PULWAMA",IF(LEFT(I513,4)="JK01","SRINAGAR",IF(LEFT(I513,4)="JK04","BUDGAM",IF(LEFT(I513,4)="JK03","ANANTNAG",IF(LEFT(I513,4)="JK05","BARAMULLA",IF(LEFT(I513,4)="26BH","BHARAT",IF(LEFT(I513,4)="25BH","BHARAT",IF(LEFT(I513,4)="JK12","POONCH",IF(LEFT(I513,4)="JK16","GANDERBAL",IF(LEFT(I513,4)="JK18","KULGAM",IF(LEFT(I513,4)="JK22","SHOPIAN",IF(LEFT(I513,4)="JK02","JAMMU",IF(LEFT(I513,4)="JK09","KUPWARA",IF(LEFT(I513,4)="JK15","BANDIPORA",IF(LEFT(I513,4)="JK17","KISHTWAR",IF(LEFT(I513,4)="LA01","KARGIL",IF(LEFT(I513,1)="T","TEMP","NEW")))))))))))))))))</f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9241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>ROW()-1</f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>ROW()-1</f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>IF(LEFT(I516,4)="JK13","PULWAMA",IF(LEFT(I516,4)="JK01","SRINAGAR",IF(LEFT(I516,4)="JK04","BUDGAM",IF(LEFT(I516,4)="JK03","ANANTNAG",IF(LEFT(I516,4)="JK05","BARAMULLA",IF(LEFT(I516,4)="26BH","BHARAT",IF(LEFT(I516,4)="25BH","BHARAT",IF(LEFT(I516,4)="JK12","POONCH",IF(LEFT(I516,4)="JK16","GANDERBAL",IF(LEFT(I516,4)="JK18","KULGAM",IF(LEFT(I516,4)="JK22","SHOPIAN",IF(LEFT(I516,4)="JK02","JAMMU",IF(LEFT(I516,4)="JK09","KUPWARA",IF(LEFT(I516,4)="JK15","BANDIPORA",IF(LEFT(I516,4)="JK17","KISHTWAR",IF(LEFT(I516,4)="LA01","KARGIL",IF(LEFT(I516,1)="T","TEMP","NEW")))))))))))))))))</f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>ROW()-1</f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>IF(LEFT(I517,4)="JK13","PULWAMA",IF(LEFT(I517,4)="JK01","SRINAGAR",IF(LEFT(I517,4)="JK04","BUDGAM",IF(LEFT(I517,4)="JK03","ANANTNAG",IF(LEFT(I517,4)="JK05","BARAMULLA",IF(LEFT(I517,4)="26BH","BHARAT",IF(LEFT(I517,4)="25BH","BHARAT",IF(LEFT(I517,4)="JK12","POONCH",IF(LEFT(I517,4)="JK16","GANDERBAL",IF(LEFT(I517,4)="JK18","KULGAM",IF(LEFT(I517,4)="JK22","SHOPIAN",IF(LEFT(I517,4)="JK02","JAMMU",IF(LEFT(I517,4)="JK09","KUPWARA",IF(LEFT(I517,4)="JK15","BANDIPORA",IF(LEFT(I517,4)="JK17","KISHTWAR",IF(LEFT(I517,4)="LA01","KARGIL",IF(LEFT(I517,1)="T","TEMP","NEW")))))))))))))))))</f>
        <v>SHOPIAN</v>
      </c>
      <c r="I517" s="26" t="s">
        <v>9178</v>
      </c>
      <c r="J517" s="27">
        <v>46088</v>
      </c>
      <c r="K517" s="26">
        <v>7780894721</v>
      </c>
      <c r="L517" s="26" t="s">
        <v>9242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>ROW()-1</f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>IF(LEFT(I518,4)="JK13","PULWAMA",IF(LEFT(I518,4)="JK01","SRINAGAR",IF(LEFT(I518,4)="JK04","BUDGAM",IF(LEFT(I518,4)="JK03","ANANTNAG",IF(LEFT(I518,4)="JK05","BARAMULLA",IF(LEFT(I518,4)="26BH","BHARAT",IF(LEFT(I518,4)="25BH","BHARAT",IF(LEFT(I518,4)="JK12","POONCH",IF(LEFT(I518,4)="JK16","GANDERBAL",IF(LEFT(I518,4)="JK18","KULGAM",IF(LEFT(I518,4)="JK22","SHOPIAN",IF(LEFT(I518,4)="JK02","JAMMU",IF(LEFT(I518,4)="JK09","KUPWARA",IF(LEFT(I518,4)="JK15","BANDIPORA",IF(LEFT(I518,4)="JK17","KISHTWAR",IF(LEFT(I518,4)="LA01","KARGIL",IF(LEFT(I518,1)="T","TEMP","NEW")))))))))))))))))</f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9217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>ROW()-1</f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>IF(LEFT(I519,4)="JK13","PULWAMA",IF(LEFT(I519,4)="JK01","SRINAGAR",IF(LEFT(I519,4)="JK04","BUDGAM",IF(LEFT(I519,4)="JK03","ANANTNAG",IF(LEFT(I519,4)="JK05","BARAMULLA",IF(LEFT(I519,4)="26BH","BHARAT",IF(LEFT(I519,4)="25BH","BHARAT",IF(LEFT(I519,4)="JK12","POONCH",IF(LEFT(I519,4)="JK16","GANDERBAL",IF(LEFT(I519,4)="JK18","KULGAM",IF(LEFT(I519,4)="JK22","SHOPIAN",IF(LEFT(I519,4)="JK02","JAMMU",IF(LEFT(I519,4)="JK09","KUPWARA",IF(LEFT(I519,4)="JK15","BANDIPORA",IF(LEFT(I519,4)="JK17","KISHTWAR",IF(LEFT(I519,4)="LA01","KARGIL",IF(LEFT(I519,1)="T","TEMP","NEW")))))))))))))))))</f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>ROW()-1</f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>ROW()-1</f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16","GANDERBAL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)</f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>ROW()-1</f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>IF(LEFT(I522,4)="JK13","PULWAMA",IF(LEFT(I522,4)="JK01","SRINAGAR",IF(LEFT(I522,4)="JK04","BUDGAM",IF(LEFT(I522,4)="JK03","ANANTNAG",IF(LEFT(I522,4)="JK05","BARAMULLA",IF(LEFT(I522,4)="26BH","BHARAT",IF(LEFT(I522,4)="25BH","BHARAT",IF(LEFT(I522,4)="JK12","POONCH",IF(LEFT(I522,4)="JK16","GANDERBAL",IF(LEFT(I522,4)="JK18","KULGAM",IF(LEFT(I522,4)="JK22","SHOPIAN",IF(LEFT(I522,4)="JK02","JAMMU",IF(LEFT(I522,4)="JK09","KUPWARA",IF(LEFT(I522,4)="JK15","BANDIPORA",IF(LEFT(I522,4)="JK17","KISHTWAR",IF(LEFT(I522,4)="LA01","KARGIL",IF(LEFT(I522,1)="T","TEMP","NEW")))))))))))))))))</f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9342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>ROW()-1</f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>IF(LEFT(I523,4)="JK13","PULWAMA",IF(LEFT(I523,4)="JK01","SRINAGAR",IF(LEFT(I523,4)="JK04","BUDGAM",IF(LEFT(I523,4)="JK03","ANANTNAG",IF(LEFT(I523,4)="JK05","BARAMULLA",IF(LEFT(I523,4)="26BH","BHARAT",IF(LEFT(I523,4)="25BH","BHARAT",IF(LEFT(I523,4)="JK12","POONCH",IF(LEFT(I523,4)="JK16","GANDERBAL",IF(LEFT(I523,4)="JK18","KULGAM",IF(LEFT(I523,4)="JK22","SHOPIAN",IF(LEFT(I523,4)="JK02","JAMMU",IF(LEFT(I523,4)="JK09","KUPWARA",IF(LEFT(I523,4)="JK15","BANDIPORA",IF(LEFT(I523,4)="JK17","KISHTWAR",IF(LEFT(I523,4)="LA01","KARGIL",IF(LEFT(I523,1)="T","TEMP","NEW")))))))))))))))))</f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>ROW()-1</f>
        <v>523</v>
      </c>
      <c r="B524" s="26" t="s">
        <v>9199</v>
      </c>
      <c r="C524" s="26" t="s">
        <v>9201</v>
      </c>
      <c r="D524" s="26" t="s">
        <v>9202</v>
      </c>
      <c r="E524" s="26" t="s">
        <v>2485</v>
      </c>
      <c r="F524" s="26" t="s">
        <v>31</v>
      </c>
      <c r="G524" s="26" t="s">
        <v>197</v>
      </c>
      <c r="H524" s="26" t="str">
        <f>IF(LEFT(I524,4)="JK13","PULWAMA",IF(LEFT(I524,4)="JK01","SRINAGAR",IF(LEFT(I524,4)="JK04","BUDGAM",IF(LEFT(I524,4)="JK03","ANANTNAG",IF(LEFT(I524,4)="JK05","BARAMULLA",IF(LEFT(I524,4)="26BH","BHARAT",IF(LEFT(I524,4)="25BH","BHARAT",IF(LEFT(I524,4)="JK12","POONCH",IF(LEFT(I524,4)="JK16","GANDERBAL",IF(LEFT(I524,4)="JK18","KULGAM",IF(LEFT(I524,4)="JK22","SHOPIAN",IF(LEFT(I524,4)="JK02","JAMMU",IF(LEFT(I524,4)="JK09","KUPWARA",IF(LEFT(I524,4)="JK15","BANDIPORA",IF(LEFT(I524,4)="JK17","KISHTWAR",IF(LEFT(I524,4)="LA01","KARGIL",IF(LEFT(I524,1)="T","TEMP","NEW")))))))))))))))))</f>
        <v>BUDGAM</v>
      </c>
      <c r="I524" s="26" t="s">
        <v>9203</v>
      </c>
      <c r="J524" s="27">
        <v>46090</v>
      </c>
      <c r="K524" s="26">
        <v>7006258174</v>
      </c>
      <c r="L524" s="26" t="s">
        <v>9905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>ROW()-1</f>
        <v>524</v>
      </c>
      <c r="B525" s="26" t="s">
        <v>9206</v>
      </c>
      <c r="C525" s="26" t="s">
        <v>9207</v>
      </c>
      <c r="D525" s="26" t="s">
        <v>9208</v>
      </c>
      <c r="E525" s="26" t="s">
        <v>9209</v>
      </c>
      <c r="F525" s="26" t="s">
        <v>3126</v>
      </c>
      <c r="G525" s="26" t="s">
        <v>197</v>
      </c>
      <c r="H525" s="26" t="str">
        <f>IF(LEFT(I525,4)="JK13","PULWAMA",IF(LEFT(I525,4)="JK01","SRINAGAR",IF(LEFT(I525,4)="JK04","BUDGAM",IF(LEFT(I525,4)="JK03","ANANTNAG",IF(LEFT(I525,4)="JK05","BARAMULLA",IF(LEFT(I525,4)="26BH","BHARAT",IF(LEFT(I525,4)="25BH","BHARAT",IF(LEFT(I525,4)="JK12","POONCH",IF(LEFT(I525,4)="JK16","GANDERBAL",IF(LEFT(I525,4)="JK18","KULGAM",IF(LEFT(I525,4)="JK22","SHOPIAN",IF(LEFT(I525,4)="JK02","JAMMU",IF(LEFT(I525,4)="JK09","KUPWARA",IF(LEFT(I525,4)="JK15","BANDIPORA",IF(LEFT(I525,4)="JK17","KISHTWAR",IF(LEFT(I525,4)="LA01","KARGIL",IF(LEFT(I525,1)="T","TEMP","NEW")))))))))))))))))</f>
        <v>SRINAGAR</v>
      </c>
      <c r="I525" s="26" t="s">
        <v>9210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9346</v>
      </c>
    </row>
    <row r="526" spans="1:18" x14ac:dyDescent="0.25">
      <c r="A526" s="26">
        <f>ROW()-1</f>
        <v>525</v>
      </c>
      <c r="B526" s="26" t="s">
        <v>9212</v>
      </c>
      <c r="C526" s="26" t="s">
        <v>9213</v>
      </c>
      <c r="D526" s="26" t="s">
        <v>9214</v>
      </c>
      <c r="E526" s="26" t="s">
        <v>9215</v>
      </c>
      <c r="F526" s="26" t="s">
        <v>98</v>
      </c>
      <c r="G526" s="26" t="s">
        <v>178</v>
      </c>
      <c r="H526" s="26" t="str">
        <f>IF(LEFT(I526,4)="JK13","PULWAMA",IF(LEFT(I526,4)="JK01","SRINAGAR",IF(LEFT(I526,4)="JK04","BUDGAM",IF(LEFT(I526,4)="JK03","ANANTNAG",IF(LEFT(I526,4)="JK05","BARAMULLA",IF(LEFT(I526,4)="26BH","BHARAT",IF(LEFT(I526,4)="25BH","BHARAT",IF(LEFT(I526,4)="JK12","POONCH",IF(LEFT(I526,4)="JK16","GANDERBAL",IF(LEFT(I526,4)="JK18","KULGAM",IF(LEFT(I526,4)="JK22","SHOPIAN",IF(LEFT(I526,4)="JK02","JAMMU",IF(LEFT(I526,4)="JK09","KUPWARA",IF(LEFT(I526,4)="JK15","BANDIPORA",IF(LEFT(I526,4)="JK17","KISHTWAR",IF(LEFT(I526,4)="LA01","KARGIL",IF(LEFT(I526,1)="T","TEMP","NEW")))))))))))))))))</f>
        <v>PULWAMA</v>
      </c>
      <c r="I526" s="26" t="s">
        <v>9218</v>
      </c>
      <c r="J526" s="27">
        <v>46092</v>
      </c>
      <c r="K526" s="26">
        <v>9796966559</v>
      </c>
      <c r="L526" s="26" t="s">
        <v>9216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>ROW()-1</f>
        <v>526</v>
      </c>
      <c r="B527" s="26" t="s">
        <v>9222</v>
      </c>
      <c r="C527" s="26" t="s">
        <v>9221</v>
      </c>
      <c r="D527" s="26" t="s">
        <v>9220</v>
      </c>
      <c r="E527" s="26" t="s">
        <v>9219</v>
      </c>
      <c r="F527" s="26" t="s">
        <v>98</v>
      </c>
      <c r="G527" s="26" t="s">
        <v>197</v>
      </c>
      <c r="H527" s="26" t="str">
        <f>IF(LEFT(I527,4)="JK13","PULWAMA",IF(LEFT(I527,4)="JK01","SRINAGAR",IF(LEFT(I527,4)="JK04","BUDGAM",IF(LEFT(I527,4)="JK03","ANANTNAG",IF(LEFT(I527,4)="JK05","BARAMULLA",IF(LEFT(I527,4)="26BH","BHARAT",IF(LEFT(I527,4)="25BH","BHARAT",IF(LEFT(I527,4)="JK12","POONCH",IF(LEFT(I527,4)="JK16","GANDERBAL",IF(LEFT(I527,4)="JK18","KULGAM",IF(LEFT(I527,4)="JK22","SHOPIAN",IF(LEFT(I527,4)="JK02","JAMMU",IF(LEFT(I527,4)="JK09","KUPWARA",IF(LEFT(I527,4)="JK15","BANDIPORA",IF(LEFT(I527,4)="JK17","KISHTWAR",IF(LEFT(I527,4)="LA01","KARGIL",IF(LEFT(I527,1)="T","TEMP","NEW")))))))))))))))))</f>
        <v>KUPWARA</v>
      </c>
      <c r="I527" s="26" t="s">
        <v>9223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>ROW()-1</f>
        <v>527</v>
      </c>
      <c r="B528" s="26" t="s">
        <v>9226</v>
      </c>
      <c r="C528" s="26" t="s">
        <v>9224</v>
      </c>
      <c r="D528" s="26" t="s">
        <v>9225</v>
      </c>
      <c r="E528" s="26" t="s">
        <v>939</v>
      </c>
      <c r="F528" s="26" t="s">
        <v>482</v>
      </c>
      <c r="G528" s="26" t="s">
        <v>196</v>
      </c>
      <c r="H528" s="26" t="str">
        <f>IF(LEFT(I528,4)="JK13","PULWAMA",IF(LEFT(I528,4)="JK01","SRINAGAR",IF(LEFT(I528,4)="JK04","BUDGAM",IF(LEFT(I528,4)="JK03","ANANTNAG",IF(LEFT(I528,4)="JK05","BARAMULLA",IF(LEFT(I528,4)="26BH","BHARAT",IF(LEFT(I528,4)="25BH","BHARAT",IF(LEFT(I528,4)="JK12","POONCH",IF(LEFT(I528,4)="JK16","GANDERBAL",IF(LEFT(I528,4)="JK18","KULGAM",IF(LEFT(I528,4)="JK22","SHOPIAN",IF(LEFT(I528,4)="JK02","JAMMU",IF(LEFT(I528,4)="JK09","KUPWARA",IF(LEFT(I528,4)="JK15","BANDIPORA",IF(LEFT(I528,4)="JK17","KISHTWAR",IF(LEFT(I528,4)="LA01","KARGIL",IF(LEFT(I528,1)="T","TEMP","NEW")))))))))))))))))</f>
        <v>SRINAGAR</v>
      </c>
      <c r="I528" s="26" t="s">
        <v>9231</v>
      </c>
      <c r="J528" s="27">
        <v>46092</v>
      </c>
      <c r="K528" s="26">
        <v>9596405859</v>
      </c>
      <c r="L528" s="26" t="s">
        <v>480</v>
      </c>
      <c r="M528" s="28" t="s">
        <v>9329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>ROW()-1</f>
        <v>528</v>
      </c>
      <c r="B529" s="26" t="s">
        <v>9227</v>
      </c>
      <c r="C529" s="26" t="s">
        <v>9228</v>
      </c>
      <c r="D529" s="26" t="s">
        <v>9229</v>
      </c>
      <c r="E529" s="26" t="s">
        <v>9230</v>
      </c>
      <c r="F529" s="26" t="s">
        <v>98</v>
      </c>
      <c r="G529" s="26" t="s">
        <v>197</v>
      </c>
      <c r="H529" s="26" t="str">
        <f>IF(LEFT(I529,4)="JK13","PULWAMA",IF(LEFT(I529,4)="JK01","SRINAGAR",IF(LEFT(I529,4)="JK04","BUDGAM",IF(LEFT(I529,4)="JK03","ANANTNAG",IF(LEFT(I529,4)="JK05","BARAMULLA",IF(LEFT(I529,4)="26BH","BHARAT",IF(LEFT(I529,4)="25BH","BHARAT",IF(LEFT(I529,4)="JK12","POONCH",IF(LEFT(I529,4)="JK16","GANDERBAL",IF(LEFT(I529,4)="JK18","KULGAM",IF(LEFT(I529,4)="JK22","SHOPIAN",IF(LEFT(I529,4)="JK02","JAMMU",IF(LEFT(I529,4)="JK09","KUPWARA",IF(LEFT(I529,4)="JK15","BANDIPORA",IF(LEFT(I529,4)="JK17","KISHTWAR",IF(LEFT(I529,4)="LA01","KARGIL",IF(LEFT(I529,1)="T","TEMP","NEW")))))))))))))))))</f>
        <v>SRINAGAR</v>
      </c>
      <c r="I529" s="26" t="s">
        <v>9232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>ROW()-1</f>
        <v>529</v>
      </c>
      <c r="B530" s="26" t="s">
        <v>9233</v>
      </c>
      <c r="C530" s="26" t="s">
        <v>9234</v>
      </c>
      <c r="D530" s="26" t="s">
        <v>9235</v>
      </c>
      <c r="E530" s="26" t="s">
        <v>9236</v>
      </c>
      <c r="F530" s="26" t="s">
        <v>31</v>
      </c>
      <c r="G530" s="26" t="s">
        <v>196</v>
      </c>
      <c r="H530" s="26" t="str">
        <f>IF(LEFT(I530,4)="JK13","PULWAMA",IF(LEFT(I530,4)="JK01","SRINAGAR",IF(LEFT(I530,4)="JK04","BUDGAM",IF(LEFT(I530,4)="JK03","ANANTNAG",IF(LEFT(I530,4)="JK05","BARAMULLA",IF(LEFT(I530,4)="26BH","BHARAT",IF(LEFT(I530,4)="25BH","BHARAT",IF(LEFT(I530,4)="JK12","POONCH",IF(LEFT(I530,4)="JK16","GANDERBAL",IF(LEFT(I530,4)="JK18","KULGAM",IF(LEFT(I530,4)="JK22","SHOPIAN",IF(LEFT(I530,4)="JK02","JAMMU",IF(LEFT(I530,4)="JK09","KUPWARA",IF(LEFT(I530,4)="JK15","BANDIPORA",IF(LEFT(I530,4)="JK17","KISHTWAR",IF(LEFT(I530,4)="LA01","KARGIL",IF(LEFT(I530,1)="T","TEMP","NEW")))))))))))))))))</f>
        <v>BARAMULLA</v>
      </c>
      <c r="I530" s="26" t="s">
        <v>9243</v>
      </c>
      <c r="J530" s="27">
        <v>46092</v>
      </c>
      <c r="K530" s="26">
        <v>9596060009</v>
      </c>
      <c r="L530" s="26" t="s">
        <v>8949</v>
      </c>
      <c r="M530" s="28" t="s">
        <v>9286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>ROW()-1</f>
        <v>530</v>
      </c>
      <c r="B531" s="26" t="s">
        <v>9237</v>
      </c>
      <c r="C531" s="26" t="s">
        <v>9238</v>
      </c>
      <c r="D531" s="26" t="s">
        <v>9239</v>
      </c>
      <c r="E531" s="26" t="s">
        <v>9240</v>
      </c>
      <c r="F531" s="26" t="s">
        <v>116</v>
      </c>
      <c r="G531" s="26" t="s">
        <v>171</v>
      </c>
      <c r="H531" s="26" t="str">
        <f>IF(LEFT(I531,4)="JK13","PULWAMA",IF(LEFT(I531,4)="JK01","SRINAGAR",IF(LEFT(I531,4)="JK04","BUDGAM",IF(LEFT(I531,4)="JK03","ANANTNAG",IF(LEFT(I531,4)="JK05","BARAMULLA",IF(LEFT(I531,4)="26BH","BHARAT",IF(LEFT(I531,4)="25BH","BHARAT",IF(LEFT(I531,4)="JK12","POONCH",IF(LEFT(I531,4)="JK16","GANDERBAL",IF(LEFT(I531,4)="JK18","KULGAM",IF(LEFT(I531,4)="JK22","SHOPIAN",IF(LEFT(I531,4)="JK02","JAMMU",IF(LEFT(I531,4)="JK09","KUPWARA",IF(LEFT(I531,4)="JK15","BANDIPORA",IF(LEFT(I531,4)="JK17","KISHTWAR",IF(LEFT(I531,4)="LA01","KARGIL",IF(LEFT(I531,1)="T","TEMP","NEW")))))))))))))))))</f>
        <v>PULWAMA</v>
      </c>
      <c r="I531" s="26" t="s">
        <v>9244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>ROW()-1</f>
        <v>531</v>
      </c>
      <c r="B532" s="26" t="s">
        <v>9246</v>
      </c>
      <c r="C532" s="26" t="s">
        <v>9247</v>
      </c>
      <c r="D532" s="26" t="s">
        <v>9248</v>
      </c>
      <c r="E532" s="26" t="s">
        <v>9249</v>
      </c>
      <c r="F532" s="26" t="s">
        <v>98</v>
      </c>
      <c r="G532" s="26" t="s">
        <v>178</v>
      </c>
      <c r="H532" s="26" t="str">
        <f>IF(LEFT(I532,4)="JK13","PULWAMA",IF(LEFT(I532,4)="JK01","SRINAGAR",IF(LEFT(I532,4)="JK04","BUDGAM",IF(LEFT(I532,4)="JK03","ANANTNAG",IF(LEFT(I532,4)="JK05","BARAMULLA",IF(LEFT(I532,4)="26BH","BHARAT",IF(LEFT(I532,4)="25BH","BHARAT",IF(LEFT(I532,4)="JK12","POONCH",IF(LEFT(I532,4)="JK16","GANDERBAL",IF(LEFT(I532,4)="JK18","KULGAM",IF(LEFT(I532,4)="JK22","SHOPIAN",IF(LEFT(I532,4)="JK02","JAMMU",IF(LEFT(I532,4)="JK09","KUPWARA",IF(LEFT(I532,4)="JK15","BANDIPORA",IF(LEFT(I532,4)="JK17","KISHTWAR",IF(LEFT(I532,4)="LA01","KARGIL",IF(LEFT(I532,1)="T","TEMP","NEW")))))))))))))))))</f>
        <v>BARAMULLA</v>
      </c>
      <c r="I532" s="26" t="s">
        <v>9254</v>
      </c>
      <c r="J532" s="27">
        <v>46093</v>
      </c>
      <c r="K532" s="26">
        <v>7780951154</v>
      </c>
      <c r="L532" s="26" t="s">
        <v>8949</v>
      </c>
      <c r="M532" s="28" t="s">
        <v>9286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>ROW()-1</f>
        <v>532</v>
      </c>
      <c r="B533" s="26" t="s">
        <v>9250</v>
      </c>
      <c r="C533" s="26" t="s">
        <v>9251</v>
      </c>
      <c r="D533" s="26" t="s">
        <v>9252</v>
      </c>
      <c r="E533" s="26" t="s">
        <v>9253</v>
      </c>
      <c r="F533" s="26" t="s">
        <v>277</v>
      </c>
      <c r="G533" s="26" t="s">
        <v>196</v>
      </c>
      <c r="H533" s="26" t="str">
        <f>IF(LEFT(I533,4)="JK13","PULWAMA",IF(LEFT(I533,4)="JK01","SRINAGAR",IF(LEFT(I533,4)="JK04","BUDGAM",IF(LEFT(I533,4)="JK03","ANANTNAG",IF(LEFT(I533,4)="JK05","BARAMULLA",IF(LEFT(I533,4)="26BH","BHARAT",IF(LEFT(I533,4)="25BH","BHARAT",IF(LEFT(I533,4)="JK12","POONCH",IF(LEFT(I533,4)="JK16","GANDERBAL",IF(LEFT(I533,4)="JK18","KULGAM",IF(LEFT(I533,4)="JK22","SHOPIAN",IF(LEFT(I533,4)="JK02","JAMMU",IF(LEFT(I533,4)="JK09","KUPWARA",IF(LEFT(I533,4)="JK15","BANDIPORA",IF(LEFT(I533,4)="JK17","KISHTWAR",IF(LEFT(I533,4)="LA01","KARGIL",IF(LEFT(I533,1)="T","TEMP","NEW")))))))))))))))))</f>
        <v>SRINAGAR</v>
      </c>
      <c r="I533" s="26" t="s">
        <v>9255</v>
      </c>
      <c r="J533" s="27">
        <v>46093</v>
      </c>
      <c r="K533" s="26">
        <v>9419028585</v>
      </c>
      <c r="L533" s="26" t="s">
        <v>9318</v>
      </c>
      <c r="M533" s="28" t="s">
        <v>9417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>ROW()-1</f>
        <v>533</v>
      </c>
      <c r="B534" s="26" t="s">
        <v>9256</v>
      </c>
      <c r="C534" s="26" t="s">
        <v>9257</v>
      </c>
      <c r="D534" s="26" t="s">
        <v>9258</v>
      </c>
      <c r="E534" s="26" t="s">
        <v>9259</v>
      </c>
      <c r="F534" s="26" t="s">
        <v>98</v>
      </c>
      <c r="G534" s="26" t="s">
        <v>171</v>
      </c>
      <c r="H534" s="26" t="str">
        <f>IF(LEFT(I534,4)="JK13","PULWAMA",IF(LEFT(I534,4)="JK01","SRINAGAR",IF(LEFT(I534,4)="JK04","BUDGAM",IF(LEFT(I534,4)="JK03","ANANTNAG",IF(LEFT(I534,4)="JK05","BARAMULLA",IF(LEFT(I534,4)="26BH","BHARAT",IF(LEFT(I534,4)="25BH","BHARAT",IF(LEFT(I534,4)="JK12","POONCH",IF(LEFT(I534,4)="JK16","GANDERBAL",IF(LEFT(I534,4)="JK18","KULGAM",IF(LEFT(I534,4)="JK22","SHOPIAN",IF(LEFT(I534,4)="JK02","JAMMU",IF(LEFT(I534,4)="JK09","KUPWARA",IF(LEFT(I534,4)="JK15","BANDIPORA",IF(LEFT(I534,4)="JK17","KISHTWAR",IF(LEFT(I534,4)="LA01","KARGIL",IF(LEFT(I534,1)="T","TEMP","NEW")))))))))))))))))</f>
        <v>SHOPIAN</v>
      </c>
      <c r="I534" s="26" t="s">
        <v>9264</v>
      </c>
      <c r="J534" s="27">
        <v>46094</v>
      </c>
      <c r="K534" s="26">
        <v>9622761029</v>
      </c>
      <c r="L534" s="26" t="s">
        <v>6564</v>
      </c>
      <c r="M534" s="28" t="s">
        <v>9746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>ROW()-1</f>
        <v>534</v>
      </c>
      <c r="B535" s="26" t="s">
        <v>9263</v>
      </c>
      <c r="C535" s="26" t="s">
        <v>9260</v>
      </c>
      <c r="D535" s="26" t="s">
        <v>9261</v>
      </c>
      <c r="E535" s="26" t="s">
        <v>9262</v>
      </c>
      <c r="F535" s="26" t="s">
        <v>5</v>
      </c>
      <c r="G535" s="26" t="s">
        <v>171</v>
      </c>
      <c r="H535" s="26" t="str">
        <f>IF(LEFT(I535,4)="JK13","PULWAMA",IF(LEFT(I535,4)="JK01","SRINAGAR",IF(LEFT(I535,4)="JK04","BUDGAM",IF(LEFT(I535,4)="JK03","ANANTNAG",IF(LEFT(I535,4)="JK05","BARAMULLA",IF(LEFT(I535,4)="26BH","BHARAT",IF(LEFT(I535,4)="25BH","BHARAT",IF(LEFT(I535,4)="JK12","POONCH",IF(LEFT(I535,4)="JK16","GANDERBAL",IF(LEFT(I535,4)="JK18","KULGAM",IF(LEFT(I535,4)="JK22","SHOPIAN",IF(LEFT(I535,4)="JK02","JAMMU",IF(LEFT(I535,4)="JK09","KUPWARA",IF(LEFT(I535,4)="JK15","BANDIPORA",IF(LEFT(I535,4)="JK17","KISHTWAR",IF(LEFT(I535,4)="LA01","KARGIL",IF(LEFT(I535,1)="T","TEMP","NEW")))))))))))))))))</f>
        <v>SRINAGAR</v>
      </c>
      <c r="I535" s="26" t="s">
        <v>9265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>ROW()-1</f>
        <v>535</v>
      </c>
      <c r="B536" s="26" t="s">
        <v>9266</v>
      </c>
      <c r="C536" s="26" t="s">
        <v>9267</v>
      </c>
      <c r="D536" s="26" t="s">
        <v>9268</v>
      </c>
      <c r="E536" s="26" t="s">
        <v>1234</v>
      </c>
      <c r="F536" s="26" t="s">
        <v>5</v>
      </c>
      <c r="G536" s="26" t="s">
        <v>178</v>
      </c>
      <c r="H536" s="26" t="str">
        <f>IF(LEFT(I536,4)="JK13","PULWAMA",IF(LEFT(I536,4)="JK01","SRINAGAR",IF(LEFT(I536,4)="JK04","BUDGAM",IF(LEFT(I536,4)="JK03","ANANTNAG",IF(LEFT(I536,4)="JK05","BARAMULLA",IF(LEFT(I536,4)="26BH","BHARAT",IF(LEFT(I536,4)="25BH","BHARAT",IF(LEFT(I536,4)="JK12","POONCH",IF(LEFT(I536,4)="JK16","GANDERBAL",IF(LEFT(I536,4)="JK18","KULGAM",IF(LEFT(I536,4)="JK22","SHOPIAN",IF(LEFT(I536,4)="JK02","JAMMU",IF(LEFT(I536,4)="JK09","KUPWARA",IF(LEFT(I536,4)="JK15","BANDIPORA",IF(LEFT(I536,4)="JK17","KISHTWAR",IF(LEFT(I536,4)="LA01","KARGIL",IF(LEFT(I536,1)="T","TEMP","NEW")))))))))))))))))</f>
        <v>SRINAGAR</v>
      </c>
      <c r="I536" s="26" t="s">
        <v>9269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>ROW()-1</f>
        <v>536</v>
      </c>
      <c r="B537" s="26" t="s">
        <v>9270</v>
      </c>
      <c r="C537" s="26" t="s">
        <v>9271</v>
      </c>
      <c r="D537" s="26" t="s">
        <v>9272</v>
      </c>
      <c r="E537" s="26" t="s">
        <v>9273</v>
      </c>
      <c r="F537" s="26" t="s">
        <v>116</v>
      </c>
      <c r="G537" s="26" t="s">
        <v>197</v>
      </c>
      <c r="H537" s="26" t="str">
        <f>IF(LEFT(I537,4)="JK13","PULWAMA",IF(LEFT(I537,4)="JK01","SRINAGAR",IF(LEFT(I537,4)="JK04","BUDGAM",IF(LEFT(I537,4)="JK03","ANANTNAG",IF(LEFT(I537,4)="JK05","BARAMULLA",IF(LEFT(I537,4)="26BH","BHARAT",IF(LEFT(I537,4)="25BH","BHARAT",IF(LEFT(I537,4)="JK12","POONCH",IF(LEFT(I537,4)="JK16","GANDERBAL",IF(LEFT(I537,4)="JK18","KULGAM",IF(LEFT(I537,4)="JK22","SHOPIAN",IF(LEFT(I537,4)="JK02","JAMMU",IF(LEFT(I537,4)="JK09","KUPWARA",IF(LEFT(I537,4)="JK15","BANDIPORA",IF(LEFT(I537,4)="JK17","KISHTWAR",IF(LEFT(I537,4)="LA01","KARGIL",IF(LEFT(I537,1)="T","TEMP","NEW")))))))))))))))))</f>
        <v>SRINAGAR</v>
      </c>
      <c r="I537" s="26" t="s">
        <v>9281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>ROW()-1</f>
        <v>537</v>
      </c>
      <c r="B538" s="26" t="s">
        <v>9280</v>
      </c>
      <c r="C538" s="26" t="s">
        <v>9278</v>
      </c>
      <c r="D538" s="26" t="s">
        <v>9279</v>
      </c>
      <c r="E538" s="26" t="s">
        <v>9277</v>
      </c>
      <c r="F538" s="26" t="s">
        <v>286</v>
      </c>
      <c r="G538" s="26" t="s">
        <v>197</v>
      </c>
      <c r="H538" s="26" t="str">
        <f>IF(LEFT(I538,4)="JK13","PULWAMA",IF(LEFT(I538,4)="JK01","SRINAGAR",IF(LEFT(I538,4)="JK04","BUDGAM",IF(LEFT(I538,4)="JK03","ANANTNAG",IF(LEFT(I538,4)="JK05","BARAMULLA",IF(LEFT(I538,4)="26BH","BHARAT",IF(LEFT(I538,4)="25BH","BHARAT",IF(LEFT(I538,4)="JK12","POONCH",IF(LEFT(I538,4)="JK16","GANDERBAL",IF(LEFT(I538,4)="JK18","KULGAM",IF(LEFT(I538,4)="JK22","SHOPIAN",IF(LEFT(I538,4)="JK02","JAMMU",IF(LEFT(I538,4)="JK09","KUPWARA",IF(LEFT(I538,4)="JK15","BANDIPORA",IF(LEFT(I538,4)="JK17","KISHTWAR",IF(LEFT(I538,4)="LA01","KARGIL",IF(LEFT(I538,1)="T","TEMP","NEW")))))))))))))))))</f>
        <v>SRINAGAR</v>
      </c>
      <c r="I538" s="26" t="s">
        <v>9282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>ROW()-1</f>
        <v>538</v>
      </c>
      <c r="B539" s="26" t="s">
        <v>9289</v>
      </c>
      <c r="C539" s="26" t="s">
        <v>9290</v>
      </c>
      <c r="D539" s="26" t="s">
        <v>9291</v>
      </c>
      <c r="E539" s="26" t="s">
        <v>9292</v>
      </c>
      <c r="F539" s="26" t="s">
        <v>116</v>
      </c>
      <c r="G539" s="26" t="s">
        <v>172</v>
      </c>
      <c r="H539" s="26" t="str">
        <f>IF(LEFT(I539,4)="JK13","PULWAMA",IF(LEFT(I539,4)="JK01","SRINAGAR",IF(LEFT(I539,4)="JK04","BUDGAM",IF(LEFT(I539,4)="JK03","ANANTNAG",IF(LEFT(I539,4)="JK05","BARAMULLA",IF(LEFT(I539,4)="26BH","BHARAT",IF(LEFT(I539,4)="25BH","BHARAT",IF(LEFT(I539,4)="JK12","POONCH",IF(LEFT(I539,4)="JK16","GANDERBAL",IF(LEFT(I539,4)="JK18","KULGAM",IF(LEFT(I539,4)="JK22","SHOPIAN",IF(LEFT(I539,4)="JK02","JAMMU",IF(LEFT(I539,4)="JK09","KUPWARA",IF(LEFT(I539,4)="JK15","BANDIPORA",IF(LEFT(I539,4)="JK17","KISHTWAR",IF(LEFT(I539,4)="LA01","KARGIL",IF(LEFT(I539,1)="T","TEMP","NEW")))))))))))))))))</f>
        <v>PULWAMA</v>
      </c>
      <c r="I539" s="26" t="s">
        <v>9295</v>
      </c>
      <c r="J539" s="27">
        <v>46095</v>
      </c>
      <c r="K539" s="26">
        <v>9541885239</v>
      </c>
      <c r="L539" s="26" t="s">
        <v>9293</v>
      </c>
      <c r="M539" s="26" t="s">
        <v>9194</v>
      </c>
      <c r="N539" s="27"/>
      <c r="O539" s="26"/>
      <c r="P539" s="29"/>
      <c r="Q539" s="26"/>
      <c r="R539" s="26"/>
    </row>
    <row r="540" spans="1:18" x14ac:dyDescent="0.25">
      <c r="A540" s="26">
        <f>ROW()-1</f>
        <v>539</v>
      </c>
      <c r="B540" s="26" t="s">
        <v>9283</v>
      </c>
      <c r="C540" s="26" t="s">
        <v>9284</v>
      </c>
      <c r="D540" s="26" t="s">
        <v>9285</v>
      </c>
      <c r="E540" s="26" t="s">
        <v>1946</v>
      </c>
      <c r="F540" s="26" t="s">
        <v>6540</v>
      </c>
      <c r="G540" s="26" t="s">
        <v>6469</v>
      </c>
      <c r="H540" s="26" t="str">
        <f>IF(LEFT(I540,4)="JK13","PULWAMA",IF(LEFT(I540,4)="JK01","SRINAGAR",IF(LEFT(I540,4)="JK04","BUDGAM",IF(LEFT(I540,4)="JK03","ANANTNAG",IF(LEFT(I540,4)="JK05","BARAMULLA",IF(LEFT(I540,4)="26BH","BHARAT",IF(LEFT(I540,4)="25BH","BHARAT",IF(LEFT(I540,4)="JK12","POONCH",IF(LEFT(I540,4)="JK16","GANDERBAL",IF(LEFT(I540,4)="JK18","KULGAM",IF(LEFT(I540,4)="JK22","SHOPIAN",IF(LEFT(I540,4)="JK02","JAMMU",IF(LEFT(I540,4)="JK09","KUPWARA",IF(LEFT(I540,4)="JK15","BANDIPORA",IF(LEFT(I540,4)="JK17","KISHTWAR",IF(LEFT(I540,4)="LA01","KARGIL",IF(LEFT(I540,1)="T","TEMP","NEW")))))))))))))))))</f>
        <v>SHOPIAN</v>
      </c>
      <c r="I540" s="26" t="s">
        <v>9294</v>
      </c>
      <c r="J540" s="27">
        <v>46095</v>
      </c>
      <c r="K540" s="26">
        <v>7006544713</v>
      </c>
      <c r="L540" s="26" t="s">
        <v>9242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>ROW()-1</f>
        <v>540</v>
      </c>
      <c r="B541" s="26" t="s">
        <v>9296</v>
      </c>
      <c r="C541" s="26" t="s">
        <v>9297</v>
      </c>
      <c r="D541" s="26" t="s">
        <v>9298</v>
      </c>
      <c r="E541" s="26" t="s">
        <v>9299</v>
      </c>
      <c r="F541" s="26" t="s">
        <v>116</v>
      </c>
      <c r="G541" s="26" t="s">
        <v>197</v>
      </c>
      <c r="H541" s="26" t="str">
        <f>IF(LEFT(I541,4)="JK13","PULWAMA",IF(LEFT(I541,4)="JK01","SRINAGAR",IF(LEFT(I541,4)="JK04","BUDGAM",IF(LEFT(I541,4)="JK03","ANANTNAG",IF(LEFT(I541,4)="JK05","BARAMULLA",IF(LEFT(I541,4)="26BH","BHARAT",IF(LEFT(I541,4)="25BH","BHARAT",IF(LEFT(I541,4)="JK12","POONCH",IF(LEFT(I541,4)="JK16","GANDERBAL",IF(LEFT(I541,4)="JK18","KULGAM",IF(LEFT(I541,4)="JK22","SHOPIAN",IF(LEFT(I541,4)="JK02","JAMMU",IF(LEFT(I541,4)="JK09","KUPWARA",IF(LEFT(I541,4)="JK15","BANDIPORA",IF(LEFT(I541,4)="JK17","KISHTWAR",IF(LEFT(I541,4)="LA01","KARGIL",IF(LEFT(I541,1)="T","TEMP","NEW")))))))))))))))))</f>
        <v>BUDGAM</v>
      </c>
      <c r="I541" s="26" t="s">
        <v>9307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>ROW()-1</f>
        <v>541</v>
      </c>
      <c r="B542" s="26" t="s">
        <v>9300</v>
      </c>
      <c r="C542" s="26" t="s">
        <v>9301</v>
      </c>
      <c r="D542" s="26" t="s">
        <v>9302</v>
      </c>
      <c r="E542" s="26" t="s">
        <v>9303</v>
      </c>
      <c r="F542" s="26" t="s">
        <v>65</v>
      </c>
      <c r="G542" s="26" t="s">
        <v>196</v>
      </c>
      <c r="H542" s="26" t="str">
        <f>IF(LEFT(I542,4)="JK13","PULWAMA",IF(LEFT(I542,4)="JK01","SRINAGAR",IF(LEFT(I542,4)="JK04","BUDGAM",IF(LEFT(I542,4)="JK03","ANANTNAG",IF(LEFT(I542,4)="JK05","BARAMULLA",IF(LEFT(I542,4)="26BH","BHARAT",IF(LEFT(I542,4)="25BH","BHARAT",IF(LEFT(I542,4)="JK12","POONCH",IF(LEFT(I542,4)="JK16","GANDERBAL",IF(LEFT(I542,4)="JK18","KULGAM",IF(LEFT(I542,4)="JK22","SHOPIAN",IF(LEFT(I542,4)="JK02","JAMMU",IF(LEFT(I542,4)="JK09","KUPWARA",IF(LEFT(I542,4)="JK15","BANDIPORA",IF(LEFT(I542,4)="JK17","KISHTWAR",IF(LEFT(I542,4)="LA01","KARGIL",IF(LEFT(I542,1)="T","TEMP","NEW")))))))))))))))))</f>
        <v>SRINAGAR</v>
      </c>
      <c r="I542" s="26" t="s">
        <v>9306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>ROW()-1</f>
        <v>542</v>
      </c>
      <c r="B543" s="26" t="s">
        <v>9317</v>
      </c>
      <c r="C543" s="26" t="s">
        <v>9315</v>
      </c>
      <c r="D543" s="26" t="s">
        <v>9316</v>
      </c>
      <c r="E543" s="26" t="s">
        <v>5484</v>
      </c>
      <c r="F543" s="26" t="s">
        <v>31</v>
      </c>
      <c r="G543" s="26" t="s">
        <v>172</v>
      </c>
      <c r="H543" s="26" t="str">
        <f>IF(LEFT(I543,4)="JK13","PULWAMA",IF(LEFT(I543,4)="JK01","SRINAGAR",IF(LEFT(I543,4)="JK04","BUDGAM",IF(LEFT(I543,4)="JK03","ANANTNAG",IF(LEFT(I543,4)="JK05","BARAMULLA",IF(LEFT(I543,4)="26BH","BHARAT",IF(LEFT(I543,4)="25BH","BHARAT",IF(LEFT(I543,4)="JK12","POONCH",IF(LEFT(I543,4)="JK16","GANDERBAL",IF(LEFT(I543,4)="JK18","KULGAM",IF(LEFT(I543,4)="JK22","SHOPIAN",IF(LEFT(I543,4)="JK02","JAMMU",IF(LEFT(I543,4)="JK09","KUPWARA",IF(LEFT(I543,4)="JK15","BANDIPORA",IF(LEFT(I543,4)="JK17","KISHTWAR",IF(LEFT(I543,4)="LA01","KARGIL",IF(LEFT(I543,1)="T","TEMP","NEW")))))))))))))))))</f>
        <v>SRINAGAR</v>
      </c>
      <c r="I543" s="26" t="s">
        <v>9319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9320</v>
      </c>
    </row>
    <row r="544" spans="1:18" x14ac:dyDescent="0.25">
      <c r="A544" s="26">
        <f>ROW()-1</f>
        <v>543</v>
      </c>
      <c r="B544" s="26" t="s">
        <v>9324</v>
      </c>
      <c r="C544" s="26" t="s">
        <v>9321</v>
      </c>
      <c r="D544" s="26" t="s">
        <v>9322</v>
      </c>
      <c r="E544" s="26" t="s">
        <v>9323</v>
      </c>
      <c r="F544" s="26" t="s">
        <v>31</v>
      </c>
      <c r="G544" s="26" t="s">
        <v>197</v>
      </c>
      <c r="H544" s="26" t="str">
        <f>IF(LEFT(I544,4)="JK13","PULWAMA",IF(LEFT(I544,4)="JK01","SRINAGAR",IF(LEFT(I544,4)="JK04","BUDGAM",IF(LEFT(I544,4)="JK03","ANANTNAG",IF(LEFT(I544,4)="JK05","BARAMULLA",IF(LEFT(I544,4)="26BH","BHARAT",IF(LEFT(I544,4)="25BH","BHARAT",IF(LEFT(I544,4)="JK12","POONCH",IF(LEFT(I544,4)="JK16","GANDERBAL",IF(LEFT(I544,4)="JK18","KULGAM",IF(LEFT(I544,4)="JK22","SHOPIAN",IF(LEFT(I544,4)="JK02","JAMMU",IF(LEFT(I544,4)="JK09","KUPWARA",IF(LEFT(I544,4)="JK15","BANDIPORA",IF(LEFT(I544,4)="JK17","KISHTWAR",IF(LEFT(I544,4)="LA01","KARGIL",IF(LEFT(I544,1)="T","TEMP","NEW")))))))))))))))))</f>
        <v>SRINAGAR</v>
      </c>
      <c r="I544" s="26" t="s">
        <v>9331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>ROW()-1</f>
        <v>544</v>
      </c>
      <c r="B545" s="26" t="s">
        <v>9325</v>
      </c>
      <c r="C545" s="26" t="s">
        <v>9326</v>
      </c>
      <c r="D545" s="26" t="s">
        <v>9327</v>
      </c>
      <c r="E545" s="26" t="s">
        <v>9328</v>
      </c>
      <c r="F545" s="26" t="s">
        <v>277</v>
      </c>
      <c r="G545" s="26" t="s">
        <v>197</v>
      </c>
      <c r="H545" s="26" t="str">
        <f>IF(LEFT(I545,4)="JK13","PULWAMA",IF(LEFT(I545,4)="JK01","SRINAGAR",IF(LEFT(I545,4)="JK04","BUDGAM",IF(LEFT(I545,4)="JK03","ANANTNAG",IF(LEFT(I545,4)="JK05","BARAMULLA",IF(LEFT(I545,4)="26BH","BHARAT",IF(LEFT(I545,4)="25BH","BHARAT",IF(LEFT(I545,4)="JK12","POONCH",IF(LEFT(I545,4)="JK16","GANDERBAL",IF(LEFT(I545,4)="JK18","KULGAM",IF(LEFT(I545,4)="JK22","SHOPIAN",IF(LEFT(I545,4)="JK02","JAMMU",IF(LEFT(I545,4)="JK09","KUPWARA",IF(LEFT(I545,4)="JK15","BANDIPORA",IF(LEFT(I545,4)="JK17","KISHTWAR",IF(LEFT(I545,4)="LA01","KARGIL",IF(LEFT(I545,1)="T","TEMP","NEW")))))))))))))))))</f>
        <v>NEW</v>
      </c>
      <c r="I545" s="26" t="s">
        <v>9330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>ROW()-1</f>
        <v>545</v>
      </c>
      <c r="B546" s="26" t="s">
        <v>9332</v>
      </c>
      <c r="C546" s="26" t="s">
        <v>9337</v>
      </c>
      <c r="D546" s="26" t="s">
        <v>9338</v>
      </c>
      <c r="E546" s="26" t="s">
        <v>9339</v>
      </c>
      <c r="F546" s="26" t="s">
        <v>12</v>
      </c>
      <c r="G546" s="26" t="s">
        <v>197</v>
      </c>
      <c r="H546" s="26" t="str">
        <f>IF(LEFT(I546,4)="JK13","PULWAMA",IF(LEFT(I546,4)="JK01","SRINAGAR",IF(LEFT(I546,4)="JK04","BUDGAM",IF(LEFT(I546,4)="JK03","ANANTNAG",IF(LEFT(I546,4)="JK05","BARAMULLA",IF(LEFT(I546,4)="26BH","BHARAT",IF(LEFT(I546,4)="25BH","BHARAT",IF(LEFT(I546,4)="JK12","POONCH",IF(LEFT(I546,4)="JK16","GANDERBAL",IF(LEFT(I546,4)="JK18","KULGAM",IF(LEFT(I546,4)="JK22","SHOPIAN",IF(LEFT(I546,4)="JK02","JAMMU",IF(LEFT(I546,4)="JK09","KUPWARA",IF(LEFT(I546,4)="JK15","BANDIPORA",IF(LEFT(I546,4)="JK17","KISHTWAR",IF(LEFT(I546,4)="LA01","KARGIL",IF(LEFT(I546,1)="T","TEMP","NEW")))))))))))))))))</f>
        <v>PULWAMA</v>
      </c>
      <c r="I546" s="26" t="s">
        <v>9341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9349</v>
      </c>
    </row>
    <row r="547" spans="1:18" x14ac:dyDescent="0.25">
      <c r="A547" s="26">
        <f>ROW()-1</f>
        <v>546</v>
      </c>
      <c r="B547" s="26" t="s">
        <v>9333</v>
      </c>
      <c r="C547" s="26" t="s">
        <v>9334</v>
      </c>
      <c r="D547" s="26" t="s">
        <v>9335</v>
      </c>
      <c r="E547" s="26" t="s">
        <v>9336</v>
      </c>
      <c r="F547" s="26" t="s">
        <v>31</v>
      </c>
      <c r="G547" s="26" t="s">
        <v>197</v>
      </c>
      <c r="H547" s="26" t="str">
        <f>IF(LEFT(I547,4)="JK13","PULWAMA",IF(LEFT(I547,4)="JK01","SRINAGAR",IF(LEFT(I547,4)="JK04","BUDGAM",IF(LEFT(I547,4)="JK03","ANANTNAG",IF(LEFT(I547,4)="JK05","BARAMULLA",IF(LEFT(I547,4)="26BH","BHARAT",IF(LEFT(I547,4)="25BH","BHARAT",IF(LEFT(I547,4)="JK12","POONCH",IF(LEFT(I547,4)="JK16","GANDERBAL",IF(LEFT(I547,4)="JK18","KULGAM",IF(LEFT(I547,4)="JK22","SHOPIAN",IF(LEFT(I547,4)="JK02","JAMMU",IF(LEFT(I547,4)="JK09","KUPWARA",IF(LEFT(I547,4)="JK15","BANDIPORA",IF(LEFT(I547,4)="JK17","KISHTWAR",IF(LEFT(I547,4)="LA01","KARGIL",IF(LEFT(I547,1)="T","TEMP","NEW")))))))))))))))))</f>
        <v>POONCH</v>
      </c>
      <c r="I547" s="26" t="s">
        <v>9340</v>
      </c>
      <c r="J547" s="27">
        <v>46097</v>
      </c>
      <c r="K547" s="26">
        <v>6005959815</v>
      </c>
      <c r="L547" s="26" t="s">
        <v>7240</v>
      </c>
      <c r="M547" s="28" t="s">
        <v>9656</v>
      </c>
      <c r="N547" s="27">
        <v>46104</v>
      </c>
      <c r="O547" s="26" t="s">
        <v>9670</v>
      </c>
      <c r="P547" s="29"/>
      <c r="Q547" s="26"/>
      <c r="R547" s="26"/>
    </row>
    <row r="548" spans="1:18" x14ac:dyDescent="0.25">
      <c r="A548" s="26">
        <f>ROW()-1</f>
        <v>547</v>
      </c>
      <c r="B548" s="26" t="s">
        <v>9375</v>
      </c>
      <c r="C548" s="26" t="s">
        <v>9376</v>
      </c>
      <c r="D548" s="26" t="s">
        <v>9377</v>
      </c>
      <c r="E548" s="26" t="s">
        <v>9378</v>
      </c>
      <c r="F548" s="26" t="s">
        <v>65</v>
      </c>
      <c r="G548" s="26" t="s">
        <v>171</v>
      </c>
      <c r="H548" s="26" t="str">
        <f>IF(LEFT(I548,4)="JK13","PULWAMA",IF(LEFT(I548,4)="JK01","SRINAGAR",IF(LEFT(I548,4)="JK04","BUDGAM",IF(LEFT(I548,4)="JK03","ANANTNAG",IF(LEFT(I548,4)="JK05","BARAMULLA",IF(LEFT(I548,4)="26BH","BHARAT",IF(LEFT(I548,4)="25BH","BHARAT",IF(LEFT(I548,4)="JK12","POONCH",IF(LEFT(I548,4)="JK16","GANDERBAL",IF(LEFT(I548,4)="JK18","KULGAM",IF(LEFT(I548,4)="JK22","SHOPIAN",IF(LEFT(I548,4)="JK02","JAMMU",IF(LEFT(I548,4)="JK09","KUPWARA",IF(LEFT(I548,4)="JK15","BANDIPORA",IF(LEFT(I548,4)="JK17","KISHTWAR",IF(LEFT(I548,4)="LA01","KARGIL",IF(LEFT(I548,1)="T","TEMP","NEW")))))))))))))))))</f>
        <v>PULWAMA</v>
      </c>
      <c r="I548" s="26" t="s">
        <v>9382</v>
      </c>
      <c r="J548" s="27">
        <v>46099</v>
      </c>
      <c r="K548" s="26">
        <v>7889429043</v>
      </c>
      <c r="L548" s="26" t="s">
        <v>6515</v>
      </c>
      <c r="M548" s="28" t="s">
        <v>9654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>ROW()-1</f>
        <v>548</v>
      </c>
      <c r="B549" s="26" t="s">
        <v>9347</v>
      </c>
      <c r="C549" s="26" t="s">
        <v>9350</v>
      </c>
      <c r="D549" s="26" t="s">
        <v>9351</v>
      </c>
      <c r="E549" s="26" t="s">
        <v>1334</v>
      </c>
      <c r="F549" s="26" t="s">
        <v>122</v>
      </c>
      <c r="G549" s="26" t="s">
        <v>197</v>
      </c>
      <c r="H549" s="26" t="str">
        <f>IF(LEFT(I549,4)="JK13","PULWAMA",IF(LEFT(I549,4)="JK01","SRINAGAR",IF(LEFT(I549,4)="JK04","BUDGAM",IF(LEFT(I549,4)="JK03","ANANTNAG",IF(LEFT(I549,4)="JK05","BARAMULLA",IF(LEFT(I549,4)="26BH","BHARAT",IF(LEFT(I549,4)="25BH","BHARAT",IF(LEFT(I549,4)="JK12","POONCH",IF(LEFT(I549,4)="JK16","GANDERBAL",IF(LEFT(I549,4)="JK18","KULGAM",IF(LEFT(I549,4)="JK22","SHOPIAN",IF(LEFT(I549,4)="JK02","JAMMU",IF(LEFT(I549,4)="JK09","KUPWARA",IF(LEFT(I549,4)="JK15","BANDIPORA",IF(LEFT(I549,4)="JK17","KISHTWAR",IF(LEFT(I549,4)="LA01","KARGIL",IF(LEFT(I549,1)="T","TEMP","NEW")))))))))))))))))</f>
        <v>PULWAMA</v>
      </c>
      <c r="I549" s="26" t="s">
        <v>9369</v>
      </c>
      <c r="J549" s="27">
        <v>46099</v>
      </c>
      <c r="K549" s="26">
        <v>7780878588</v>
      </c>
      <c r="L549" s="26" t="s">
        <v>26</v>
      </c>
      <c r="M549" s="28" t="s">
        <v>9438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>ROW()-1</f>
        <v>549</v>
      </c>
      <c r="B550" s="26" t="s">
        <v>9348</v>
      </c>
      <c r="C550" s="26" t="s">
        <v>9352</v>
      </c>
      <c r="D550" s="26" t="s">
        <v>9353</v>
      </c>
      <c r="E550" s="26" t="s">
        <v>9354</v>
      </c>
      <c r="F550" s="26" t="s">
        <v>122</v>
      </c>
      <c r="G550" s="26" t="s">
        <v>196</v>
      </c>
      <c r="H550" s="26" t="str">
        <f>IF(LEFT(I550,4)="JK13","PULWAMA",IF(LEFT(I550,4)="JK01","SRINAGAR",IF(LEFT(I550,4)="JK04","BUDGAM",IF(LEFT(I550,4)="JK03","ANANTNAG",IF(LEFT(I550,4)="JK05","BARAMULLA",IF(LEFT(I550,4)="26BH","BHARAT",IF(LEFT(I550,4)="25BH","BHARAT",IF(LEFT(I550,4)="JK12","POONCH",IF(LEFT(I550,4)="JK16","GANDERBAL",IF(LEFT(I550,4)="JK18","KULGAM",IF(LEFT(I550,4)="JK22","SHOPIAN",IF(LEFT(I550,4)="JK02","JAMMU",IF(LEFT(I550,4)="JK09","KUPWARA",IF(LEFT(I550,4)="JK15","BANDIPORA",IF(LEFT(I550,4)="JK17","KISHTWAR",IF(LEFT(I550,4)="LA01","KARGIL",IF(LEFT(I550,1)="T","TEMP","NEW")))))))))))))))))</f>
        <v>PULWAMA</v>
      </c>
      <c r="I550" s="26" t="s">
        <v>9368</v>
      </c>
      <c r="J550" s="27">
        <v>46099</v>
      </c>
      <c r="K550" s="26">
        <v>7780915118</v>
      </c>
      <c r="L550" s="26" t="s">
        <v>26</v>
      </c>
      <c r="M550" s="28" t="s">
        <v>9782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>ROW()-1</f>
        <v>550</v>
      </c>
      <c r="B551" s="26" t="s">
        <v>9356</v>
      </c>
      <c r="C551" s="26" t="s">
        <v>9357</v>
      </c>
      <c r="D551" s="26" t="s">
        <v>9358</v>
      </c>
      <c r="E551" s="26" t="s">
        <v>9359</v>
      </c>
      <c r="F551" s="26" t="s">
        <v>116</v>
      </c>
      <c r="G551" s="26" t="s">
        <v>197</v>
      </c>
      <c r="H551" s="26" t="str">
        <f>IF(LEFT(I551,4)="JK13","PULWAMA",IF(LEFT(I551,4)="JK01","SRINAGAR",IF(LEFT(I551,4)="JK04","BUDGAM",IF(LEFT(I551,4)="JK03","ANANTNAG",IF(LEFT(I551,4)="JK05","BARAMULLA",IF(LEFT(I551,4)="26BH","BHARAT",IF(LEFT(I551,4)="25BH","BHARAT",IF(LEFT(I551,4)="JK12","POONCH",IF(LEFT(I551,4)="JK16","GANDERBAL",IF(LEFT(I551,4)="JK18","KULGAM",IF(LEFT(I551,4)="JK22","SHOPIAN",IF(LEFT(I551,4)="JK02","JAMMU",IF(LEFT(I551,4)="JK09","KUPWARA",IF(LEFT(I551,4)="JK15","BANDIPORA",IF(LEFT(I551,4)="JK17","KISHTWAR",IF(LEFT(I551,4)="LA01","KARGIL",IF(LEFT(I551,1)="T","TEMP","NEW")))))))))))))))))</f>
        <v>SRINAGAR</v>
      </c>
      <c r="I551" s="26" t="s">
        <v>9370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>ROW()-1</f>
        <v>551</v>
      </c>
      <c r="B552" s="26" t="s">
        <v>9364</v>
      </c>
      <c r="C552" s="26" t="s">
        <v>9360</v>
      </c>
      <c r="D552" s="26" t="s">
        <v>9361</v>
      </c>
      <c r="E552" s="26" t="s">
        <v>9362</v>
      </c>
      <c r="F552" s="26" t="s">
        <v>98</v>
      </c>
      <c r="G552" s="26" t="s">
        <v>197</v>
      </c>
      <c r="H552" s="26" t="str">
        <f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16","GANDERBAL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)</f>
        <v>KUPWARA</v>
      </c>
      <c r="I552" s="26" t="s">
        <v>9379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>ROW()-1</f>
        <v>552</v>
      </c>
      <c r="B553" s="26" t="s">
        <v>9363</v>
      </c>
      <c r="C553" s="26" t="s">
        <v>9365</v>
      </c>
      <c r="D553" s="26" t="s">
        <v>9366</v>
      </c>
      <c r="E553" s="26" t="s">
        <v>9367</v>
      </c>
      <c r="F553" s="26" t="s">
        <v>98</v>
      </c>
      <c r="G553" s="26" t="s">
        <v>197</v>
      </c>
      <c r="H553" s="26" t="str">
        <f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16","GANDERBAL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)</f>
        <v>KUPWARA</v>
      </c>
      <c r="I553" s="26" t="s">
        <v>9380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>ROW()-1</f>
        <v>553</v>
      </c>
      <c r="B554" s="26" t="s">
        <v>9371</v>
      </c>
      <c r="C554" s="26" t="s">
        <v>9372</v>
      </c>
      <c r="D554" s="26" t="s">
        <v>9373</v>
      </c>
      <c r="E554" s="26" t="s">
        <v>9374</v>
      </c>
      <c r="F554" s="26" t="s">
        <v>246</v>
      </c>
      <c r="G554" s="26" t="s">
        <v>171</v>
      </c>
      <c r="H554" s="26" t="str">
        <f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SRINAGAR</v>
      </c>
      <c r="I554" s="26" t="s">
        <v>9381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>ROW()-1</f>
        <v>554</v>
      </c>
      <c r="B555" s="26" t="s">
        <v>9383</v>
      </c>
      <c r="C555" s="26" t="s">
        <v>9384</v>
      </c>
      <c r="D555" s="26" t="s">
        <v>9385</v>
      </c>
      <c r="E555" s="26" t="s">
        <v>9386</v>
      </c>
      <c r="F555" s="26" t="s">
        <v>116</v>
      </c>
      <c r="G555" s="26" t="s">
        <v>172</v>
      </c>
      <c r="H555" s="26" t="str">
        <f>IF(LEFT(I555,4)="JK13","PULWAMA",IF(LEFT(I555,4)="JK01","SRINAGAR",IF(LEFT(I555,4)="JK04","BUDGAM",IF(LEFT(I555,4)="JK03","ANANTNAG",IF(LEFT(I555,4)="JK05","BARAMULLA",IF(LEFT(I555,4)="26BH","BHARAT",IF(LEFT(I555,4)="25BH","BHARAT",IF(LEFT(I555,4)="JK12","POONCH",IF(LEFT(I555,4)="JK16","GANDERBAL",IF(LEFT(I555,4)="JK18","KULGAM",IF(LEFT(I555,4)="JK22","SHOPIAN",IF(LEFT(I555,4)="JK02","JAMMU",IF(LEFT(I555,4)="JK09","KUPWARA",IF(LEFT(I555,4)="JK15","BANDIPORA",IF(LEFT(I555,4)="JK17","KISHTWAR",IF(LEFT(I555,4)="LA01","KARGIL",IF(LEFT(I555,1)="T","TEMP","NEW")))))))))))))))))</f>
        <v>SRINAGAR</v>
      </c>
      <c r="I555" s="26" t="s">
        <v>9387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>ROW()-1</f>
        <v>555</v>
      </c>
      <c r="B556" s="26" t="s">
        <v>9396</v>
      </c>
      <c r="C556" s="26" t="s">
        <v>9397</v>
      </c>
      <c r="D556" s="26" t="s">
        <v>9398</v>
      </c>
      <c r="E556" s="26" t="s">
        <v>9399</v>
      </c>
      <c r="F556" s="26" t="s">
        <v>116</v>
      </c>
      <c r="G556" s="26" t="s">
        <v>197</v>
      </c>
      <c r="H556" s="26" t="str">
        <f>IF(LEFT(I556,4)="JK13","PULWAMA",IF(LEFT(I556,4)="JK01","SRINAGAR",IF(LEFT(I556,4)="JK04","BUDGAM",IF(LEFT(I556,4)="JK03","ANANTNAG",IF(LEFT(I556,4)="JK05","BARAMULLA",IF(LEFT(I556,4)="26BH","BHARAT",IF(LEFT(I556,4)="25BH","BHARAT",IF(LEFT(I556,4)="JK12","POONCH",IF(LEFT(I556,4)="JK16","GANDERBAL",IF(LEFT(I556,4)="JK18","KULGAM",IF(LEFT(I556,4)="JK22","SHOPIAN",IF(LEFT(I556,4)="JK02","JAMMU",IF(LEFT(I556,4)="JK09","KUPWARA",IF(LEFT(I556,4)="JK15","BANDIPORA",IF(LEFT(I556,4)="JK17","KISHTWAR",IF(LEFT(I556,4)="LA01","KARGIL",IF(LEFT(I556,1)="T","TEMP","NEW")))))))))))))))))</f>
        <v>PULWAMA</v>
      </c>
      <c r="I556" s="26" t="s">
        <v>9409</v>
      </c>
      <c r="J556" s="27">
        <v>46100</v>
      </c>
      <c r="K556" s="26">
        <v>9149694089</v>
      </c>
      <c r="L556" s="26" t="s">
        <v>6515</v>
      </c>
      <c r="M556" s="28" t="s">
        <v>9903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>ROW()-1</f>
        <v>556</v>
      </c>
      <c r="B557" s="26" t="s">
        <v>9400</v>
      </c>
      <c r="C557" s="26" t="s">
        <v>9401</v>
      </c>
      <c r="D557" s="26" t="s">
        <v>9402</v>
      </c>
      <c r="E557" s="26" t="s">
        <v>9403</v>
      </c>
      <c r="F557" s="26" t="s">
        <v>5</v>
      </c>
      <c r="G557" s="26" t="s">
        <v>196</v>
      </c>
      <c r="H557" s="26" t="str">
        <f>IF(LEFT(I557,4)="JK13","PULWAMA",IF(LEFT(I557,4)="JK01","SRINAGAR",IF(LEFT(I557,4)="JK04","BUDGAM",IF(LEFT(I557,4)="JK03","ANANTNAG",IF(LEFT(I557,4)="JK05","BARAMULLA",IF(LEFT(I557,4)="26BH","BHARAT",IF(LEFT(I557,4)="25BH","BHARAT",IF(LEFT(I557,4)="JK12","POONCH",IF(LEFT(I557,4)="JK16","GANDERBAL",IF(LEFT(I557,4)="JK18","KULGAM",IF(LEFT(I557,4)="JK22","SHOPIAN",IF(LEFT(I557,4)="JK02","JAMMU",IF(LEFT(I557,4)="JK09","KUPWARA",IF(LEFT(I557,4)="JK15","BANDIPORA",IF(LEFT(I557,4)="JK17","KISHTWAR",IF(LEFT(I557,4)="LA01","KARGIL",IF(LEFT(I557,1)="T","TEMP","NEW")))))))))))))))))</f>
        <v>BUDGAM</v>
      </c>
      <c r="I557" s="26" t="s">
        <v>9408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>ROW()-1</f>
        <v>557</v>
      </c>
      <c r="B558" s="26" t="s">
        <v>9407</v>
      </c>
      <c r="C558" s="26" t="s">
        <v>9405</v>
      </c>
      <c r="D558" s="26" t="s">
        <v>9406</v>
      </c>
      <c r="E558" s="26" t="s">
        <v>9404</v>
      </c>
      <c r="F558" s="26" t="s">
        <v>12</v>
      </c>
      <c r="G558" s="26" t="s">
        <v>171</v>
      </c>
      <c r="H558" s="26" t="str">
        <f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0" t="s">
        <v>9430</v>
      </c>
      <c r="J558" s="27">
        <v>46100</v>
      </c>
      <c r="K558" s="26">
        <v>9596324743</v>
      </c>
      <c r="L558" s="26" t="s">
        <v>7240</v>
      </c>
      <c r="M558" s="28" t="s">
        <v>9656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>ROW()-1</f>
        <v>558</v>
      </c>
      <c r="B559" s="26" t="s">
        <v>9413</v>
      </c>
      <c r="C559" s="26" t="s">
        <v>9414</v>
      </c>
      <c r="D559" s="26" t="s">
        <v>9415</v>
      </c>
      <c r="E559" s="26" t="s">
        <v>9416</v>
      </c>
      <c r="F559" s="26" t="s">
        <v>65</v>
      </c>
      <c r="G559" s="26" t="s">
        <v>197</v>
      </c>
      <c r="H559" s="26" t="str">
        <f>IF(LEFT(I559,4)="JK13","PULWAMA",IF(LEFT(I559,4)="JK01","SRINAGAR",IF(LEFT(I559,4)="JK04","BUDGAM",IF(LEFT(I559,4)="JK03","ANANTNAG",IF(LEFT(I559,4)="JK05","BARAMULLA",IF(LEFT(I559,4)="26BH","BHARAT",IF(LEFT(I559,4)="25BH","BHARAT",IF(LEFT(I559,4)="JK12","POONCH",IF(LEFT(I559,4)="JK16","GANDERBAL",IF(LEFT(I559,4)="JK18","KULGAM",IF(LEFT(I559,4)="JK22","SHOPIAN",IF(LEFT(I559,4)="JK02","JAMMU",IF(LEFT(I559,4)="JK09","KUPWARA",IF(LEFT(I559,4)="JK15","BANDIPORA",IF(LEFT(I559,4)="JK17","KISHTWAR",IF(LEFT(I559,4)="LA01","KARGIL",IF(LEFT(I559,1)="T","TEMP","NEW")))))))))))))))))</f>
        <v>SRINAGAR</v>
      </c>
      <c r="I559" s="26" t="s">
        <v>9426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>ROW()-1</f>
        <v>559</v>
      </c>
      <c r="B560" s="26" t="s">
        <v>9421</v>
      </c>
      <c r="C560" s="26" t="s">
        <v>9418</v>
      </c>
      <c r="D560" s="26" t="s">
        <v>9419</v>
      </c>
      <c r="E560" s="26" t="s">
        <v>9420</v>
      </c>
      <c r="F560" s="26" t="s">
        <v>286</v>
      </c>
      <c r="G560" s="26" t="s">
        <v>172</v>
      </c>
      <c r="H560" s="26" t="str">
        <f>IF(LEFT(I560,4)="JK13","PULWAMA",IF(LEFT(I560,4)="JK01","SRINAGAR",IF(LEFT(I560,4)="JK04","BUDGAM",IF(LEFT(I560,4)="JK03","ANANTNAG",IF(LEFT(I560,4)="JK05","BARAMULLA",IF(LEFT(I560,4)="26BH","BHARAT",IF(LEFT(I560,4)="25BH","BHARAT",IF(LEFT(I560,4)="JK12","POONCH",IF(LEFT(I560,4)="JK16","GANDERBAL",IF(LEFT(I560,4)="JK18","KULGAM",IF(LEFT(I560,4)="JK22","SHOPIAN",IF(LEFT(I560,4)="JK02","JAMMU",IF(LEFT(I560,4)="JK09","KUPWARA",IF(LEFT(I560,4)="JK15","BANDIPORA",IF(LEFT(I560,4)="JK17","KISHTWAR",IF(LEFT(I560,4)="LA01","KARGIL",IF(LEFT(I560,1)="T","TEMP","NEW")))))))))))))))))</f>
        <v>SRINAGAR</v>
      </c>
      <c r="I560" s="26" t="s">
        <v>9427</v>
      </c>
      <c r="J560" s="27">
        <v>46100</v>
      </c>
      <c r="K560" s="26">
        <v>9419077006</v>
      </c>
      <c r="L560" s="26" t="s">
        <v>42</v>
      </c>
      <c r="M560" s="28" t="s">
        <v>9451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>ROW()-1</f>
        <v>560</v>
      </c>
      <c r="B561" s="26" t="s">
        <v>9437</v>
      </c>
      <c r="C561" s="26" t="s">
        <v>9433</v>
      </c>
      <c r="D561" s="26" t="s">
        <v>9434</v>
      </c>
      <c r="E561" s="26" t="s">
        <v>9435</v>
      </c>
      <c r="F561" s="26" t="s">
        <v>940</v>
      </c>
      <c r="G561" s="26" t="s">
        <v>171</v>
      </c>
      <c r="H561" s="26" t="str">
        <f>IF(LEFT(I561,4)="JK13","PULWAMA",IF(LEFT(I561,4)="JK01","SRINAGAR",IF(LEFT(I561,4)="JK04","BUDGAM",IF(LEFT(I561,4)="JK03","ANANTNAG",IF(LEFT(I561,4)="JK05","BARAMULLA",IF(LEFT(I561,4)="26BH","BHARAT",IF(LEFT(I561,4)="25BH","BHARAT",IF(LEFT(I561,4)="JK12","POONCH",IF(LEFT(I561,4)="JK16","GANDERBAL",IF(LEFT(I561,4)="JK18","KULGAM",IF(LEFT(I561,4)="JK22","SHOPIAN",IF(LEFT(I561,4)="JK02","JAMMU",IF(LEFT(I561,4)="JK09","KUPWARA",IF(LEFT(I561,4)="JK15","BANDIPORA",IF(LEFT(I561,4)="JK17","KISHTWAR",IF(LEFT(I561,4)="LA01","KARGIL",IF(LEFT(I561,1)="T","TEMP","NEW")))))))))))))))))</f>
        <v>SRINAGAR</v>
      </c>
      <c r="I561" s="26" t="s">
        <v>9436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>ROW()-1</f>
        <v>561</v>
      </c>
      <c r="B562" s="26" t="s">
        <v>9439</v>
      </c>
      <c r="C562" s="26" t="s">
        <v>9440</v>
      </c>
      <c r="D562" s="26" t="s">
        <v>9441</v>
      </c>
      <c r="E562" s="26" t="s">
        <v>3750</v>
      </c>
      <c r="F562" s="26" t="s">
        <v>5</v>
      </c>
      <c r="G562" s="26" t="s">
        <v>196</v>
      </c>
      <c r="H562" s="26" t="str">
        <f>IF(LEFT(I562,4)="JK13","PULWAMA",IF(LEFT(I562,4)="JK01","SRINAGAR",IF(LEFT(I562,4)="JK04","BUDGAM",IF(LEFT(I562,4)="JK03","ANANTNAG",IF(LEFT(I562,4)="JK05","BARAMULLA",IF(LEFT(I562,4)="26BH","BHARAT",IF(LEFT(I562,4)="25BH","BHARAT",IF(LEFT(I562,4)="JK12","POONCH",IF(LEFT(I562,4)="JK16","GANDERBAL",IF(LEFT(I562,4)="JK18","KULGAM",IF(LEFT(I562,4)="JK22","SHOPIAN",IF(LEFT(I562,4)="JK02","JAMMU",IF(LEFT(I562,4)="JK09","KUPWARA",IF(LEFT(I562,4)="JK15","BANDIPORA",IF(LEFT(I562,4)="JK17","KISHTWAR",IF(LEFT(I562,4)="LA01","KARGIL",IF(LEFT(I562,1)="T","TEMP","NEW")))))))))))))))))</f>
        <v>BARAMULLA</v>
      </c>
      <c r="I562" s="26" t="s">
        <v>9442</v>
      </c>
      <c r="J562" s="27">
        <v>46100</v>
      </c>
      <c r="K562" s="26">
        <v>9596034776</v>
      </c>
      <c r="L562" s="26" t="s">
        <v>7240</v>
      </c>
      <c r="M562" s="28" t="s">
        <v>9656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>ROW()-1</f>
        <v>562</v>
      </c>
      <c r="B563" s="26" t="s">
        <v>9410</v>
      </c>
      <c r="C563" s="26" t="s">
        <v>9411</v>
      </c>
      <c r="D563" s="26" t="s">
        <v>9412</v>
      </c>
      <c r="E563" s="26" t="s">
        <v>1791</v>
      </c>
      <c r="F563" s="26" t="s">
        <v>12</v>
      </c>
      <c r="G563" s="26" t="s">
        <v>197</v>
      </c>
      <c r="H563" s="26" t="str">
        <f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PULWAMA</v>
      </c>
      <c r="I563" s="26" t="s">
        <v>9429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>ROW()-1</f>
        <v>563</v>
      </c>
      <c r="B564" s="26" t="s">
        <v>9422</v>
      </c>
      <c r="C564" s="26" t="s">
        <v>9423</v>
      </c>
      <c r="D564" s="26" t="s">
        <v>9424</v>
      </c>
      <c r="E564" s="26" t="s">
        <v>9425</v>
      </c>
      <c r="F564" s="26" t="s">
        <v>116</v>
      </c>
      <c r="G564" s="26" t="s">
        <v>197</v>
      </c>
      <c r="H564" s="26" t="str">
        <f>IF(LEFT(I564,4)="JK13","PULWAMA",IF(LEFT(I564,4)="JK01","SRINAGAR",IF(LEFT(I564,4)="JK04","BUDGAM",IF(LEFT(I564,4)="JK03","ANANTNAG",IF(LEFT(I564,4)="JK05","BARAMULLA",IF(LEFT(I564,4)="26BH","BHARAT",IF(LEFT(I564,4)="25BH","BHARAT",IF(LEFT(I564,4)="JK12","POONCH",IF(LEFT(I564,4)="JK16","GANDERBAL",IF(LEFT(I564,4)="JK18","KULGAM",IF(LEFT(I564,4)="JK22","SHOPIAN",IF(LEFT(I564,4)="JK02","JAMMU",IF(LEFT(I564,4)="JK09","KUPWARA",IF(LEFT(I564,4)="JK15","BANDIPORA",IF(LEFT(I564,4)="JK17","KISHTWAR",IF(LEFT(I564,4)="LA01","KARGIL",IF(LEFT(I564,1)="T","TEMP","NEW")))))))))))))))))</f>
        <v>PULWAMA</v>
      </c>
      <c r="I564" s="26" t="s">
        <v>9428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>ROW()-1</f>
        <v>564</v>
      </c>
      <c r="B565" s="26" t="s">
        <v>9447</v>
      </c>
      <c r="C565" s="26" t="s">
        <v>9448</v>
      </c>
      <c r="D565" s="26" t="s">
        <v>9449</v>
      </c>
      <c r="E565" s="26" t="s">
        <v>9450</v>
      </c>
      <c r="F565" s="26" t="s">
        <v>31</v>
      </c>
      <c r="G565" s="26" t="s">
        <v>218</v>
      </c>
      <c r="H565" s="26" t="str">
        <f>IF(LEFT(I565,4)="JK13","PULWAMA",IF(LEFT(I565,4)="JK01","SRINAGAR",IF(LEFT(I565,4)="JK04","BUDGAM",IF(LEFT(I565,4)="JK03","ANANTNAG",IF(LEFT(I565,4)="JK05","BARAMULLA",IF(LEFT(I565,4)="26BH","BHARAT",IF(LEFT(I565,4)="25BH","BHARAT",IF(LEFT(I565,4)="JK12","POONCH",IF(LEFT(I565,4)="JK16","GANDERBAL",IF(LEFT(I565,4)="JK18","KULGAM",IF(LEFT(I565,4)="JK22","SHOPIAN",IF(LEFT(I565,4)="JK02","JAMMU",IF(LEFT(I565,4)="JK09","KUPWARA",IF(LEFT(I565,4)="JK15","BANDIPORA",IF(LEFT(I565,4)="JK17","KISHTWAR",IF(LEFT(I565,4)="LA01","KARGIL",IF(LEFT(I565,1)="T","TEMP","NEW")))))))))))))))))</f>
        <v>PULWAMA</v>
      </c>
      <c r="I565" s="26" t="s">
        <v>9452</v>
      </c>
      <c r="J565" s="27">
        <v>46104</v>
      </c>
      <c r="K565" s="26">
        <v>9541664021</v>
      </c>
      <c r="L565" s="26" t="s">
        <v>6515</v>
      </c>
      <c r="M565" s="28" t="s">
        <v>9654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>ROW()-1</f>
        <v>565</v>
      </c>
      <c r="B566" s="26" t="s">
        <v>9453</v>
      </c>
      <c r="C566" s="26" t="s">
        <v>9454</v>
      </c>
      <c r="D566" s="26" t="s">
        <v>9455</v>
      </c>
      <c r="E566" s="26" t="s">
        <v>9456</v>
      </c>
      <c r="F566" s="26" t="s">
        <v>12</v>
      </c>
      <c r="G566" s="26" t="s">
        <v>178</v>
      </c>
      <c r="H566" s="26" t="str">
        <f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6" t="s">
        <v>9462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>ROW()-1</f>
        <v>566</v>
      </c>
      <c r="B567" s="26" t="s">
        <v>9457</v>
      </c>
      <c r="C567" s="26" t="s">
        <v>9458</v>
      </c>
      <c r="D567" s="26" t="s">
        <v>9459</v>
      </c>
      <c r="E567" s="26" t="s">
        <v>9460</v>
      </c>
      <c r="F567" s="26" t="s">
        <v>5</v>
      </c>
      <c r="G567" s="26" t="s">
        <v>196</v>
      </c>
      <c r="H567" s="26" t="str">
        <f>IF(LEFT(I567,4)="JK13","PULWAMA",IF(LEFT(I567,4)="JK01","SRINAGAR",IF(LEFT(I567,4)="JK04","BUDGAM",IF(LEFT(I567,4)="JK03","ANANTNAG",IF(LEFT(I567,4)="JK05","BARAMULLA",IF(LEFT(I567,4)="26BH","BHARAT",IF(LEFT(I567,4)="25BH","BHARAT",IF(LEFT(I567,4)="JK12","POONCH",IF(LEFT(I567,4)="JK16","GANDERBAL",IF(LEFT(I567,4)="JK18","KULGAM",IF(LEFT(I567,4)="JK22","SHOPIAN",IF(LEFT(I567,4)="JK02","JAMMU",IF(LEFT(I567,4)="JK09","KUPWARA",IF(LEFT(I567,4)="JK15","BANDIPORA",IF(LEFT(I567,4)="JK17","KISHTWAR",IF(LEFT(I567,4)="LA01","KARGIL",IF(LEFT(I567,1)="T","TEMP","NEW")))))))))))))))))</f>
        <v>PULWAMA</v>
      </c>
      <c r="I567" s="26" t="s">
        <v>9461</v>
      </c>
      <c r="J567" s="27">
        <v>46104</v>
      </c>
      <c r="K567" s="26">
        <v>9596989605</v>
      </c>
      <c r="L567" s="26" t="s">
        <v>26</v>
      </c>
      <c r="M567" s="28" t="s">
        <v>9788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>ROW()-1</f>
        <v>567</v>
      </c>
      <c r="B568" s="26" t="s">
        <v>9478</v>
      </c>
      <c r="C568" s="26" t="s">
        <v>9475</v>
      </c>
      <c r="D568" s="26" t="s">
        <v>9476</v>
      </c>
      <c r="E568" s="26" t="s">
        <v>9477</v>
      </c>
      <c r="F568" s="26" t="s">
        <v>5</v>
      </c>
      <c r="G568" s="26" t="s">
        <v>197</v>
      </c>
      <c r="H568" s="26" t="str">
        <f>IF(LEFT(I568,4)="JK13","PULWAMA",IF(LEFT(I568,4)="JK01","SRINAGAR",IF(LEFT(I568,4)="JK04","BUDGAM",IF(LEFT(I568,4)="JK03","ANANTNAG",IF(LEFT(I568,4)="JK05","BARAMULLA",IF(LEFT(I568,4)="26BH","BHARAT",IF(LEFT(I568,4)="25BH","BHARAT",IF(LEFT(I568,4)="JK12","POONCH",IF(LEFT(I568,4)="JK16","GANDERBAL",IF(LEFT(I568,4)="JK18","KULGAM",IF(LEFT(I568,4)="JK22","SHOPIAN",IF(LEFT(I568,4)="JK02","JAMMU",IF(LEFT(I568,4)="JK09","KUPWARA",IF(LEFT(I568,4)="JK15","BANDIPORA",IF(LEFT(I568,4)="JK17","KISHTWAR",IF(LEFT(I568,4)="LA01","KARGIL",IF(LEFT(I568,1)="T","TEMP","NEW")))))))))))))))))</f>
        <v>PULWAMA</v>
      </c>
      <c r="I568" s="26" t="s">
        <v>9479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>ROW()-1</f>
        <v>568</v>
      </c>
      <c r="B569" s="26" t="s">
        <v>9470</v>
      </c>
      <c r="C569" s="26" t="s">
        <v>9471</v>
      </c>
      <c r="D569" s="26" t="s">
        <v>9472</v>
      </c>
      <c r="E569" s="26" t="s">
        <v>9473</v>
      </c>
      <c r="F569" s="26" t="s">
        <v>190</v>
      </c>
      <c r="G569" s="26" t="s">
        <v>196</v>
      </c>
      <c r="H569" s="26" t="str">
        <f>IF(LEFT(I569,4)="JK13","PULWAMA",IF(LEFT(I569,4)="JK01","SRINAGAR",IF(LEFT(I569,4)="JK04","BUDGAM",IF(LEFT(I569,4)="JK03","ANANTNAG",IF(LEFT(I569,4)="JK05","BARAMULLA",IF(LEFT(I569,4)="26BH","BHARAT",IF(LEFT(I569,4)="25BH","BHARAT",IF(LEFT(I569,4)="JK12","POONCH",IF(LEFT(I569,4)="JK16","GANDERBAL",IF(LEFT(I569,4)="JK18","KULGAM",IF(LEFT(I569,4)="JK22","SHOPIAN",IF(LEFT(I569,4)="JK02","JAMMU",IF(LEFT(I569,4)="JK09","KUPWARA",IF(LEFT(I569,4)="JK15","BANDIPORA",IF(LEFT(I569,4)="JK17","KISHTWAR",IF(LEFT(I569,4)="LA01","KARGIL",IF(LEFT(I569,1)="T","TEMP","NEW")))))))))))))))))</f>
        <v>SRINAGAR</v>
      </c>
      <c r="I569" s="26" t="s">
        <v>9474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>ROW()-1</f>
        <v>569</v>
      </c>
      <c r="B570" s="26" t="s">
        <v>9491</v>
      </c>
      <c r="C570" s="26" t="s">
        <v>9483</v>
      </c>
      <c r="D570" s="26" t="s">
        <v>9484</v>
      </c>
      <c r="E570" s="26" t="s">
        <v>9485</v>
      </c>
      <c r="F570" s="26" t="s">
        <v>845</v>
      </c>
      <c r="G570" s="26" t="s">
        <v>171</v>
      </c>
      <c r="H570" s="26" t="str">
        <f>IF(LEFT(I570,4)="JK13","PULWAMA",IF(LEFT(I570,4)="JK01","SRINAGAR",IF(LEFT(I570,4)="JK04","BUDGAM",IF(LEFT(I570,4)="JK03","ANANTNAG",IF(LEFT(I570,4)="JK05","BARAMULLA",IF(LEFT(I570,4)="26BH","BHARAT",IF(LEFT(I570,4)="25BH","BHARAT",IF(LEFT(I570,4)="JK12","POONCH",IF(LEFT(I570,4)="JK16","GANDERBAL",IF(LEFT(I570,4)="JK18","KULGAM",IF(LEFT(I570,4)="JK22","SHOPIAN",IF(LEFT(I570,4)="JK02","JAMMU",IF(LEFT(I570,4)="JK09","KUPWARA",IF(LEFT(I570,4)="JK15","BANDIPORA",IF(LEFT(I570,4)="JK17","KISHTWAR",IF(LEFT(I570,4)="LA01","KARGIL",IF(LEFT(I570,1)="T","TEMP","NEW")))))))))))))))))</f>
        <v>SRINAGAR</v>
      </c>
      <c r="I570" s="26" t="s">
        <v>9486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>ROW()-1</f>
        <v>570</v>
      </c>
      <c r="B571" s="26" t="s">
        <v>9492</v>
      </c>
      <c r="C571" s="26" t="s">
        <v>9487</v>
      </c>
      <c r="D571" s="26" t="s">
        <v>9489</v>
      </c>
      <c r="E571" s="26" t="s">
        <v>9488</v>
      </c>
      <c r="F571" s="26" t="s">
        <v>98</v>
      </c>
      <c r="G571" s="26" t="s">
        <v>178</v>
      </c>
      <c r="H571" s="26" t="str">
        <f>IF(LEFT(I571,4)="JK13","PULWAMA",IF(LEFT(I571,4)="JK01","SRINAGAR",IF(LEFT(I571,4)="JK04","BUDGAM",IF(LEFT(I571,4)="JK03","ANANTNAG",IF(LEFT(I571,4)="JK05","BARAMULLA",IF(LEFT(I571,4)="26BH","BHARAT",IF(LEFT(I571,4)="25BH","BHARAT",IF(LEFT(I571,4)="JK12","POONCH",IF(LEFT(I571,4)="JK16","GANDERBAL",IF(LEFT(I571,4)="JK18","KULGAM",IF(LEFT(I571,4)="JK22","SHOPIAN",IF(LEFT(I571,4)="JK02","JAMMU",IF(LEFT(I571,4)="JK09","KUPWARA",IF(LEFT(I571,4)="JK15","BANDIPORA",IF(LEFT(I571,4)="JK17","KISHTWAR",IF(LEFT(I571,4)="LA01","KARGIL",IF(LEFT(I571,1)="T","TEMP","NEW")))))))))))))))))</f>
        <v>SRINAGAR</v>
      </c>
      <c r="I571" s="26" t="s">
        <v>9490</v>
      </c>
      <c r="J571" s="27">
        <v>46105</v>
      </c>
      <c r="K571" s="26">
        <v>7780922014</v>
      </c>
      <c r="L571" s="26" t="s">
        <v>7240</v>
      </c>
      <c r="M571" s="28" t="s">
        <v>9656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>ROW()-1</f>
        <v>571</v>
      </c>
      <c r="B572" s="26" t="s">
        <v>9504</v>
      </c>
      <c r="C572" s="26" t="s">
        <v>9499</v>
      </c>
      <c r="D572" s="26" t="s">
        <v>9500</v>
      </c>
      <c r="E572" s="26" t="s">
        <v>9501</v>
      </c>
      <c r="F572" s="26" t="s">
        <v>9502</v>
      </c>
      <c r="G572" s="26" t="s">
        <v>9503</v>
      </c>
      <c r="H572" s="26" t="str">
        <f>IF(LEFT(I572,4)="JK13","PULWAMA",IF(LEFT(I572,4)="JK01","SRINAGAR",IF(LEFT(I572,4)="JK04","BUDGAM",IF(LEFT(I572,4)="JK03","ANANTNAG",IF(LEFT(I572,4)="JK05","BARAMULLA",IF(LEFT(I572,4)="26BH","BHARAT",IF(LEFT(I572,4)="25BH","BHARAT",IF(LEFT(I572,4)="JK12","POONCH",IF(LEFT(I572,4)="JK16","GANDERBAL",IF(LEFT(I572,4)="JK18","KULGAM",IF(LEFT(I572,4)="JK22","SHOPIAN",IF(LEFT(I572,4)="JK02","JAMMU",IF(LEFT(I572,4)="JK09","KUPWARA",IF(LEFT(I572,4)="JK15","BANDIPORA",IF(LEFT(I572,4)="JK17","KISHTWAR",IF(LEFT(I572,4)="LA01","KARGIL",IF(LEFT(I572,1)="T","TEMP","NEW")))))))))))))))))</f>
        <v>SRINAGAR</v>
      </c>
      <c r="I572" s="26" t="s">
        <v>9505</v>
      </c>
      <c r="J572" s="27">
        <v>46106</v>
      </c>
      <c r="K572" s="26">
        <v>8899807800</v>
      </c>
      <c r="L572" s="26" t="s">
        <v>6446</v>
      </c>
      <c r="M572" s="28" t="s">
        <v>9635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>ROW()-1</f>
        <v>572</v>
      </c>
      <c r="B573" s="26" t="s">
        <v>9494</v>
      </c>
      <c r="C573" s="26" t="s">
        <v>9495</v>
      </c>
      <c r="D573" s="26" t="s">
        <v>9496</v>
      </c>
      <c r="E573" s="26" t="s">
        <v>9497</v>
      </c>
      <c r="F573" s="26" t="s">
        <v>116</v>
      </c>
      <c r="G573" s="26" t="s">
        <v>197</v>
      </c>
      <c r="H573" s="26" t="str">
        <f>IF(LEFT(I573,4)="JK13","PULWAMA",IF(LEFT(I573,4)="JK01","SRINAGAR",IF(LEFT(I573,4)="JK04","BUDGAM",IF(LEFT(I573,4)="JK03","ANANTNAG",IF(LEFT(I573,4)="JK05","BARAMULLA",IF(LEFT(I573,4)="26BH","BHARAT",IF(LEFT(I573,4)="25BH","BHARAT",IF(LEFT(I573,4)="JK12","POONCH",IF(LEFT(I573,4)="JK16","GANDERBAL",IF(LEFT(I573,4)="JK18","KULGAM",IF(LEFT(I573,4)="JK22","SHOPIAN",IF(LEFT(I573,4)="JK02","JAMMU",IF(LEFT(I573,4)="JK09","KUPWARA",IF(LEFT(I573,4)="JK15","BANDIPORA",IF(LEFT(I573,4)="JK17","KISHTWAR",IF(LEFT(I573,4)="LA01","KARGIL",IF(LEFT(I573,1)="T","TEMP","NEW")))))))))))))))))</f>
        <v>BUDGAM</v>
      </c>
      <c r="I573" s="26" t="s">
        <v>9498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>ROW()-1</f>
        <v>573</v>
      </c>
      <c r="B574" s="26" t="s">
        <v>9510</v>
      </c>
      <c r="C574" s="26" t="s">
        <v>9506</v>
      </c>
      <c r="D574" s="26" t="s">
        <v>9507</v>
      </c>
      <c r="E574" s="26" t="s">
        <v>9508</v>
      </c>
      <c r="F574" s="26" t="s">
        <v>36</v>
      </c>
      <c r="G574" s="26" t="s">
        <v>196</v>
      </c>
      <c r="H574" s="26" t="str">
        <f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6" t="s">
        <v>9509</v>
      </c>
      <c r="J574" s="27">
        <v>46106</v>
      </c>
      <c r="K574" s="26">
        <v>6005105292</v>
      </c>
      <c r="L574" s="26" t="s">
        <v>68</v>
      </c>
      <c r="M574" s="28" t="s">
        <v>9750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>ROW()-1</f>
        <v>574</v>
      </c>
      <c r="B575" s="26" t="s">
        <v>9514</v>
      </c>
      <c r="C575" s="26" t="s">
        <v>9511</v>
      </c>
      <c r="D575" s="26" t="s">
        <v>9512</v>
      </c>
      <c r="E575" s="26" t="s">
        <v>9513</v>
      </c>
      <c r="F575" s="26" t="s">
        <v>12</v>
      </c>
      <c r="G575" s="26" t="s">
        <v>178</v>
      </c>
      <c r="H575" s="26" t="str">
        <f>IF(LEFT(I575,4)="JK13","PULWAMA",IF(LEFT(I575,4)="JK01","SRINAGAR",IF(LEFT(I575,4)="JK04","BUDGAM",IF(LEFT(I575,4)="JK03","ANANTNAG",IF(LEFT(I575,4)="JK05","BARAMULLA",IF(LEFT(I575,4)="26BH","BHARAT",IF(LEFT(I575,4)="25BH","BHARAT",IF(LEFT(I575,4)="JK12","POONCH",IF(LEFT(I575,4)="JK16","GANDERBAL",IF(LEFT(I575,4)="JK18","KULGAM",IF(LEFT(I575,4)="JK22","SHOPIAN",IF(LEFT(I575,4)="JK02","JAMMU",IF(LEFT(I575,4)="JK09","KUPWARA",IF(LEFT(I575,4)="JK15","BANDIPORA",IF(LEFT(I575,4)="JK17","KISHTWAR",IF(LEFT(I575,4)="LA01","KARGIL",IF(LEFT(I575,1)="T","TEMP","NEW")))))))))))))))))</f>
        <v>SRINAGAR</v>
      </c>
      <c r="I575" s="26" t="s">
        <v>9515</v>
      </c>
      <c r="J575" s="27">
        <v>46106</v>
      </c>
      <c r="K575" s="26">
        <v>8899062478</v>
      </c>
      <c r="L575" s="26" t="s">
        <v>26</v>
      </c>
      <c r="M575" s="28" t="s">
        <v>9653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>ROW()-1</f>
        <v>575</v>
      </c>
      <c r="B576" s="26" t="s">
        <v>9516</v>
      </c>
      <c r="C576" s="26" t="s">
        <v>9517</v>
      </c>
      <c r="D576" s="26" t="s">
        <v>9518</v>
      </c>
      <c r="E576" s="26" t="s">
        <v>9519</v>
      </c>
      <c r="F576" s="26" t="s">
        <v>12</v>
      </c>
      <c r="G576" s="26" t="s">
        <v>197</v>
      </c>
      <c r="H576" s="26" t="str">
        <f>IF(LEFT(I576,4)="JK13","PULWAMA",IF(LEFT(I576,4)="JK01","SRINAGAR",IF(LEFT(I576,4)="JK04","BUDGAM",IF(LEFT(I576,4)="JK03","ANANTNAG",IF(LEFT(I576,4)="JK05","BARAMULLA",IF(LEFT(I576,4)="26BH","BHARAT",IF(LEFT(I576,4)="25BH","BHARAT",IF(LEFT(I576,4)="JK12","POONCH",IF(LEFT(I576,4)="JK16","GANDERBAL",IF(LEFT(I576,4)="JK18","KULGAM",IF(LEFT(I576,4)="JK22","SHOPIAN",IF(LEFT(I576,4)="JK02","JAMMU",IF(LEFT(I576,4)="JK09","KUPWARA",IF(LEFT(I576,4)="JK15","BANDIPORA",IF(LEFT(I576,4)="JK17","KISHTWAR",IF(LEFT(I576,4)="LA01","KARGIL",IF(LEFT(I576,1)="T","TEMP","NEW")))))))))))))))))</f>
        <v>SRINAGAR</v>
      </c>
      <c r="I576" s="26" t="s">
        <v>9520</v>
      </c>
      <c r="J576" s="27">
        <v>46106</v>
      </c>
      <c r="K576" s="26">
        <v>9797038059</v>
      </c>
      <c r="L576" s="26" t="s">
        <v>2168</v>
      </c>
      <c r="M576" s="28" t="s">
        <v>9749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>ROW()-1</f>
        <v>576</v>
      </c>
      <c r="B577" s="26" t="s">
        <v>9525</v>
      </c>
      <c r="C577" s="26" t="s">
        <v>9521</v>
      </c>
      <c r="D577" s="26" t="s">
        <v>9522</v>
      </c>
      <c r="E577" s="26" t="s">
        <v>9523</v>
      </c>
      <c r="F577" s="26" t="s">
        <v>12</v>
      </c>
      <c r="G577" s="26" t="s">
        <v>171</v>
      </c>
      <c r="H577" s="26" t="str">
        <f>IF(LEFT(I577,4)="JK13","PULWAMA",IF(LEFT(I577,4)="JK01","SRINAGAR",IF(LEFT(I577,4)="JK04","BUDGAM",IF(LEFT(I577,4)="JK03","ANANTNAG",IF(LEFT(I577,4)="JK05","BARAMULLA",IF(LEFT(I577,4)="26BH","BHARAT",IF(LEFT(I577,4)="25BH","BHARAT",IF(LEFT(I577,4)="JK12","POONCH",IF(LEFT(I577,4)="JK16","GANDERBAL",IF(LEFT(I577,4)="JK18","KULGAM",IF(LEFT(I577,4)="JK22","SHOPIAN",IF(LEFT(I577,4)="JK02","JAMMU",IF(LEFT(I577,4)="JK09","KUPWARA",IF(LEFT(I577,4)="JK15","BANDIPORA",IF(LEFT(I577,4)="JK17","KISHTWAR",IF(LEFT(I577,4)="LA01","KARGIL",IF(LEFT(I577,1)="T","TEMP","NEW")))))))))))))))))</f>
        <v>PULWAMA</v>
      </c>
      <c r="I577" s="26" t="s">
        <v>9524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>ROW()-1</f>
        <v>577</v>
      </c>
      <c r="B578" s="26" t="s">
        <v>9562</v>
      </c>
      <c r="C578" s="26" t="s">
        <v>9563</v>
      </c>
      <c r="D578" s="26" t="s">
        <v>9564</v>
      </c>
      <c r="E578" s="26" t="s">
        <v>9565</v>
      </c>
      <c r="F578" s="26" t="s">
        <v>12</v>
      </c>
      <c r="G578" s="26" t="s">
        <v>197</v>
      </c>
      <c r="H578" s="26" t="str">
        <f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9571</v>
      </c>
      <c r="J578" s="27">
        <v>46107</v>
      </c>
      <c r="K578" s="26">
        <v>8899904221</v>
      </c>
      <c r="L578" s="26" t="s">
        <v>9904</v>
      </c>
      <c r="M578" s="28" t="s">
        <v>9194</v>
      </c>
      <c r="N578" s="27"/>
      <c r="O578" s="26"/>
      <c r="P578" s="29"/>
      <c r="Q578" s="26"/>
      <c r="R578" s="26"/>
    </row>
    <row r="579" spans="1:18" x14ac:dyDescent="0.25">
      <c r="A579" s="26">
        <f>ROW()-1</f>
        <v>578</v>
      </c>
      <c r="B579" s="26" t="s">
        <v>9527</v>
      </c>
      <c r="C579" s="26" t="s">
        <v>9529</v>
      </c>
      <c r="D579" s="26" t="s">
        <v>9528</v>
      </c>
      <c r="E579" s="26" t="s">
        <v>9530</v>
      </c>
      <c r="F579" s="26" t="s">
        <v>5</v>
      </c>
      <c r="G579" s="26" t="s">
        <v>197</v>
      </c>
      <c r="H579" s="26" t="str">
        <f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6" t="s">
        <v>9544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>ROW()-1</f>
        <v>579</v>
      </c>
      <c r="B580" s="26" t="s">
        <v>9541</v>
      </c>
      <c r="C580" s="26" t="s">
        <v>9531</v>
      </c>
      <c r="D580" s="26" t="s">
        <v>9540</v>
      </c>
      <c r="E580" s="26" t="s">
        <v>1255</v>
      </c>
      <c r="F580" s="26" t="s">
        <v>277</v>
      </c>
      <c r="G580" s="26" t="s">
        <v>196</v>
      </c>
      <c r="H580" s="26" t="str">
        <f>IF(LEFT(I580,4)="JK13","PULWAMA",IF(LEFT(I580,4)="JK01","SRINAGAR",IF(LEFT(I580,4)="JK04","BUDGAM",IF(LEFT(I580,4)="JK03","ANANTNAG",IF(LEFT(I580,4)="JK05","BARAMULLA",IF(LEFT(I580,4)="26BH","BHARAT",IF(LEFT(I580,4)="25BH","BHARAT",IF(LEFT(I580,4)="JK12","POONCH",IF(LEFT(I580,4)="JK16","GANDERBAL",IF(LEFT(I580,4)="JK18","KULGAM",IF(LEFT(I580,4)="JK22","SHOPIAN",IF(LEFT(I580,4)="JK02","JAMMU",IF(LEFT(I580,4)="JK09","KUPWARA",IF(LEFT(I580,4)="JK15","BANDIPORA",IF(LEFT(I580,4)="JK17","KISHTWAR",IF(LEFT(I580,4)="LA01","KARGIL",IF(LEFT(I580,1)="T","TEMP","NEW")))))))))))))))))</f>
        <v>PULWAMA</v>
      </c>
      <c r="I580" s="26" t="s">
        <v>9543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>ROW()-1</f>
        <v>580</v>
      </c>
      <c r="B581" s="26" t="s">
        <v>9532</v>
      </c>
      <c r="C581" s="26" t="s">
        <v>9533</v>
      </c>
      <c r="D581" s="26" t="s">
        <v>9534</v>
      </c>
      <c r="E581" s="26" t="s">
        <v>9535</v>
      </c>
      <c r="F581" s="26" t="s">
        <v>116</v>
      </c>
      <c r="G581" s="26" t="s">
        <v>172</v>
      </c>
      <c r="H581" s="26" t="str">
        <f>IF(LEFT(I581,4)="JK13","PULWAMA",IF(LEFT(I581,4)="JK01","SRINAGAR",IF(LEFT(I581,4)="JK04","BUDGAM",IF(LEFT(I581,4)="JK03","ANANTNAG",IF(LEFT(I581,4)="JK05","BARAMULLA",IF(LEFT(I581,4)="26BH","BHARAT",IF(LEFT(I581,4)="25BH","BHARAT",IF(LEFT(I581,4)="JK12","POONCH",IF(LEFT(I581,4)="JK16","GANDERBAL",IF(LEFT(I581,4)="JK18","KULGAM",IF(LEFT(I581,4)="JK22","SHOPIAN",IF(LEFT(I581,4)="JK02","JAMMU",IF(LEFT(I581,4)="JK09","KUPWARA",IF(LEFT(I581,4)="JK15","BANDIPORA",IF(LEFT(I581,4)="JK17","KISHTWAR",IF(LEFT(I581,4)="LA01","KARGIL",IF(LEFT(I581,1)="T","TEMP","NEW")))))))))))))))))</f>
        <v>BUDGAM</v>
      </c>
      <c r="I581" s="26" t="s">
        <v>9545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>ROW()-1</f>
        <v>581</v>
      </c>
      <c r="B582" s="26" t="s">
        <v>9539</v>
      </c>
      <c r="C582" s="26" t="s">
        <v>9536</v>
      </c>
      <c r="D582" s="26" t="s">
        <v>9537</v>
      </c>
      <c r="E582" s="26" t="s">
        <v>9538</v>
      </c>
      <c r="F582" s="26" t="s">
        <v>845</v>
      </c>
      <c r="G582" s="26" t="s">
        <v>171</v>
      </c>
      <c r="H582" s="26" t="str">
        <f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6" t="s">
        <v>9542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>ROW()-1</f>
        <v>582</v>
      </c>
      <c r="B583" s="26" t="s">
        <v>9551</v>
      </c>
      <c r="C583" s="26" t="s">
        <v>9552</v>
      </c>
      <c r="D583" s="26" t="s">
        <v>9553</v>
      </c>
      <c r="E583" s="26" t="s">
        <v>9554</v>
      </c>
      <c r="F583" s="26" t="s">
        <v>12</v>
      </c>
      <c r="G583" s="26" t="s">
        <v>178</v>
      </c>
      <c r="H583" s="26" t="str">
        <f>IF(LEFT(I583,4)="JK13","PULWAMA",IF(LEFT(I583,4)="JK01","SRINAGAR",IF(LEFT(I583,4)="JK04","BUDGAM",IF(LEFT(I583,4)="JK03","ANANTNAG",IF(LEFT(I583,4)="JK05","BARAMULLA",IF(LEFT(I583,4)="26BH","BHARAT",IF(LEFT(I583,4)="25BH","BHARAT",IF(LEFT(I583,4)="JK12","POONCH",IF(LEFT(I583,4)="JK16","GANDERBAL",IF(LEFT(I583,4)="JK18","KULGAM",IF(LEFT(I583,4)="JK22","SHOPIAN",IF(LEFT(I583,4)="JK02","JAMMU",IF(LEFT(I583,4)="JK09","KUPWARA",IF(LEFT(I583,4)="JK15","BANDIPORA",IF(LEFT(I583,4)="JK17","KISHTWAR",IF(LEFT(I583,4)="LA01","KARGIL",IF(LEFT(I583,1)="T","TEMP","NEW")))))))))))))))))</f>
        <v>SRINAGAR</v>
      </c>
      <c r="I583" s="26" t="s">
        <v>9555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>ROW()-1</f>
        <v>583</v>
      </c>
      <c r="B584" s="26" t="s">
        <v>9566</v>
      </c>
      <c r="C584" s="26" t="s">
        <v>9567</v>
      </c>
      <c r="D584" s="26" t="s">
        <v>9568</v>
      </c>
      <c r="E584" s="26" t="s">
        <v>9569</v>
      </c>
      <c r="F584" s="26" t="s">
        <v>6415</v>
      </c>
      <c r="G584" s="26" t="s">
        <v>197</v>
      </c>
      <c r="H584" s="26" t="str">
        <f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6" t="s">
        <v>9570</v>
      </c>
      <c r="J584" s="27">
        <v>46107</v>
      </c>
      <c r="K584" s="26">
        <v>9419433461</v>
      </c>
      <c r="L584" s="26" t="s">
        <v>9613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>ROW()-1</f>
        <v>584</v>
      </c>
      <c r="B585" s="26" t="s">
        <v>9602</v>
      </c>
      <c r="C585" s="26" t="s">
        <v>9603</v>
      </c>
      <c r="D585" s="26" t="s">
        <v>9604</v>
      </c>
      <c r="E585" s="26" t="s">
        <v>9605</v>
      </c>
      <c r="F585" s="26" t="s">
        <v>122</v>
      </c>
      <c r="G585" s="26" t="s">
        <v>197</v>
      </c>
      <c r="H585" s="26" t="str">
        <f>IF(LEFT(I585,4)="JK13","PULWAMA",IF(LEFT(I585,4)="JK01","SRINAGAR",IF(LEFT(I585,4)="JK04","BUDGAM",IF(LEFT(I585,4)="JK03","ANANTNAG",IF(LEFT(I585,4)="JK05","BARAMULLA",IF(LEFT(I585,4)="26BH","BHARAT",IF(LEFT(I585,4)="25BH","BHARAT",IF(LEFT(I585,4)="JK12","POONCH",IF(LEFT(I585,4)="JK16","GANDERBAL",IF(LEFT(I585,4)="JK18","KULGAM",IF(LEFT(I585,4)="JK22","SHOPIAN",IF(LEFT(I585,4)="JK02","JAMMU",IF(LEFT(I585,4)="JK09","KUPWARA",IF(LEFT(I585,4)="JK15","BANDIPORA",IF(LEFT(I585,4)="JK17","KISHTWAR",IF(LEFT(I585,4)="LA01","KARGIL",IF(LEFT(I585,1)="T","TEMP","NEW")))))))))))))))))</f>
        <v>SHOPIAN</v>
      </c>
      <c r="I585" s="26" t="s">
        <v>9606</v>
      </c>
      <c r="J585" s="27">
        <v>46108</v>
      </c>
      <c r="K585" s="26">
        <v>7006689016</v>
      </c>
      <c r="L585" s="26" t="s">
        <v>9904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>ROW()-1</f>
        <v>585</v>
      </c>
      <c r="B586" s="26" t="s">
        <v>9575</v>
      </c>
      <c r="C586" s="26" t="s">
        <v>9572</v>
      </c>
      <c r="D586" s="26" t="s">
        <v>9573</v>
      </c>
      <c r="E586" s="26" t="s">
        <v>9574</v>
      </c>
      <c r="F586" s="26" t="s">
        <v>5</v>
      </c>
      <c r="G586" s="26" t="s">
        <v>196</v>
      </c>
      <c r="H586" s="26" t="str">
        <f>IF(LEFT(I586,4)="JK13","PULWAMA",IF(LEFT(I586,4)="JK01","SRINAGAR",IF(LEFT(I586,4)="JK04","BUDGAM",IF(LEFT(I586,4)="JK03","ANANTNAG",IF(LEFT(I586,4)="JK05","BARAMULLA",IF(LEFT(I586,4)="26BH","BHARAT",IF(LEFT(I586,4)="25BH","BHARAT",IF(LEFT(I586,4)="JK12","POONCH",IF(LEFT(I586,4)="JK16","GANDERBAL",IF(LEFT(I586,4)="JK18","KULGAM",IF(LEFT(I586,4)="JK22","SHOPIAN",IF(LEFT(I586,4)="JK02","JAMMU",IF(LEFT(I586,4)="JK09","KUPWARA",IF(LEFT(I586,4)="JK15","BANDIPORA",IF(LEFT(I586,4)="JK17","KISHTWAR",IF(LEFT(I586,4)="LA01","KARGIL",IF(LEFT(I586,1)="T","TEMP","NEW")))))))))))))))))</f>
        <v>BHARAT</v>
      </c>
      <c r="I586" s="26" t="s">
        <v>9652</v>
      </c>
      <c r="J586" s="27">
        <v>46108</v>
      </c>
      <c r="K586" s="26">
        <v>9596025507</v>
      </c>
      <c r="L586" s="26" t="s">
        <v>104</v>
      </c>
      <c r="M586" s="28" t="s">
        <v>9824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>ROW()-1</f>
        <v>586</v>
      </c>
      <c r="B587" s="26" t="s">
        <v>9583</v>
      </c>
      <c r="C587" s="26" t="s">
        <v>9584</v>
      </c>
      <c r="D587" s="26" t="s">
        <v>9585</v>
      </c>
      <c r="E587" s="26" t="s">
        <v>9586</v>
      </c>
      <c r="F587" s="26" t="s">
        <v>12</v>
      </c>
      <c r="G587" s="26" t="s">
        <v>171</v>
      </c>
      <c r="H587" s="26" t="str">
        <f>IF(LEFT(I587,4)="JK13","PULWAMA",IF(LEFT(I587,4)="JK01","SRINAGAR",IF(LEFT(I587,4)="JK04","BUDGAM",IF(LEFT(I587,4)="JK03","ANANTNAG",IF(LEFT(I587,4)="JK05","BARAMULLA",IF(LEFT(I587,4)="26BH","BHARAT",IF(LEFT(I587,4)="25BH","BHARAT",IF(LEFT(I587,4)="JK12","POONCH",IF(LEFT(I587,4)="JK16","GANDERBAL",IF(LEFT(I587,4)="JK18","KULGAM",IF(LEFT(I587,4)="JK22","SHOPIAN",IF(LEFT(I587,4)="JK02","JAMMU",IF(LEFT(I587,4)="JK09","KUPWARA",IF(LEFT(I587,4)="JK15","BANDIPORA",IF(LEFT(I587,4)="JK17","KISHTWAR",IF(LEFT(I587,4)="LA01","KARGIL",IF(LEFT(I587,1)="T","TEMP","NEW")))))))))))))))))</f>
        <v>SRINAGAR</v>
      </c>
      <c r="I587" s="26" t="s">
        <v>9590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>ROW()-1</f>
        <v>587</v>
      </c>
      <c r="B588" s="26" t="s">
        <v>9587</v>
      </c>
      <c r="C588" s="26" t="s">
        <v>9588</v>
      </c>
      <c r="D588" s="26" t="s">
        <v>9589</v>
      </c>
      <c r="E588" s="26" t="s">
        <v>3606</v>
      </c>
      <c r="F588" s="26" t="s">
        <v>5</v>
      </c>
      <c r="G588" s="26" t="s">
        <v>197</v>
      </c>
      <c r="H588" s="26" t="str">
        <f>IF(LEFT(I588,4)="JK13","PULWAMA",IF(LEFT(I588,4)="JK01","SRINAGAR",IF(LEFT(I588,4)="JK04","BUDGAM",IF(LEFT(I588,4)="JK03","ANANTNAG",IF(LEFT(I588,4)="JK05","BARAMULLA",IF(LEFT(I588,4)="26BH","BHARAT",IF(LEFT(I588,4)="25BH","BHARAT",IF(LEFT(I588,4)="JK12","POONCH",IF(LEFT(I588,4)="JK16","GANDERBAL",IF(LEFT(I588,4)="JK18","KULGAM",IF(LEFT(I588,4)="JK22","SHOPIAN",IF(LEFT(I588,4)="JK02","JAMMU",IF(LEFT(I588,4)="JK09","KUPWARA",IF(LEFT(I588,4)="JK15","BANDIPORA",IF(LEFT(I588,4)="JK17","KISHTWAR",IF(LEFT(I588,4)="LA01","KARGIL",IF(LEFT(I588,1)="T","TEMP","NEW")))))))))))))))))</f>
        <v>SRINAGAR</v>
      </c>
      <c r="I588" s="26" t="s">
        <v>9591</v>
      </c>
      <c r="J588" s="27">
        <v>46108</v>
      </c>
      <c r="K588" s="26">
        <v>9797714389</v>
      </c>
      <c r="L588" s="26" t="s">
        <v>26</v>
      </c>
      <c r="M588" s="28"/>
      <c r="N588" s="27"/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>ROW()-1</f>
        <v>588</v>
      </c>
      <c r="B589" s="26" t="s">
        <v>9592</v>
      </c>
      <c r="C589" s="26" t="s">
        <v>9593</v>
      </c>
      <c r="D589" s="26" t="s">
        <v>9594</v>
      </c>
      <c r="E589" s="26" t="s">
        <v>9595</v>
      </c>
      <c r="F589" s="26" t="s">
        <v>940</v>
      </c>
      <c r="G589" s="26" t="s">
        <v>197</v>
      </c>
      <c r="H589" s="26" t="str">
        <f>IF(LEFT(I589,4)="JK13","PULWAMA",IF(LEFT(I589,4)="JK01","SRINAGAR",IF(LEFT(I589,4)="JK04","BUDGAM",IF(LEFT(I589,4)="JK03","ANANTNAG",IF(LEFT(I589,4)="JK05","BARAMULLA",IF(LEFT(I589,4)="26BH","BHARAT",IF(LEFT(I589,4)="25BH","BHARAT",IF(LEFT(I589,4)="JK12","POONCH",IF(LEFT(I589,4)="JK16","GANDERBAL",IF(LEFT(I589,4)="JK18","KULGAM",IF(LEFT(I589,4)="JK22","SHOPIAN",IF(LEFT(I589,4)="JK02","JAMMU",IF(LEFT(I589,4)="JK09","KUPWARA",IF(LEFT(I589,4)="JK15","BANDIPORA",IF(LEFT(I589,4)="JK17","KISHTWAR",IF(LEFT(I589,4)="LA01","KARGIL",IF(LEFT(I589,1)="T","TEMP","NEW")))))))))))))))))</f>
        <v>SRINAGAR</v>
      </c>
      <c r="I589" s="26" t="s">
        <v>9601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>ROW()-1</f>
        <v>589</v>
      </c>
      <c r="B590" s="26" t="s">
        <v>9596</v>
      </c>
      <c r="C590" s="26" t="s">
        <v>9597</v>
      </c>
      <c r="D590" s="26" t="s">
        <v>9598</v>
      </c>
      <c r="E590" s="26" t="s">
        <v>9599</v>
      </c>
      <c r="F590" s="26" t="s">
        <v>116</v>
      </c>
      <c r="G590" s="26" t="s">
        <v>197</v>
      </c>
      <c r="H590" s="26" t="str">
        <f>IF(LEFT(I590,4)="JK13","PULWAMA",IF(LEFT(I590,4)="JK01","SRINAGAR",IF(LEFT(I590,4)="JK04","BUDGAM",IF(LEFT(I590,4)="JK03","ANANTNAG",IF(LEFT(I590,4)="JK05","BARAMULLA",IF(LEFT(I590,4)="26BH","BHARAT",IF(LEFT(I590,4)="25BH","BHARAT",IF(LEFT(I590,4)="JK12","POONCH",IF(LEFT(I590,4)="JK16","GANDERBAL",IF(LEFT(I590,4)="JK18","KULGAM",IF(LEFT(I590,4)="JK22","SHOPIAN",IF(LEFT(I590,4)="JK02","JAMMU",IF(LEFT(I590,4)="JK09","KUPWARA",IF(LEFT(I590,4)="JK15","BANDIPORA",IF(LEFT(I590,4)="JK17","KISHTWAR",IF(LEFT(I590,4)="LA01","KARGIL",IF(LEFT(I590,1)="T","TEMP","NEW")))))))))))))))))</f>
        <v>BUDGAM</v>
      </c>
      <c r="I590" s="26" t="s">
        <v>9600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>ROW()-1</f>
        <v>590</v>
      </c>
      <c r="B591" s="26" t="s">
        <v>9617</v>
      </c>
      <c r="C591" s="26" t="s">
        <v>9616</v>
      </c>
      <c r="D591" s="26" t="s">
        <v>9618</v>
      </c>
      <c r="E591" s="26" t="s">
        <v>9619</v>
      </c>
      <c r="F591" s="26" t="s">
        <v>122</v>
      </c>
      <c r="G591" s="26" t="s">
        <v>172</v>
      </c>
      <c r="H591" s="26" t="str">
        <f>IF(LEFT(I591,4)="JK13","PULWAMA",IF(LEFT(I591,4)="JK01","SRINAGAR",IF(LEFT(I591,4)="JK04","BUDGAM",IF(LEFT(I591,4)="JK03","ANANTNAG",IF(LEFT(I591,4)="JK05","BARAMULLA",IF(LEFT(I591,4)="26BH","BHARAT",IF(LEFT(I591,4)="25BH","BHARAT",IF(LEFT(I591,4)="JK12","POONCH",IF(LEFT(I591,4)="JK16","GANDERBAL",IF(LEFT(I591,4)="JK18","KULGAM",IF(LEFT(I591,4)="JK22","SHOPIAN",IF(LEFT(I591,4)="JK02","JAMMU",IF(LEFT(I591,4)="JK09","KUPWARA",IF(LEFT(I591,4)="JK15","BANDIPORA",IF(LEFT(I591,4)="JK17","KISHTWAR",IF(LEFT(I591,4)="LA01","KARGIL",IF(LEFT(I591,1)="T","TEMP","NEW")))))))))))))))))</f>
        <v>PULWAMA</v>
      </c>
      <c r="I591" s="26" t="s">
        <v>9625</v>
      </c>
      <c r="J591" s="27">
        <v>46109</v>
      </c>
      <c r="K591" s="26">
        <v>9103000945</v>
      </c>
      <c r="L591" s="26" t="s">
        <v>6515</v>
      </c>
      <c r="M591" s="26" t="s">
        <v>10075</v>
      </c>
      <c r="N591" s="27"/>
      <c r="O591" s="26"/>
      <c r="P591" s="29"/>
      <c r="Q591" s="26"/>
      <c r="R591" s="26" t="s">
        <v>9655</v>
      </c>
    </row>
    <row r="592" spans="1:18" x14ac:dyDescent="0.25">
      <c r="A592" s="26">
        <f>ROW()-1</f>
        <v>591</v>
      </c>
      <c r="B592" s="26" t="s">
        <v>9620</v>
      </c>
      <c r="C592" s="26" t="s">
        <v>9621</v>
      </c>
      <c r="D592" s="26" t="s">
        <v>9622</v>
      </c>
      <c r="E592" s="26" t="s">
        <v>9623</v>
      </c>
      <c r="F592" s="26" t="s">
        <v>98</v>
      </c>
      <c r="G592" s="26" t="s">
        <v>171</v>
      </c>
      <c r="H592" s="26" t="str">
        <f>IF(LEFT(I592,4)="JK13","PULWAMA",IF(LEFT(I592,4)="JK01","SRINAGAR",IF(LEFT(I592,4)="JK04","BUDGAM",IF(LEFT(I592,4)="JK03","ANANTNAG",IF(LEFT(I592,4)="JK05","BARAMULLA",IF(LEFT(I592,4)="26BH","BHARAT",IF(LEFT(I592,4)="25BH","BHARAT",IF(LEFT(I592,4)="JK12","POONCH",IF(LEFT(I592,4)="JK16","GANDERBAL",IF(LEFT(I592,4)="JK18","KULGAM",IF(LEFT(I592,4)="JK22","SHOPIAN",IF(LEFT(I592,4)="JK02","JAMMU",IF(LEFT(I592,4)="JK09","KUPWARA",IF(LEFT(I592,4)="JK15","BANDIPORA",IF(LEFT(I592,4)="JK17","KISHTWAR",IF(LEFT(I592,4)="LA01","KARGIL",IF(LEFT(I592,1)="T","TEMP","NEW")))))))))))))))))</f>
        <v>BARAMULLA</v>
      </c>
      <c r="I592" s="26" t="s">
        <v>9624</v>
      </c>
      <c r="J592" s="27">
        <v>46109</v>
      </c>
      <c r="K592" s="26">
        <v>9149790539</v>
      </c>
      <c r="L592" s="26" t="s">
        <v>7240</v>
      </c>
      <c r="M592" s="28" t="s">
        <v>9919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>ROW()-1</f>
        <v>592</v>
      </c>
      <c r="B593" s="26" t="s">
        <v>9628</v>
      </c>
      <c r="C593" s="26" t="s">
        <v>9626</v>
      </c>
      <c r="D593" s="26" t="s">
        <v>9627</v>
      </c>
      <c r="E593" s="26" t="s">
        <v>1925</v>
      </c>
      <c r="F593" s="26" t="s">
        <v>116</v>
      </c>
      <c r="G593" s="26" t="s">
        <v>197</v>
      </c>
      <c r="H593" s="26" t="str">
        <f>IF(LEFT(I593,4)="JK13","PULWAMA",IF(LEFT(I593,4)="JK01","SRINAGAR",IF(LEFT(I593,4)="JK04","BUDGAM",IF(LEFT(I593,4)="JK03","ANANTNAG",IF(LEFT(I593,4)="JK05","BARAMULLA",IF(LEFT(I593,4)="26BH","BHARAT",IF(LEFT(I593,4)="25BH","BHARAT",IF(LEFT(I593,4)="JK12","POONCH",IF(LEFT(I593,4)="JK16","GANDERBAL",IF(LEFT(I593,4)="JK18","KULGAM",IF(LEFT(I593,4)="JK22","SHOPIAN",IF(LEFT(I593,4)="JK02","JAMMU",IF(LEFT(I593,4)="JK09","KUPWARA",IF(LEFT(I593,4)="JK15","BANDIPORA",IF(LEFT(I593,4)="JK17","KISHTWAR",IF(LEFT(I593,4)="LA01","KARGIL",IF(LEFT(I593,1)="T","TEMP","NEW")))))))))))))))))</f>
        <v>SRINAGAR</v>
      </c>
      <c r="I593" s="26" t="s">
        <v>9633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>ROW()-1</f>
        <v>593</v>
      </c>
      <c r="B594" s="26" t="s">
        <v>9629</v>
      </c>
      <c r="C594" s="26" t="s">
        <v>9630</v>
      </c>
      <c r="D594" s="26" t="s">
        <v>9631</v>
      </c>
      <c r="E594" s="26" t="s">
        <v>9632</v>
      </c>
      <c r="F594" s="26" t="s">
        <v>36</v>
      </c>
      <c r="G594" s="26" t="s">
        <v>197</v>
      </c>
      <c r="H594" s="26" t="str">
        <f>IF(LEFT(I594,4)="JK13","PULWAMA",IF(LEFT(I594,4)="JK01","SRINAGAR",IF(LEFT(I594,4)="JK04","BUDGAM",IF(LEFT(I594,4)="JK03","ANANTNAG",IF(LEFT(I594,4)="JK05","BARAMULLA",IF(LEFT(I594,4)="26BH","BHARAT",IF(LEFT(I594,4)="25BH","BHARAT",IF(LEFT(I594,4)="JK12","POONCH",IF(LEFT(I594,4)="JK16","GANDERBAL",IF(LEFT(I594,4)="JK18","KULGAM",IF(LEFT(I594,4)="JK22","SHOPIAN",IF(LEFT(I594,4)="JK02","JAMMU",IF(LEFT(I594,4)="JK09","KUPWARA",IF(LEFT(I594,4)="JK15","BANDIPORA",IF(LEFT(I594,4)="JK17","KISHTWAR",IF(LEFT(I594,4)="LA01","KARGIL",IF(LEFT(I594,1)="T","TEMP","NEW")))))))))))))))))</f>
        <v>BUDGAM</v>
      </c>
      <c r="I594" s="26" t="s">
        <v>9634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>ROW()-1</f>
        <v>594</v>
      </c>
      <c r="B595" s="26" t="s">
        <v>9637</v>
      </c>
      <c r="C595" s="26" t="s">
        <v>9638</v>
      </c>
      <c r="D595" s="26" t="s">
        <v>9639</v>
      </c>
      <c r="E595" s="26" t="s">
        <v>9640</v>
      </c>
      <c r="F595" s="26" t="s">
        <v>98</v>
      </c>
      <c r="G595" s="26" t="s">
        <v>197</v>
      </c>
      <c r="H595" s="26" t="str">
        <f>IF(LEFT(I595,4)="JK13","PULWAMA",IF(LEFT(I595,4)="JK01","SRINAGAR",IF(LEFT(I595,4)="JK04","BUDGAM",IF(LEFT(I595,4)="JK03","ANANTNAG",IF(LEFT(I595,4)="JK05","BARAMULLA",IF(LEFT(I595,4)="26BH","BHARAT",IF(LEFT(I595,4)="25BH","BHARAT",IF(LEFT(I595,4)="JK12","POONCH",IF(LEFT(I595,4)="JK16","GANDERBAL",IF(LEFT(I595,4)="JK18","KULGAM",IF(LEFT(I595,4)="JK22","SHOPIAN",IF(LEFT(I595,4)="JK02","JAMMU",IF(LEFT(I595,4)="JK09","KUPWARA",IF(LEFT(I595,4)="JK15","BANDIPORA",IF(LEFT(I595,4)="JK17","KISHTWAR",IF(LEFT(I595,4)="LA01","KARGIL",IF(LEFT(I595,1)="T","TEMP","NEW")))))))))))))))))</f>
        <v>KUPWARA</v>
      </c>
      <c r="I595" s="26" t="s">
        <v>9641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>ROW()-1</f>
        <v>595</v>
      </c>
      <c r="B596" s="26" t="s">
        <v>9671</v>
      </c>
      <c r="C596" s="26" t="s">
        <v>9676</v>
      </c>
      <c r="D596" s="26" t="s">
        <v>9677</v>
      </c>
      <c r="E596" s="26" t="s">
        <v>4000</v>
      </c>
      <c r="F596" s="26" t="s">
        <v>65</v>
      </c>
      <c r="G596" s="26" t="s">
        <v>178</v>
      </c>
      <c r="H596" s="26" t="str">
        <f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ANANTNAG</v>
      </c>
      <c r="I596" s="26" t="s">
        <v>9678</v>
      </c>
      <c r="J596" s="27">
        <v>46111</v>
      </c>
      <c r="K596" s="26">
        <v>9697473191</v>
      </c>
      <c r="L596" s="26" t="s">
        <v>7059</v>
      </c>
      <c r="M596" s="26" t="s">
        <v>10075</v>
      </c>
      <c r="N596" s="27"/>
      <c r="O596" s="26"/>
      <c r="P596" s="29"/>
      <c r="Q596" s="26"/>
      <c r="R596" s="26" t="s">
        <v>9697</v>
      </c>
    </row>
    <row r="597" spans="1:18" x14ac:dyDescent="0.25">
      <c r="A597" s="26">
        <f>ROW()-1</f>
        <v>596</v>
      </c>
      <c r="B597" s="26" t="s">
        <v>9642</v>
      </c>
      <c r="C597" s="26" t="s">
        <v>9643</v>
      </c>
      <c r="D597" s="26" t="s">
        <v>9644</v>
      </c>
      <c r="E597" s="26" t="s">
        <v>9645</v>
      </c>
      <c r="F597" s="26" t="s">
        <v>116</v>
      </c>
      <c r="G597" s="26" t="s">
        <v>218</v>
      </c>
      <c r="H597" s="26" t="str">
        <f>IF(LEFT(I597,4)="JK13","PULWAMA",IF(LEFT(I597,4)="JK01","SRINAGAR",IF(LEFT(I597,4)="JK04","BUDGAM",IF(LEFT(I597,4)="JK03","ANANTNAG",IF(LEFT(I597,4)="JK05","BARAMULLA",IF(LEFT(I597,4)="26BH","BHARAT",IF(LEFT(I597,4)="25BH","BHARAT",IF(LEFT(I597,4)="JK12","POONCH",IF(LEFT(I597,4)="JK16","GANDERBAL",IF(LEFT(I597,4)="JK18","KULGAM",IF(LEFT(I597,4)="JK22","SHOPIAN",IF(LEFT(I597,4)="JK02","JAMMU",IF(LEFT(I597,4)="JK09","KUPWARA",IF(LEFT(I597,4)="JK15","BANDIPORA",IF(LEFT(I597,4)="JK17","KISHTWAR",IF(LEFT(I597,4)="LA01","KARGIL",IF(LEFT(I597,1)="T","TEMP","NEW")))))))))))))))))</f>
        <v>SRINAGAR</v>
      </c>
      <c r="I597" s="26" t="s">
        <v>9650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>ROW()-1</f>
        <v>597</v>
      </c>
      <c r="B598" s="26" t="s">
        <v>9646</v>
      </c>
      <c r="C598" s="26" t="s">
        <v>9647</v>
      </c>
      <c r="D598" s="26" t="s">
        <v>9648</v>
      </c>
      <c r="E598" s="26" t="s">
        <v>9649</v>
      </c>
      <c r="F598" s="26" t="s">
        <v>12</v>
      </c>
      <c r="G598" s="26" t="s">
        <v>171</v>
      </c>
      <c r="H598" s="26" t="str">
        <f>IF(LEFT(I598,4)="JK13","PULWAMA",IF(LEFT(I598,4)="JK01","SRINAGAR",IF(LEFT(I598,4)="JK04","BUDGAM",IF(LEFT(I598,4)="JK03","ANANTNAG",IF(LEFT(I598,4)="JK05","BARAMULLA",IF(LEFT(I598,4)="26BH","BHARAT",IF(LEFT(I598,4)="25BH","BHARAT",IF(LEFT(I598,4)="JK12","POONCH",IF(LEFT(I598,4)="JK16","GANDERBAL",IF(LEFT(I598,4)="JK18","KULGAM",IF(LEFT(I598,4)="JK22","SHOPIAN",IF(LEFT(I598,4)="JK02","JAMMU",IF(LEFT(I598,4)="JK09","KUPWARA",IF(LEFT(I598,4)="JK15","BANDIPORA",IF(LEFT(I598,4)="JK17","KISHTWAR",IF(LEFT(I598,4)="LA01","KARGIL",IF(LEFT(I598,1)="T","TEMP","NEW")))))))))))))))))</f>
        <v>SRINAGAR</v>
      </c>
      <c r="I598" s="26" t="s">
        <v>9651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>ROW()-1</f>
        <v>598</v>
      </c>
      <c r="B599" s="26" t="s">
        <v>9658</v>
      </c>
      <c r="C599" s="26" t="s">
        <v>9660</v>
      </c>
      <c r="D599" s="26" t="s">
        <v>9661</v>
      </c>
      <c r="E599" s="26" t="s">
        <v>9659</v>
      </c>
      <c r="F599" s="26" t="s">
        <v>122</v>
      </c>
      <c r="G599" s="26" t="s">
        <v>172</v>
      </c>
      <c r="H599" s="26" t="str">
        <f>IF(LEFT(I599,4)="JK13","PULWAMA",IF(LEFT(I599,4)="JK01","SRINAGAR",IF(LEFT(I599,4)="JK04","BUDGAM",IF(LEFT(I599,4)="JK03","ANANTNAG",IF(LEFT(I599,4)="JK05","BARAMULLA",IF(LEFT(I599,4)="26BH","BHARAT",IF(LEFT(I599,4)="25BH","BHARAT",IF(LEFT(I599,4)="JK12","POONCH",IF(LEFT(I599,4)="JK16","GANDERBAL",IF(LEFT(I599,4)="JK18","KULGAM",IF(LEFT(I599,4)="JK22","SHOPIAN",IF(LEFT(I599,4)="JK02","JAMMU",IF(LEFT(I599,4)="JK09","KUPWARA",IF(LEFT(I599,4)="JK15","BANDIPORA",IF(LEFT(I599,4)="JK17","KISHTWAR",IF(LEFT(I599,4)="LA01","KARGIL",IF(LEFT(I599,1)="T","TEMP","NEW")))))))))))))))))</f>
        <v>SRINAGAR</v>
      </c>
      <c r="I599" s="26" t="s">
        <v>9662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4" customFormat="1" x14ac:dyDescent="0.25">
      <c r="A600" s="26">
        <f>ROW()-1</f>
        <v>599</v>
      </c>
      <c r="B600" s="26" t="s">
        <v>9684</v>
      </c>
      <c r="C600" s="26" t="s">
        <v>9672</v>
      </c>
      <c r="D600" s="26" t="s">
        <v>9673</v>
      </c>
      <c r="E600" s="26" t="s">
        <v>9674</v>
      </c>
      <c r="F600" s="26" t="s">
        <v>8253</v>
      </c>
      <c r="G600" s="26" t="s">
        <v>178</v>
      </c>
      <c r="H600" s="26" t="str">
        <f>IF(LEFT(I600,4)="JK13","PULWAMA",IF(LEFT(I600,4)="JK01","SRINAGAR",IF(LEFT(I600,4)="JK04","BUDGAM",IF(LEFT(I600,4)="JK03","ANANTNAG",IF(LEFT(I600,4)="JK05","BARAMULLA",IF(LEFT(I600,4)="26BH","BHARAT",IF(LEFT(I600,4)="25BH","BHARAT",IF(LEFT(I600,4)="JK12","POONCH",IF(LEFT(I600,4)="JK16","GANDERBAL",IF(LEFT(I600,4)="JK18","KULGAM",IF(LEFT(I600,4)="JK22","SHOPIAN",IF(LEFT(I600,4)="JK02","JAMMU",IF(LEFT(I600,4)="JK09","KUPWARA",IF(LEFT(I600,4)="JK15","BANDIPORA",IF(LEFT(I600,4)="JK17","KISHTWAR",IF(LEFT(I600,4)="LA01","KARGIL",IF(LEFT(I600,1)="T","TEMP","NEW")))))))))))))))))</f>
        <v>PULWAMA</v>
      </c>
      <c r="I600" s="26" t="s">
        <v>9679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9675</v>
      </c>
    </row>
    <row r="601" spans="1:18" x14ac:dyDescent="0.25">
      <c r="A601" s="26">
        <f>ROW()-1</f>
        <v>600</v>
      </c>
      <c r="B601" s="26" t="s">
        <v>9689</v>
      </c>
      <c r="C601" s="26" t="s">
        <v>9690</v>
      </c>
      <c r="D601" s="26" t="s">
        <v>9691</v>
      </c>
      <c r="E601" s="26" t="s">
        <v>9692</v>
      </c>
      <c r="F601" s="26" t="s">
        <v>31</v>
      </c>
      <c r="G601" s="26" t="s">
        <v>172</v>
      </c>
      <c r="H601" s="26" t="str">
        <f>IF(LEFT(I601,4)="JK13","PULWAMA",IF(LEFT(I601,4)="JK01","SRINAGAR",IF(LEFT(I601,4)="JK04","BUDGAM",IF(LEFT(I601,4)="JK03","ANANTNAG",IF(LEFT(I601,4)="JK05","BARAMULLA",IF(LEFT(I601,4)="26BH","BHARAT",IF(LEFT(I601,4)="25BH","BHARAT",IF(LEFT(I601,4)="JK12","POONCH",IF(LEFT(I601,4)="JK16","GANDERBAL",IF(LEFT(I601,4)="JK18","KULGAM",IF(LEFT(I601,4)="JK22","SHOPIAN",IF(LEFT(I601,4)="JK02","JAMMU",IF(LEFT(I601,4)="JK09","KUPWARA",IF(LEFT(I601,4)="JK15","BANDIPORA",IF(LEFT(I601,4)="JK17","KISHTWAR",IF(LEFT(I601,4)="LA01","KARGIL",IF(LEFT(I601,1)="T","TEMP","NEW")))))))))))))))))</f>
        <v>PULWAMA</v>
      </c>
      <c r="I601" s="26" t="s">
        <v>9731</v>
      </c>
      <c r="J601" s="27">
        <v>46112</v>
      </c>
      <c r="K601" s="26">
        <v>7780858453</v>
      </c>
      <c r="L601" s="26" t="s">
        <v>9904</v>
      </c>
      <c r="M601" s="26" t="s">
        <v>9194</v>
      </c>
      <c r="N601" s="27"/>
      <c r="O601" s="26"/>
      <c r="P601" s="29"/>
      <c r="Q601" s="26"/>
      <c r="R601" s="26"/>
    </row>
    <row r="602" spans="1:18" x14ac:dyDescent="0.25">
      <c r="A602" s="26">
        <f>ROW()-1</f>
        <v>601</v>
      </c>
      <c r="B602" s="26" t="s">
        <v>9715</v>
      </c>
      <c r="C602" s="26" t="s">
        <v>9716</v>
      </c>
      <c r="D602" s="26" t="s">
        <v>9717</v>
      </c>
      <c r="E602" s="26" t="s">
        <v>9718</v>
      </c>
      <c r="F602" s="26" t="s">
        <v>6415</v>
      </c>
      <c r="G602" s="26" t="s">
        <v>197</v>
      </c>
      <c r="H602" s="26" t="str">
        <f>IF(LEFT(I602,4)="JK13","PULWAMA",IF(LEFT(I602,4)="JK01","SRINAGAR",IF(LEFT(I602,4)="JK04","BUDGAM",IF(LEFT(I602,4)="JK03","ANANTNAG",IF(LEFT(I602,4)="JK05","BARAMULLA",IF(LEFT(I602,4)="26BH","BHARAT",IF(LEFT(I602,4)="25BH","BHARAT",IF(LEFT(I602,4)="JK12","POONCH",IF(LEFT(I602,4)="JK16","GANDERBAL",IF(LEFT(I602,4)="JK18","KULGAM",IF(LEFT(I602,4)="JK22","SHOPIAN",IF(LEFT(I602,4)="JK02","JAMMU",IF(LEFT(I602,4)="JK09","KUPWARA",IF(LEFT(I602,4)="JK15","BANDIPORA",IF(LEFT(I602,4)="JK17","KISHTWAR",IF(LEFT(I602,4)="LA01","KARGIL",IF(LEFT(I602,1)="T","TEMP","NEW")))))))))))))))))</f>
        <v>SHOPIAN</v>
      </c>
      <c r="I602" s="26" t="s">
        <v>9732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>ROW()-1</f>
        <v>602</v>
      </c>
      <c r="B603" s="26" t="s">
        <v>9685</v>
      </c>
      <c r="C603" s="26" t="s">
        <v>9686</v>
      </c>
      <c r="D603" s="26" t="s">
        <v>9687</v>
      </c>
      <c r="E603" s="26" t="s">
        <v>9688</v>
      </c>
      <c r="F603" s="26" t="s">
        <v>36</v>
      </c>
      <c r="G603" s="26" t="s">
        <v>196</v>
      </c>
      <c r="H603" s="26" t="str">
        <f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6" t="s">
        <v>9730</v>
      </c>
      <c r="J603" s="27">
        <v>46112</v>
      </c>
      <c r="K603" s="26">
        <v>6006032793</v>
      </c>
      <c r="L603" s="26" t="s">
        <v>9904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>ROW()-1</f>
        <v>603</v>
      </c>
      <c r="B604" s="26" t="s">
        <v>9683</v>
      </c>
      <c r="C604" s="26" t="s">
        <v>9680</v>
      </c>
      <c r="D604" s="26" t="s">
        <v>9681</v>
      </c>
      <c r="E604" s="26" t="s">
        <v>9682</v>
      </c>
      <c r="F604" s="26" t="s">
        <v>116</v>
      </c>
      <c r="G604" s="26" t="s">
        <v>171</v>
      </c>
      <c r="H604" s="26" t="str">
        <f>IF(LEFT(I604,4)="JK13","PULWAMA",IF(LEFT(I604,4)="JK01","SRINAGAR",IF(LEFT(I604,4)="JK04","BUDGAM",IF(LEFT(I604,4)="JK03","ANANTNAG",IF(LEFT(I604,4)="JK05","BARAMULLA",IF(LEFT(I604,4)="26BH","BHARAT",IF(LEFT(I604,4)="25BH","BHARAT",IF(LEFT(I604,4)="JK12","POONCH",IF(LEFT(I604,4)="JK16","GANDERBAL",IF(LEFT(I604,4)="JK18","KULGAM",IF(LEFT(I604,4)="JK22","SHOPIAN",IF(LEFT(I604,4)="JK02","JAMMU",IF(LEFT(I604,4)="JK09","KUPWARA",IF(LEFT(I604,4)="JK15","BANDIPORA",IF(LEFT(I604,4)="JK17","KISHTWAR",IF(LEFT(I604,4)="LA01","KARGIL",IF(LEFT(I604,1)="T","TEMP","NEW")))))))))))))))))</f>
        <v>NEW</v>
      </c>
      <c r="I604" s="26"/>
      <c r="J604" s="27">
        <v>46112</v>
      </c>
      <c r="K604" s="26">
        <v>9871157589</v>
      </c>
      <c r="L604" s="26" t="s">
        <v>9703</v>
      </c>
      <c r="M604" s="28"/>
      <c r="N604" s="27"/>
      <c r="O604" s="26"/>
      <c r="P604" s="29"/>
      <c r="Q604" s="26"/>
      <c r="R604" s="26"/>
    </row>
    <row r="605" spans="1:18" x14ac:dyDescent="0.25">
      <c r="A605" s="26">
        <f>ROW()-1</f>
        <v>604</v>
      </c>
      <c r="B605" s="26" t="s">
        <v>9693</v>
      </c>
      <c r="C605" s="26" t="s">
        <v>9694</v>
      </c>
      <c r="D605" s="26" t="s">
        <v>9695</v>
      </c>
      <c r="E605" s="26" t="s">
        <v>9696</v>
      </c>
      <c r="F605" s="26" t="s">
        <v>482</v>
      </c>
      <c r="G605" s="26" t="s">
        <v>197</v>
      </c>
      <c r="H605" s="26" t="str">
        <f>IF(LEFT(I605,4)="JK13","PULWAMA",IF(LEFT(I605,4)="JK01","SRINAGAR",IF(LEFT(I605,4)="JK04","BUDGAM",IF(LEFT(I605,4)="JK03","ANANTNAG",IF(LEFT(I605,4)="JK05","BARAMULLA",IF(LEFT(I605,4)="26BH","BHARAT",IF(LEFT(I605,4)="25BH","BHARAT",IF(LEFT(I605,4)="JK12","POONCH",IF(LEFT(I605,4)="JK16","GANDERBAL",IF(LEFT(I605,4)="JK18","KULGAM",IF(LEFT(I605,4)="JK22","SHOPIAN",IF(LEFT(I605,4)="JK02","JAMMU",IF(LEFT(I605,4)="JK09","KUPWARA",IF(LEFT(I605,4)="JK15","BANDIPORA",IF(LEFT(I605,4)="JK17","KISHTWAR",IF(LEFT(I605,4)="LA01","KARGIL",IF(LEFT(I605,1)="T","TEMP","NEW")))))))))))))))))</f>
        <v>SRINAGAR</v>
      </c>
      <c r="I605" s="26" t="s">
        <v>9726</v>
      </c>
      <c r="J605" s="27">
        <v>46112</v>
      </c>
      <c r="K605" s="26">
        <v>9419571210</v>
      </c>
      <c r="L605" s="26" t="s">
        <v>1122</v>
      </c>
      <c r="M605" s="28"/>
      <c r="N605" s="27"/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>ROW()-1</f>
        <v>605</v>
      </c>
      <c r="B606" s="26" t="s">
        <v>9702</v>
      </c>
      <c r="C606" s="26" t="s">
        <v>9698</v>
      </c>
      <c r="D606" s="26" t="s">
        <v>9699</v>
      </c>
      <c r="E606" s="26" t="s">
        <v>9701</v>
      </c>
      <c r="F606" s="26" t="s">
        <v>9700</v>
      </c>
      <c r="G606" s="26" t="s">
        <v>196</v>
      </c>
      <c r="H606" s="26" t="str">
        <f>IF(LEFT(I606,4)="JK13","PULWAMA",IF(LEFT(I606,4)="JK01","SRINAGAR",IF(LEFT(I606,4)="JK04","BUDGAM",IF(LEFT(I606,4)="JK03","ANANTNAG",IF(LEFT(I606,4)="JK05","BARAMULLA",IF(LEFT(I606,4)="26BH","BHARAT",IF(LEFT(I606,4)="25BH","BHARAT",IF(LEFT(I606,4)="JK12","POONCH",IF(LEFT(I606,4)="JK16","GANDERBAL",IF(LEFT(I606,4)="JK18","KULGAM",IF(LEFT(I606,4)="JK22","SHOPIAN",IF(LEFT(I606,4)="JK02","JAMMU",IF(LEFT(I606,4)="JK09","KUPWARA",IF(LEFT(I606,4)="JK15","BANDIPORA",IF(LEFT(I606,4)="JK17","KISHTWAR",IF(LEFT(I606,4)="LA01","KARGIL",IF(LEFT(I606,1)="T","TEMP","NEW")))))))))))))))))</f>
        <v>SRINAGAR</v>
      </c>
      <c r="I606" s="26" t="s">
        <v>9727</v>
      </c>
      <c r="J606" s="27">
        <v>46112</v>
      </c>
      <c r="K606" s="26">
        <v>7006317414</v>
      </c>
      <c r="L606" s="26" t="s">
        <v>163</v>
      </c>
      <c r="M606" s="28" t="s">
        <v>9853</v>
      </c>
      <c r="N606" s="27">
        <v>46120</v>
      </c>
      <c r="O606" s="26" t="s">
        <v>23</v>
      </c>
      <c r="P606" s="29">
        <v>46113</v>
      </c>
      <c r="Q606" s="26" t="s">
        <v>6454</v>
      </c>
      <c r="R606" s="26"/>
    </row>
    <row r="607" spans="1:18" x14ac:dyDescent="0.25">
      <c r="A607" s="26">
        <f>ROW()-1</f>
        <v>606</v>
      </c>
      <c r="B607" s="26" t="s">
        <v>9704</v>
      </c>
      <c r="C607" s="26" t="s">
        <v>9705</v>
      </c>
      <c r="D607" s="26" t="s">
        <v>9706</v>
      </c>
      <c r="E607" s="26" t="s">
        <v>9707</v>
      </c>
      <c r="F607" s="26" t="s">
        <v>65</v>
      </c>
      <c r="G607" s="26" t="s">
        <v>196</v>
      </c>
      <c r="H607" s="26" t="str">
        <f>IF(LEFT(I607,4)="JK13","PULWAMA",IF(LEFT(I607,4)="JK01","SRINAGAR",IF(LEFT(I607,4)="JK04","BUDGAM",IF(LEFT(I607,4)="JK03","ANANTNAG",IF(LEFT(I607,4)="JK05","BARAMULLA",IF(LEFT(I607,4)="26BH","BHARAT",IF(LEFT(I607,4)="25BH","BHARAT",IF(LEFT(I607,4)="JK12","POONCH",IF(LEFT(I607,4)="JK16","GANDERBAL",IF(LEFT(I607,4)="JK18","KULGAM",IF(LEFT(I607,4)="JK22","SHOPIAN",IF(LEFT(I607,4)="JK02","JAMMU",IF(LEFT(I607,4)="JK09","KUPWARA",IF(LEFT(I607,4)="JK15","BANDIPORA",IF(LEFT(I607,4)="JK17","KISHTWAR",IF(LEFT(I607,4)="LA01","KARGIL",IF(LEFT(I607,1)="T","TEMP","NEW")))))))))))))))))</f>
        <v>SRINAGAR</v>
      </c>
      <c r="I607" s="26" t="s">
        <v>9725</v>
      </c>
      <c r="J607" s="27">
        <v>46112</v>
      </c>
      <c r="K607" s="26">
        <v>7006446177</v>
      </c>
      <c r="L607" s="26" t="s">
        <v>1513</v>
      </c>
      <c r="M607" s="28" t="s">
        <v>9032</v>
      </c>
      <c r="N607" s="27">
        <v>46114</v>
      </c>
      <c r="O607" s="26" t="s">
        <v>23</v>
      </c>
      <c r="P607" s="29">
        <v>46114</v>
      </c>
      <c r="Q607" s="26" t="s">
        <v>6454</v>
      </c>
      <c r="R607" s="26"/>
    </row>
    <row r="608" spans="1:18" x14ac:dyDescent="0.25">
      <c r="A608" s="26">
        <f>ROW()-1</f>
        <v>607</v>
      </c>
      <c r="B608" s="26" t="s">
        <v>9710</v>
      </c>
      <c r="C608" s="26" t="s">
        <v>9712</v>
      </c>
      <c r="D608" s="26" t="s">
        <v>9713</v>
      </c>
      <c r="E608" s="26" t="s">
        <v>9711</v>
      </c>
      <c r="F608" s="26" t="s">
        <v>98</v>
      </c>
      <c r="G608" s="26" t="s">
        <v>197</v>
      </c>
      <c r="H608" s="26" t="str">
        <f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BUDGAM</v>
      </c>
      <c r="I608" s="26" t="s">
        <v>9729</v>
      </c>
      <c r="J608" s="27">
        <v>46112</v>
      </c>
      <c r="K608" s="26">
        <v>9797429247</v>
      </c>
      <c r="L608" s="26" t="s">
        <v>9714</v>
      </c>
      <c r="M608" s="28"/>
      <c r="N608" s="27"/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>ROW()-1</f>
        <v>608</v>
      </c>
      <c r="B609" s="26" t="s">
        <v>9735</v>
      </c>
      <c r="C609" s="26" t="s">
        <v>9733</v>
      </c>
      <c r="D609" s="26" t="s">
        <v>9734</v>
      </c>
      <c r="E609" s="26" t="s">
        <v>9723</v>
      </c>
      <c r="F609" s="26" t="s">
        <v>31</v>
      </c>
      <c r="G609" s="26" t="s">
        <v>172</v>
      </c>
      <c r="H609" s="26" t="str">
        <f>IF(LEFT(I609,4)="JK13","PULWAMA",IF(LEFT(I609,4)="JK01","SRINAGAR",IF(LEFT(I609,4)="JK04","BUDGAM",IF(LEFT(I609,4)="JK03","ANANTNAG",IF(LEFT(I609,4)="JK05","BARAMULLA",IF(LEFT(I609,4)="26BH","BHARAT",IF(LEFT(I609,4)="25BH","BHARAT",IF(LEFT(I609,4)="JK12","POONCH",IF(LEFT(I609,4)="JK16","GANDERBAL",IF(LEFT(I609,4)="JK18","KULGAM",IF(LEFT(I609,4)="JK22","SHOPIAN",IF(LEFT(I609,4)="JK02","JAMMU",IF(LEFT(I609,4)="JK09","KUPWARA",IF(LEFT(I609,4)="JK15","BANDIPORA",IF(LEFT(I609,4)="JK17","KISHTWAR",IF(LEFT(I609,4)="LA01","KARGIL",IF(LEFT(I609,1)="T","TEMP","NEW")))))))))))))))))</f>
        <v>SRINAGAR</v>
      </c>
      <c r="I609" s="26" t="s">
        <v>9724</v>
      </c>
      <c r="J609" s="27">
        <v>46112</v>
      </c>
      <c r="K609" s="26">
        <v>7006759393</v>
      </c>
      <c r="L609" s="26" t="s">
        <v>191</v>
      </c>
      <c r="M609" s="28" t="s">
        <v>8215</v>
      </c>
      <c r="N609" s="27">
        <v>46114</v>
      </c>
      <c r="O609" s="26" t="s">
        <v>23</v>
      </c>
      <c r="P609" s="29">
        <v>46113</v>
      </c>
      <c r="Q609" s="26" t="s">
        <v>6454</v>
      </c>
      <c r="R609" s="26"/>
    </row>
    <row r="610" spans="1:18" x14ac:dyDescent="0.25">
      <c r="A610" s="26">
        <f>ROW()-1</f>
        <v>609</v>
      </c>
      <c r="B610" s="26" t="s">
        <v>9719</v>
      </c>
      <c r="C610" s="26" t="s">
        <v>9720</v>
      </c>
      <c r="D610" s="26" t="s">
        <v>9721</v>
      </c>
      <c r="E610" s="26" t="s">
        <v>9722</v>
      </c>
      <c r="F610" s="26" t="s">
        <v>36</v>
      </c>
      <c r="G610" s="26" t="s">
        <v>197</v>
      </c>
      <c r="H610" s="26" t="str">
        <f>IF(LEFT(I610,4)="JK13","PULWAMA",IF(LEFT(I610,4)="JK01","SRINAGAR",IF(LEFT(I610,4)="JK04","BUDGAM",IF(LEFT(I610,4)="JK03","ANANTNAG",IF(LEFT(I610,4)="JK05","BARAMULLA",IF(LEFT(I610,4)="26BH","BHARAT",IF(LEFT(I610,4)="25BH","BHARAT",IF(LEFT(I610,4)="JK12","POONCH",IF(LEFT(I610,4)="JK16","GANDERBAL",IF(LEFT(I610,4)="JK18","KULGAM",IF(LEFT(I610,4)="JK22","SHOPIAN",IF(LEFT(I610,4)="JK02","JAMMU",IF(LEFT(I610,4)="JK09","KUPWARA",IF(LEFT(I610,4)="JK15","BANDIPORA",IF(LEFT(I610,4)="JK17","KISHTWAR",IF(LEFT(I610,4)="LA01","KARGIL",IF(LEFT(I610,1)="T","TEMP","NEW")))))))))))))))))</f>
        <v>SRINAGAR</v>
      </c>
      <c r="I610" s="26" t="s">
        <v>9728</v>
      </c>
      <c r="J610" s="27">
        <v>46112</v>
      </c>
      <c r="K610" s="26">
        <v>7006387624</v>
      </c>
      <c r="L610" s="26" t="s">
        <v>9904</v>
      </c>
      <c r="M610" s="28" t="s">
        <v>7705</v>
      </c>
      <c r="N610" s="27">
        <v>46128</v>
      </c>
      <c r="O610" s="26"/>
      <c r="P610" s="29"/>
      <c r="Q610" s="26"/>
      <c r="R610" s="26"/>
    </row>
    <row r="611" spans="1:18" x14ac:dyDescent="0.25">
      <c r="A611" s="26">
        <f>ROW()-1</f>
        <v>610</v>
      </c>
      <c r="B611" s="26" t="s">
        <v>9739</v>
      </c>
      <c r="C611" s="26" t="s">
        <v>9736</v>
      </c>
      <c r="D611" s="26" t="s">
        <v>9737</v>
      </c>
      <c r="E611" s="26" t="s">
        <v>9738</v>
      </c>
      <c r="F611" s="26" t="s">
        <v>1682</v>
      </c>
      <c r="G611" s="26" t="s">
        <v>196</v>
      </c>
      <c r="H611" s="26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6" t="s">
        <v>9744</v>
      </c>
      <c r="J611" s="27">
        <v>46113</v>
      </c>
      <c r="K611" s="26">
        <v>7006675147</v>
      </c>
      <c r="L611" s="26" t="s">
        <v>104</v>
      </c>
      <c r="M611" s="28"/>
      <c r="N611" s="27"/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>ROW()-1</f>
        <v>611</v>
      </c>
      <c r="B612" s="26" t="s">
        <v>9740</v>
      </c>
      <c r="C612" s="26" t="s">
        <v>9741</v>
      </c>
      <c r="D612" s="26" t="s">
        <v>9742</v>
      </c>
      <c r="E612" s="26" t="s">
        <v>9743</v>
      </c>
      <c r="F612" s="26" t="s">
        <v>31</v>
      </c>
      <c r="G612" s="26" t="s">
        <v>218</v>
      </c>
      <c r="H612" s="26" t="str">
        <f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6" t="s">
        <v>9745</v>
      </c>
      <c r="J612" s="27">
        <v>46113</v>
      </c>
      <c r="K612" s="26">
        <v>7006313164</v>
      </c>
      <c r="L612" s="26" t="s">
        <v>26</v>
      </c>
      <c r="M612" s="28" t="s">
        <v>9908</v>
      </c>
      <c r="N612" s="27">
        <v>46122</v>
      </c>
      <c r="O612" s="26" t="s">
        <v>23</v>
      </c>
      <c r="P612" s="29">
        <v>46113</v>
      </c>
      <c r="Q612" s="26" t="s">
        <v>6454</v>
      </c>
      <c r="R612" s="26"/>
    </row>
    <row r="613" spans="1:18" x14ac:dyDescent="0.25">
      <c r="A613" s="26">
        <f>ROW()-1</f>
        <v>612</v>
      </c>
      <c r="B613" s="26" t="s">
        <v>9751</v>
      </c>
      <c r="C613" s="26" t="s">
        <v>9752</v>
      </c>
      <c r="D613" s="26" t="s">
        <v>9754</v>
      </c>
      <c r="E613" s="26" t="s">
        <v>9753</v>
      </c>
      <c r="F613" s="26" t="s">
        <v>3126</v>
      </c>
      <c r="G613" s="26" t="s">
        <v>6469</v>
      </c>
      <c r="H613" s="26" t="str">
        <f>IF(LEFT(I613,4)="JK13","PULWAMA",IF(LEFT(I613,4)="JK01","SRINAGAR",IF(LEFT(I613,4)="JK04","BUDGAM",IF(LEFT(I613,4)="JK03","ANANTNAG",IF(LEFT(I613,4)="JK05","BARAMULLA",IF(LEFT(I613,4)="26BH","BHARAT",IF(LEFT(I613,4)="25BH","BHARAT",IF(LEFT(I613,4)="JK12","POONCH",IF(LEFT(I613,4)="JK16","GANDERBAL",IF(LEFT(I613,4)="JK18","KULGAM",IF(LEFT(I613,4)="JK22","SHOPIAN",IF(LEFT(I613,4)="JK02","JAMMU",IF(LEFT(I613,4)="JK09","KUPWARA",IF(LEFT(I613,4)="JK15","BANDIPORA",IF(LEFT(I613,4)="JK17","KISHTWAR",IF(LEFT(I613,4)="LA01","KARGIL",IF(LEFT(I613,1)="T","TEMP","NEW")))))))))))))))))</f>
        <v>BUDGAM</v>
      </c>
      <c r="I613" s="26" t="s">
        <v>9760</v>
      </c>
      <c r="J613" s="27">
        <v>46113</v>
      </c>
      <c r="K613" s="26">
        <v>7006248705</v>
      </c>
      <c r="L613" s="26" t="s">
        <v>68</v>
      </c>
      <c r="M613" s="28" t="s">
        <v>7943</v>
      </c>
      <c r="N613" s="27">
        <v>46116</v>
      </c>
      <c r="O613" s="26" t="s">
        <v>23</v>
      </c>
      <c r="P613" s="29">
        <v>46114</v>
      </c>
      <c r="Q613" s="26" t="s">
        <v>6454</v>
      </c>
      <c r="R613" s="26"/>
    </row>
    <row r="614" spans="1:18" x14ac:dyDescent="0.25">
      <c r="A614" s="26">
        <f>ROW()-1</f>
        <v>613</v>
      </c>
      <c r="B614" s="26" t="s">
        <v>9766</v>
      </c>
      <c r="C614" s="26" t="s">
        <v>9763</v>
      </c>
      <c r="D614" s="26" t="s">
        <v>9764</v>
      </c>
      <c r="E614" s="26" t="s">
        <v>9765</v>
      </c>
      <c r="F614" s="26" t="s">
        <v>116</v>
      </c>
      <c r="G614" s="26" t="s">
        <v>172</v>
      </c>
      <c r="H614" s="26" t="str">
        <f>IF(LEFT(I614,4)="JK13","PULWAMA",IF(LEFT(I614,4)="JK01","SRINAGAR",IF(LEFT(I614,4)="JK04","BUDGAM",IF(LEFT(I614,4)="JK03","ANANTNAG",IF(LEFT(I614,4)="JK05","BARAMULLA",IF(LEFT(I614,4)="26BH","BHARAT",IF(LEFT(I614,4)="25BH","BHARAT",IF(LEFT(I614,4)="JK12","POONCH",IF(LEFT(I614,4)="JK16","GANDERBAL",IF(LEFT(I614,4)="JK18","KULGAM",IF(LEFT(I614,4)="JK22","SHOPIAN",IF(LEFT(I614,4)="JK02","JAMMU",IF(LEFT(I614,4)="JK09","KUPWARA",IF(LEFT(I614,4)="JK15","BANDIPORA",IF(LEFT(I614,4)="JK17","KISHTWAR",IF(LEFT(I614,4)="LA01","KARGIL",IF(LEFT(I614,1)="T","TEMP","NEW")))))))))))))))))</f>
        <v>SRINAGAR</v>
      </c>
      <c r="I614" s="26" t="s">
        <v>9780</v>
      </c>
      <c r="J614" s="27">
        <v>46115</v>
      </c>
      <c r="K614" s="26">
        <v>9596989763</v>
      </c>
      <c r="L614" s="26" t="s">
        <v>3509</v>
      </c>
      <c r="M614" s="28"/>
      <c r="N614" s="27"/>
      <c r="O614" s="26" t="s">
        <v>23</v>
      </c>
      <c r="P614" s="29">
        <v>46123</v>
      </c>
      <c r="Q614" s="26" t="s">
        <v>6454</v>
      </c>
      <c r="R614" s="26"/>
    </row>
    <row r="615" spans="1:18" x14ac:dyDescent="0.25">
      <c r="A615" s="26">
        <f>ROW()-1</f>
        <v>614</v>
      </c>
      <c r="B615" s="26" t="s">
        <v>9771</v>
      </c>
      <c r="C615" s="26" t="s">
        <v>9772</v>
      </c>
      <c r="D615" s="26" t="s">
        <v>9773</v>
      </c>
      <c r="E615" s="26" t="s">
        <v>9774</v>
      </c>
      <c r="F615" s="26" t="s">
        <v>122</v>
      </c>
      <c r="G615" s="26" t="s">
        <v>197</v>
      </c>
      <c r="H615" s="26" t="str">
        <f>IF(LEFT(I615,4)="JK13","PULWAMA",IF(LEFT(I615,4)="JK01","SRINAGAR",IF(LEFT(I615,4)="JK04","BUDGAM",IF(LEFT(I615,4)="JK03","ANANTNAG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</f>
        <v>SRINAGAR</v>
      </c>
      <c r="I615" s="26" t="s">
        <v>9775</v>
      </c>
      <c r="J615" s="27">
        <v>46115</v>
      </c>
      <c r="K615" s="26">
        <v>9906605500</v>
      </c>
      <c r="L615" s="26" t="s">
        <v>59</v>
      </c>
      <c r="M615" s="28" t="s">
        <v>7607</v>
      </c>
      <c r="N615" s="27">
        <v>46118</v>
      </c>
      <c r="O615" s="26" t="s">
        <v>23</v>
      </c>
      <c r="P615" s="29">
        <v>46115</v>
      </c>
      <c r="Q615" s="26" t="s">
        <v>6454</v>
      </c>
      <c r="R615" s="26"/>
    </row>
    <row r="616" spans="1:18" x14ac:dyDescent="0.25">
      <c r="A616" s="26">
        <f>ROW()-1</f>
        <v>615</v>
      </c>
      <c r="B616" s="26" t="s">
        <v>9779</v>
      </c>
      <c r="C616" s="26" t="s">
        <v>9776</v>
      </c>
      <c r="D616" s="26" t="s">
        <v>9777</v>
      </c>
      <c r="E616" s="26" t="s">
        <v>9778</v>
      </c>
      <c r="F616" s="26" t="s">
        <v>31</v>
      </c>
      <c r="G616" s="26" t="s">
        <v>197</v>
      </c>
      <c r="H616" s="26" t="str">
        <f>IF(LEFT(I616,4)="JK13","PULWAMA",IF(LEFT(I616,4)="JK01","SRINAGAR",IF(LEFT(I616,4)="JK04","BUDGAM",IF(LEFT(I616,4)="JK03","ANANTNAG",IF(LEFT(I616,4)="JK05","BARAMULLA",IF(LEFT(I616,4)="26BH","BHARAT",IF(LEFT(I616,4)="25BH","BHARAT",IF(LEFT(I616,4)="JK12","POONCH",IF(LEFT(I616,4)="JK16","GANDERBAL",IF(LEFT(I616,4)="JK18","KULGAM",IF(LEFT(I616,4)="JK22","SHOPIAN",IF(LEFT(I616,4)="JK02","JAMMU",IF(LEFT(I616,4)="JK09","KUPWARA",IF(LEFT(I616,4)="JK15","BANDIPORA",IF(LEFT(I616,4)="JK17","KISHTWAR",IF(LEFT(I616,4)="LA01","KARGIL",IF(LEFT(I616,1)="T","TEMP","NEW")))))))))))))))))</f>
        <v>POONCH</v>
      </c>
      <c r="I616" s="26" t="s">
        <v>9781</v>
      </c>
      <c r="J616" s="27">
        <v>46115</v>
      </c>
      <c r="K616" s="26">
        <v>7006462986</v>
      </c>
      <c r="L616" s="26" t="s">
        <v>192</v>
      </c>
      <c r="M616" s="28"/>
      <c r="N616" s="27"/>
      <c r="O616" s="26"/>
      <c r="P616" s="29"/>
      <c r="Q616" s="26"/>
      <c r="R616" s="26"/>
    </row>
    <row r="617" spans="1:18" x14ac:dyDescent="0.25">
      <c r="A617" s="26">
        <f>ROW()-1</f>
        <v>616</v>
      </c>
      <c r="B617" s="26" t="s">
        <v>9783</v>
      </c>
      <c r="C617" s="26" t="s">
        <v>9784</v>
      </c>
      <c r="D617" s="26" t="s">
        <v>9785</v>
      </c>
      <c r="E617" s="26" t="s">
        <v>9786</v>
      </c>
      <c r="F617" s="26" t="s">
        <v>65</v>
      </c>
      <c r="G617" s="26" t="s">
        <v>197</v>
      </c>
      <c r="H617" s="26" t="str">
        <f>IF(LEFT(I617,4)="JK13","PULWAMA",IF(LEFT(I617,4)="JK01","SRINAGAR",IF(LEFT(I617,4)="JK04","BUDGAM",IF(LEFT(I617,4)="JK03","ANANTNAG",IF(LEFT(I617,4)="JK05","BARAMULLA",IF(LEFT(I617,4)="26BH","BHARAT",IF(LEFT(I617,4)="25BH","BHARAT",IF(LEFT(I617,4)="JK12","POONCH",IF(LEFT(I617,4)="JK16","GANDERBAL",IF(LEFT(I617,4)="JK18","KULGAM",IF(LEFT(I617,4)="JK22","SHOPIAN",IF(LEFT(I617,4)="JK02","JAMMU",IF(LEFT(I617,4)="JK09","KUPWARA",IF(LEFT(I617,4)="JK15","BANDIPORA",IF(LEFT(I617,4)="JK17","KISHTWAR",IF(LEFT(I617,4)="LA01","KARGIL",IF(LEFT(I617,1)="T","TEMP","NEW")))))))))))))))))</f>
        <v>BARAMULLA</v>
      </c>
      <c r="I617" s="26" t="s">
        <v>9787</v>
      </c>
      <c r="J617" s="27">
        <v>46115</v>
      </c>
      <c r="K617" s="26">
        <v>9622886443</v>
      </c>
      <c r="L617" s="26" t="s">
        <v>26</v>
      </c>
      <c r="M617" s="28" t="s">
        <v>7445</v>
      </c>
      <c r="N617" s="27">
        <v>46121</v>
      </c>
      <c r="O617" s="26" t="s">
        <v>23</v>
      </c>
      <c r="P617" s="29">
        <v>46116</v>
      </c>
      <c r="Q617" s="26" t="s">
        <v>6454</v>
      </c>
      <c r="R617" s="26"/>
    </row>
    <row r="618" spans="1:18" x14ac:dyDescent="0.25">
      <c r="A618" s="26">
        <f>ROW()-1</f>
        <v>617</v>
      </c>
      <c r="B618" s="26" t="s">
        <v>9789</v>
      </c>
      <c r="C618" s="26" t="s">
        <v>9790</v>
      </c>
      <c r="D618" s="26" t="s">
        <v>9791</v>
      </c>
      <c r="E618" s="26" t="s">
        <v>9792</v>
      </c>
      <c r="F618" s="26" t="s">
        <v>122</v>
      </c>
      <c r="G618" s="26" t="s">
        <v>197</v>
      </c>
      <c r="H618" s="26" t="str">
        <f>IF(LEFT(I618,4)="JK13","PULWAMA",IF(LEFT(I618,4)="JK01","SRINAGAR",IF(LEFT(I618,4)="JK04","BUDGAM",IF(LEFT(I618,4)="JK03","ANANTNAG",IF(LEFT(I618,4)="JK05","BARAMULLA",IF(LEFT(I618,4)="26BH","BHARAT",IF(LEFT(I618,4)="25BH","BHARAT",IF(LEFT(I618,4)="JK12","POONCH",IF(LEFT(I618,4)="JK16","GANDERBAL",IF(LEFT(I618,4)="JK18","KULGAM",IF(LEFT(I618,4)="JK22","SHOPIAN",IF(LEFT(I618,4)="JK02","JAMMU",IF(LEFT(I618,4)="JK09","KUPWARA",IF(LEFT(I618,4)="JK15","BANDIPORA",IF(LEFT(I618,4)="JK17","KISHTWAR",IF(LEFT(I618,4)="LA01","KARGIL",IF(LEFT(I618,1)="T","TEMP","NEW")))))))))))))))))</f>
        <v>POONCH</v>
      </c>
      <c r="I618" s="26" t="s">
        <v>9796</v>
      </c>
      <c r="J618" s="27">
        <v>46115</v>
      </c>
      <c r="K618" s="26">
        <v>9596721265</v>
      </c>
      <c r="L618" s="26" t="s">
        <v>192</v>
      </c>
      <c r="M618" s="28"/>
      <c r="N618" s="27"/>
      <c r="O618" s="26"/>
      <c r="P618" s="29"/>
      <c r="Q618" s="26"/>
      <c r="R618" s="26"/>
    </row>
    <row r="619" spans="1:18" x14ac:dyDescent="0.25">
      <c r="A619" s="26">
        <f>ROW()-1</f>
        <v>618</v>
      </c>
      <c r="B619" s="26" t="s">
        <v>9793</v>
      </c>
      <c r="C619" s="26" t="s">
        <v>9794</v>
      </c>
      <c r="D619" s="26" t="s">
        <v>9795</v>
      </c>
      <c r="E619" s="26" t="s">
        <v>1568</v>
      </c>
      <c r="F619" s="26" t="s">
        <v>5</v>
      </c>
      <c r="G619" s="26" t="s">
        <v>197</v>
      </c>
      <c r="H619" s="26" t="str">
        <f>IF(LEFT(I619,4)="JK13","PULWAMA",IF(LEFT(I619,4)="JK01","SRINAGAR",IF(LEFT(I619,4)="JK04","BUDGAM",IF(LEFT(I619,4)="JK03","ANANTNAG",IF(LEFT(I619,4)="JK05","BARAMULLA",IF(LEFT(I619,4)="26BH","BHARAT",IF(LEFT(I619,4)="25BH","BHARAT",IF(LEFT(I619,4)="JK12","POONCH",IF(LEFT(I619,4)="JK16","GANDERBAL",IF(LEFT(I619,4)="JK18","KULGAM",IF(LEFT(I619,4)="JK22","SHOPIAN",IF(LEFT(I619,4)="JK02","JAMMU",IF(LEFT(I619,4)="JK09","KUPWARA",IF(LEFT(I619,4)="JK15","BANDIPORA",IF(LEFT(I619,4)="JK17","KISHTWAR",IF(LEFT(I619,4)="LA01","KARGIL",IF(LEFT(I619,1)="T","TEMP","NEW")))))))))))))))))</f>
        <v>PULWAMA</v>
      </c>
      <c r="I619" s="26" t="s">
        <v>9797</v>
      </c>
      <c r="J619" s="27">
        <v>46115</v>
      </c>
      <c r="K619" s="26">
        <v>9469030391</v>
      </c>
      <c r="L619" s="26" t="s">
        <v>26</v>
      </c>
      <c r="M619" s="28"/>
      <c r="N619" s="27"/>
      <c r="O619" s="26" t="s">
        <v>23</v>
      </c>
      <c r="P619" s="29">
        <v>46116</v>
      </c>
      <c r="Q619" s="26" t="s">
        <v>6454</v>
      </c>
      <c r="R619" s="26"/>
    </row>
    <row r="620" spans="1:18" x14ac:dyDescent="0.25">
      <c r="A620" s="26">
        <f>ROW()-1</f>
        <v>619</v>
      </c>
      <c r="B620" s="26" t="s">
        <v>9800</v>
      </c>
      <c r="C620" s="26" t="s">
        <v>9801</v>
      </c>
      <c r="D620" s="26" t="s">
        <v>9802</v>
      </c>
      <c r="E620" s="26" t="s">
        <v>9803</v>
      </c>
      <c r="F620" s="26" t="s">
        <v>31</v>
      </c>
      <c r="G620" s="26" t="s">
        <v>197</v>
      </c>
      <c r="H620" s="26" t="str">
        <f>IF(LEFT(I620,4)="JK13","PULWAMA",IF(LEFT(I620,4)="JK01","SRINAGAR",IF(LEFT(I620,4)="JK04","BUDGAM",IF(LEFT(I620,4)="JK03","ANANTNAG",IF(LEFT(I620,4)="JK05","BARAMULLA",IF(LEFT(I620,4)="26BH","BHARAT",IF(LEFT(I620,4)="25BH","BHARAT",IF(LEFT(I620,4)="JK12","POONCH",IF(LEFT(I620,4)="JK16","GANDERBAL",IF(LEFT(I620,4)="JK18","KULGAM",IF(LEFT(I620,4)="JK22","SHOPIAN",IF(LEFT(I620,4)="JK02","JAMMU",IF(LEFT(I620,4)="JK09","KUPWARA",IF(LEFT(I620,4)="JK15","BANDIPORA",IF(LEFT(I620,4)="JK17","KISHTWAR",IF(LEFT(I620,4)="LA01","KARGIL",IF(LEFT(I620,1)="T","TEMP","NEW")))))))))))))))))</f>
        <v>POONCH</v>
      </c>
      <c r="I620" s="26" t="s">
        <v>9804</v>
      </c>
      <c r="J620" s="27">
        <v>46116</v>
      </c>
      <c r="K620" s="26">
        <v>7006569087</v>
      </c>
      <c r="L620" s="26" t="s">
        <v>192</v>
      </c>
      <c r="M620" s="28"/>
      <c r="N620" s="27"/>
      <c r="O620" s="26"/>
      <c r="P620" s="29"/>
      <c r="Q620" s="26"/>
      <c r="R620" s="26"/>
    </row>
    <row r="621" spans="1:18" x14ac:dyDescent="0.25">
      <c r="A621" s="26">
        <f>ROW()-1</f>
        <v>620</v>
      </c>
      <c r="B621" s="26" t="s">
        <v>9805</v>
      </c>
      <c r="C621" s="26" t="s">
        <v>9806</v>
      </c>
      <c r="D621" s="26" t="s">
        <v>9807</v>
      </c>
      <c r="E621" s="26" t="s">
        <v>9808</v>
      </c>
      <c r="F621" s="26" t="s">
        <v>116</v>
      </c>
      <c r="G621" s="26" t="s">
        <v>197</v>
      </c>
      <c r="H621" s="26" t="str">
        <f>IF(LEFT(I621,4)="JK13","PULWAMA",IF(LEFT(I621,4)="JK01","SRINAGAR",IF(LEFT(I621,4)="JK04","BUDGAM",IF(LEFT(I621,4)="JK03","ANANTNAG",IF(LEFT(I621,4)="JK05","BARAMULLA",IF(LEFT(I621,4)="26BH","BHARAT",IF(LEFT(I621,4)="25BH","BHARAT",IF(LEFT(I621,4)="JK12","POONCH",IF(LEFT(I621,4)="JK16","GANDERBAL",IF(LEFT(I621,4)="JK18","KULGAM",IF(LEFT(I621,4)="JK22","SHOPIAN",IF(LEFT(I621,4)="JK02","JAMMU",IF(LEFT(I621,4)="JK09","KUPWARA",IF(LEFT(I621,4)="JK15","BANDIPORA",IF(LEFT(I621,4)="JK17","KISHTWAR",IF(LEFT(I621,4)="LA01","KARGIL",IF(LEFT(I621,1)="T","TEMP","NEW")))))))))))))))))</f>
        <v>SRINAGAR</v>
      </c>
      <c r="I621" s="26" t="s">
        <v>9811</v>
      </c>
      <c r="J621" s="27">
        <v>46116</v>
      </c>
      <c r="K621" s="26">
        <v>7889391399</v>
      </c>
      <c r="L621" s="26" t="s">
        <v>480</v>
      </c>
      <c r="M621" s="28"/>
      <c r="N621" s="27"/>
      <c r="O621" s="26" t="s">
        <v>23</v>
      </c>
      <c r="P621" s="29">
        <v>46116</v>
      </c>
      <c r="Q621" s="26" t="s">
        <v>6454</v>
      </c>
      <c r="R621" s="26"/>
    </row>
    <row r="622" spans="1:18" x14ac:dyDescent="0.25">
      <c r="A622" s="26">
        <f>ROW()-1</f>
        <v>621</v>
      </c>
      <c r="B622" s="26" t="s">
        <v>9814</v>
      </c>
      <c r="C622" s="26" t="s">
        <v>9816</v>
      </c>
      <c r="D622" s="26" t="s">
        <v>9817</v>
      </c>
      <c r="E622" s="26" t="s">
        <v>9815</v>
      </c>
      <c r="F622" s="26" t="s">
        <v>277</v>
      </c>
      <c r="G622" s="26" t="s">
        <v>178</v>
      </c>
      <c r="H622" s="26" t="str">
        <f>IF(LEFT(I622,4)="JK13","PULWAMA",IF(LEFT(I622,4)="JK01","SRINAGAR",IF(LEFT(I622,4)="JK04","BUDGAM",IF(LEFT(I622,4)="JK03","ANANTNAG",IF(LEFT(I622,4)="JK05","BARAMULLA",IF(LEFT(I622,4)="26BH","BHARAT",IF(LEFT(I622,4)="25BH","BHARAT",IF(LEFT(I622,4)="JK12","POONCH",IF(LEFT(I622,4)="JK16","GANDERBAL",IF(LEFT(I622,4)="JK18","KULGAM",IF(LEFT(I622,4)="JK22","SHOPIAN",IF(LEFT(I622,4)="JK02","JAMMU",IF(LEFT(I622,4)="JK09","KUPWARA",IF(LEFT(I622,4)="JK15","BANDIPORA",IF(LEFT(I622,4)="JK17","KISHTWAR",IF(LEFT(I622,4)="LA01","KARGIL",IF(LEFT(I622,1)="T","TEMP","NEW")))))))))))))))))</f>
        <v>ANANTNAG</v>
      </c>
      <c r="I622" s="26" t="s">
        <v>9818</v>
      </c>
      <c r="J622" s="27">
        <v>46118</v>
      </c>
      <c r="K622" s="26">
        <v>9682339805</v>
      </c>
      <c r="L622" s="26" t="s">
        <v>26</v>
      </c>
      <c r="M622" s="28" t="s">
        <v>8215</v>
      </c>
      <c r="N622" s="27">
        <v>46121</v>
      </c>
      <c r="O622" s="26" t="s">
        <v>23</v>
      </c>
      <c r="P622" s="29">
        <v>46118</v>
      </c>
      <c r="Q622" s="26" t="s">
        <v>6454</v>
      </c>
      <c r="R622" s="26"/>
    </row>
    <row r="623" spans="1:18" x14ac:dyDescent="0.25">
      <c r="A623" s="26">
        <f>ROW()-1</f>
        <v>622</v>
      </c>
      <c r="B623" s="26" t="s">
        <v>9820</v>
      </c>
      <c r="C623" s="26" t="s">
        <v>9822</v>
      </c>
      <c r="D623" s="26" t="s">
        <v>9825</v>
      </c>
      <c r="E623" s="26" t="s">
        <v>9821</v>
      </c>
      <c r="F623" s="26" t="s">
        <v>31</v>
      </c>
      <c r="G623" s="26" t="s">
        <v>197</v>
      </c>
      <c r="H623" s="26" t="str">
        <f>IF(LEFT(I623,4)="JK13","PULWAMA",IF(LEFT(I623,4)="JK01","SRINAGAR",IF(LEFT(I623,4)="JK04","BUDGAM",IF(LEFT(I623,4)="JK03","ANANTNAG",IF(LEFT(I623,4)="JK05","BARAMULLA",IF(LEFT(I623,4)="26BH","BHARAT",IF(LEFT(I623,4)="25BH","BHARAT",IF(LEFT(I623,4)="JK12","POONCH",IF(LEFT(I623,4)="JK16","GANDERBAL",IF(LEFT(I623,4)="JK18","KULGAM",IF(LEFT(I623,4)="JK22","SHOPIAN",IF(LEFT(I623,4)="JK02","JAMMU",IF(LEFT(I623,4)="JK09","KUPWARA",IF(LEFT(I623,4)="JK15","BANDIPORA",IF(LEFT(I623,4)="JK17","KISHTWAR",IF(LEFT(I623,4)="LA01","KARGIL",IF(LEFT(I623,1)="T","TEMP","NEW")))))))))))))))))</f>
        <v>SRINAGAR</v>
      </c>
      <c r="I623" s="26" t="s">
        <v>9826</v>
      </c>
      <c r="J623" s="27">
        <v>46119</v>
      </c>
      <c r="K623" s="26">
        <v>7889626233</v>
      </c>
      <c r="L623" s="26" t="s">
        <v>303</v>
      </c>
      <c r="M623" s="28" t="s">
        <v>8081</v>
      </c>
      <c r="N623" s="27">
        <v>46119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>ROW()-1</f>
        <v>623</v>
      </c>
      <c r="B624" s="26" t="s">
        <v>9770</v>
      </c>
      <c r="C624" s="26" t="s">
        <v>9767</v>
      </c>
      <c r="D624" s="26" t="s">
        <v>9768</v>
      </c>
      <c r="E624" s="26" t="s">
        <v>9769</v>
      </c>
      <c r="F624" s="26" t="s">
        <v>5</v>
      </c>
      <c r="G624" s="26" t="s">
        <v>196</v>
      </c>
      <c r="H624" s="26" t="str">
        <f>IF(LEFT(I624,4)="JK13","PULWAMA",IF(LEFT(I624,4)="JK01","SRINAGAR",IF(LEFT(I624,4)="JK04","BUDGAM",IF(LEFT(I624,4)="JK03","ANANTNAG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</f>
        <v>BHARAT</v>
      </c>
      <c r="I624" s="26" t="s">
        <v>9827</v>
      </c>
      <c r="J624" s="27">
        <v>46119</v>
      </c>
      <c r="K624" s="26">
        <v>9149899595</v>
      </c>
      <c r="L624" s="26" t="s">
        <v>6564</v>
      </c>
      <c r="M624" s="28" t="s">
        <v>8215</v>
      </c>
      <c r="N624" s="27">
        <v>46120</v>
      </c>
      <c r="O624" s="26" t="s">
        <v>23</v>
      </c>
      <c r="P624" s="29">
        <v>46119</v>
      </c>
      <c r="Q624" s="26" t="s">
        <v>6454</v>
      </c>
      <c r="R624" s="26"/>
    </row>
    <row r="625" spans="1:18" x14ac:dyDescent="0.25">
      <c r="A625" s="26">
        <f>ROW()-1</f>
        <v>624</v>
      </c>
      <c r="B625" s="26" t="s">
        <v>9831</v>
      </c>
      <c r="C625" s="26" t="s">
        <v>9828</v>
      </c>
      <c r="D625" s="26" t="s">
        <v>9829</v>
      </c>
      <c r="E625" s="26" t="s">
        <v>9830</v>
      </c>
      <c r="F625" s="26" t="s">
        <v>116</v>
      </c>
      <c r="G625" s="26" t="s">
        <v>218</v>
      </c>
      <c r="H625" s="26" t="str">
        <f>IF(LEFT(I625,4)="JK13","PULWAMA",IF(LEFT(I625,4)="JK01","SRINAGAR",IF(LEFT(I625,4)="JK04","BUDGAM",IF(LEFT(I625,4)="JK03","ANANTNAG",IF(LEFT(I625,4)="JK05","BARAMULLA",IF(LEFT(I625,4)="26BH","BHARAT",IF(LEFT(I625,4)="25BH","BHARAT",IF(LEFT(I625,4)="JK12","POONCH",IF(LEFT(I625,4)="JK16","GANDERBAL",IF(LEFT(I625,4)="JK18","KULGAM",IF(LEFT(I625,4)="JK22","SHOPIAN",IF(LEFT(I625,4)="JK02","JAMMU",IF(LEFT(I625,4)="JK09","KUPWARA",IF(LEFT(I625,4)="JK15","BANDIPORA",IF(LEFT(I625,4)="JK17","KISHTWAR",IF(LEFT(I625,4)="LA01","KARGIL",IF(LEFT(I625,1)="T","TEMP","NEW")))))))))))))))))</f>
        <v>BUDGAM</v>
      </c>
      <c r="I625" s="26" t="s">
        <v>9832</v>
      </c>
      <c r="J625" s="27">
        <v>46119</v>
      </c>
      <c r="K625" s="26">
        <v>9697398972</v>
      </c>
      <c r="L625" s="26" t="s">
        <v>8857</v>
      </c>
      <c r="M625" s="28" t="s">
        <v>8581</v>
      </c>
      <c r="N625" s="27">
        <v>46121</v>
      </c>
      <c r="O625" s="26" t="s">
        <v>23</v>
      </c>
      <c r="P625" s="29">
        <v>46121</v>
      </c>
      <c r="Q625" s="26" t="s">
        <v>6454</v>
      </c>
      <c r="R625" s="26"/>
    </row>
    <row r="626" spans="1:18" x14ac:dyDescent="0.25">
      <c r="A626" s="26">
        <f>ROW()-1</f>
        <v>625</v>
      </c>
      <c r="B626" s="26" t="s">
        <v>9835</v>
      </c>
      <c r="C626" s="26" t="s">
        <v>9836</v>
      </c>
      <c r="D626" s="26" t="s">
        <v>9837</v>
      </c>
      <c r="E626" s="26" t="s">
        <v>4926</v>
      </c>
      <c r="F626" s="26" t="s">
        <v>122</v>
      </c>
      <c r="G626" s="26" t="s">
        <v>171</v>
      </c>
      <c r="H626" s="26" t="str">
        <f>IF(LEFT(I626,4)="JK13","PULWAMA",IF(LEFT(I626,4)="JK01","SRINAGAR",IF(LEFT(I626,4)="JK04","BUDGAM",IF(LEFT(I626,4)="JK03","ANANTNAG",IF(LEFT(I626,4)="JK05","BARAMULLA",IF(LEFT(I626,4)="26BH","BHARAT",IF(LEFT(I626,4)="25BH","BHARAT",IF(LEFT(I626,4)="JK12","POONCH",IF(LEFT(I626,4)="JK16","GANDERBAL",IF(LEFT(I626,4)="JK18","KULGAM",IF(LEFT(I626,4)="JK22","SHOPIAN",IF(LEFT(I626,4)="JK02","JAMMU",IF(LEFT(I626,4)="JK09","KUPWARA",IF(LEFT(I626,4)="JK15","BANDIPORA",IF(LEFT(I626,4)="JK17","KISHTWAR",IF(LEFT(I626,4)="LA01","KARGIL",IF(LEFT(I626,1)="T","TEMP","NEW")))))))))))))))))</f>
        <v>KULGAM</v>
      </c>
      <c r="I626" s="26" t="s">
        <v>9846</v>
      </c>
      <c r="J626" s="27">
        <v>46120</v>
      </c>
      <c r="K626" s="26">
        <v>8825053411</v>
      </c>
      <c r="L626" s="26" t="s">
        <v>434</v>
      </c>
      <c r="M626" s="28"/>
      <c r="N626" s="27"/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>ROW()-1</f>
        <v>626</v>
      </c>
      <c r="B627" s="26" t="s">
        <v>9838</v>
      </c>
      <c r="C627" s="26" t="s">
        <v>9840</v>
      </c>
      <c r="D627" s="26" t="s">
        <v>9841</v>
      </c>
      <c r="E627" s="26" t="s">
        <v>9839</v>
      </c>
      <c r="F627" s="26" t="s">
        <v>116</v>
      </c>
      <c r="G627" s="26" t="s">
        <v>197</v>
      </c>
      <c r="H627" s="26" t="str">
        <f>IF(LEFT(I627,4)="JK13","PULWAMA",IF(LEFT(I627,4)="JK01","SRINAGAR",IF(LEFT(I627,4)="JK04","BUDGAM",IF(LEFT(I627,4)="JK03","ANANTNAG",IF(LEFT(I627,4)="JK05","BARAMULLA",IF(LEFT(I627,4)="26BH","BHARAT",IF(LEFT(I627,4)="25BH","BHARAT",IF(LEFT(I627,4)="JK12","POONCH",IF(LEFT(I627,4)="JK16","GANDERBAL",IF(LEFT(I627,4)="JK18","KULGAM",IF(LEFT(I627,4)="JK22","SHOPIAN",IF(LEFT(I627,4)="JK02","JAMMU",IF(LEFT(I627,4)="JK09","KUPWARA",IF(LEFT(I627,4)="JK15","BANDIPORA",IF(LEFT(I627,4)="JK17","KISHTWAR",IF(LEFT(I627,4)="LA01","KARGIL",IF(LEFT(I627,1)="T","TEMP","NEW")))))))))))))))))</f>
        <v>SRINAGAR</v>
      </c>
      <c r="I627" s="26" t="s">
        <v>9847</v>
      </c>
      <c r="J627" s="27">
        <v>46120</v>
      </c>
      <c r="K627" s="26">
        <v>7780848903</v>
      </c>
      <c r="L627" s="26" t="s">
        <v>480</v>
      </c>
      <c r="M627" s="28" t="s">
        <v>7763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>ROW()-1</f>
        <v>627</v>
      </c>
      <c r="B628" s="26" t="s">
        <v>9842</v>
      </c>
      <c r="C628" s="26" t="s">
        <v>9843</v>
      </c>
      <c r="D628" s="26" t="s">
        <v>9844</v>
      </c>
      <c r="E628" s="26" t="s">
        <v>9845</v>
      </c>
      <c r="F628" s="26" t="s">
        <v>116</v>
      </c>
      <c r="G628" s="26" t="s">
        <v>218</v>
      </c>
      <c r="H628" s="26" t="str">
        <f>IF(LEFT(I628,4)="JK13","PULWAMA",IF(LEFT(I628,4)="JK01","SRINAGAR",IF(LEFT(I628,4)="JK04","BUDGAM",IF(LEFT(I628,4)="JK03","ANANTNAG",IF(LEFT(I628,4)="JK05","BARAMULLA",IF(LEFT(I628,4)="26BH","BHARAT",IF(LEFT(I628,4)="25BH","BHARAT",IF(LEFT(I628,4)="JK12","POONCH",IF(LEFT(I628,4)="JK16","GANDERBAL",IF(LEFT(I628,4)="JK18","KULGAM",IF(LEFT(I628,4)="JK22","SHOPIAN",IF(LEFT(I628,4)="JK02","JAMMU",IF(LEFT(I628,4)="JK09","KUPWARA",IF(LEFT(I628,4)="JK15","BANDIPORA",IF(LEFT(I628,4)="JK17","KISHTWAR",IF(LEFT(I628,4)="LA01","KARGIL",IF(LEFT(I628,1)="T","TEMP","NEW")))))))))))))))))</f>
        <v>BARAMULLA</v>
      </c>
      <c r="I628" s="26" t="s">
        <v>9848</v>
      </c>
      <c r="J628" s="27">
        <v>46120</v>
      </c>
      <c r="K628" s="26">
        <v>9541046722</v>
      </c>
      <c r="L628" s="26" t="s">
        <v>104</v>
      </c>
      <c r="M628" s="28" t="s">
        <v>7883</v>
      </c>
      <c r="N628" s="27">
        <v>46121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>ROW()-1</f>
        <v>628</v>
      </c>
      <c r="B629" s="26" t="s">
        <v>9852</v>
      </c>
      <c r="C629" s="26" t="s">
        <v>9849</v>
      </c>
      <c r="D629" s="26" t="s">
        <v>9850</v>
      </c>
      <c r="E629" s="26" t="s">
        <v>9851</v>
      </c>
      <c r="F629" s="26" t="s">
        <v>12</v>
      </c>
      <c r="G629" s="26" t="s">
        <v>178</v>
      </c>
      <c r="H629" s="26" t="str">
        <f>IF(LEFT(I629,4)="JK13","PULWAMA",IF(LEFT(I629,4)="JK01","SRINAGAR",IF(LEFT(I629,4)="JK04","BUDGAM",IF(LEFT(I629,4)="JK03","ANANTNAG",IF(LEFT(I629,4)="JK05","BARAMULLA",IF(LEFT(I629,4)="26BH","BHARAT",IF(LEFT(I629,4)="25BH","BHARAT",IF(LEFT(I629,4)="JK12","POONCH",IF(LEFT(I629,4)="JK16","GANDERBAL",IF(LEFT(I629,4)="JK18","KULGAM",IF(LEFT(I629,4)="JK22","SHOPIAN",IF(LEFT(I629,4)="JK02","JAMMU",IF(LEFT(I629,4)="JK09","KUPWARA",IF(LEFT(I629,4)="JK15","BANDIPORA",IF(LEFT(I629,4)="JK17","KISHTWAR",IF(LEFT(I629,4)="LA01","KARGIL",IF(LEFT(I629,1)="T","TEMP","NEW")))))))))))))))))</f>
        <v>SRINAGAR</v>
      </c>
      <c r="I629" s="26" t="s">
        <v>9854</v>
      </c>
      <c r="J629" s="27">
        <v>46120</v>
      </c>
      <c r="K629" s="26">
        <v>9622429731</v>
      </c>
      <c r="L629" s="26" t="s">
        <v>303</v>
      </c>
      <c r="M629" s="28" t="s">
        <v>7445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>ROW()-1</f>
        <v>629</v>
      </c>
      <c r="B630" s="26" t="s">
        <v>9856</v>
      </c>
      <c r="C630" s="26" t="s">
        <v>9857</v>
      </c>
      <c r="D630" s="26" t="s">
        <v>9864</v>
      </c>
      <c r="E630" s="26" t="s">
        <v>9858</v>
      </c>
      <c r="F630" s="26" t="s">
        <v>31</v>
      </c>
      <c r="G630" s="26" t="s">
        <v>171</v>
      </c>
      <c r="H630" s="26" t="str">
        <f>IF(LEFT(I630,4)="JK13","PULWAMA",IF(LEFT(I630,4)="JK01","SRINAGAR",IF(LEFT(I630,4)="JK04","BUDGAM",IF(LEFT(I630,4)="JK03","ANANTNAG",IF(LEFT(I630,4)="JK05","BARAMULLA",IF(LEFT(I630,4)="26BH","BHARAT",IF(LEFT(I630,4)="25BH","BHARAT",IF(LEFT(I630,4)="JK12","POONCH",IF(LEFT(I630,4)="JK16","GANDERBAL",IF(LEFT(I630,4)="JK18","KULGAM",IF(LEFT(I630,4)="JK22","SHOPIAN",IF(LEFT(I630,4)="JK02","JAMMU",IF(LEFT(I630,4)="JK09","KUPWARA",IF(LEFT(I630,4)="JK15","BANDIPORA",IF(LEFT(I630,4)="JK17","KISHTWAR",IF(LEFT(I630,4)="LA01","KARGIL",IF(LEFT(I630,1)="T","TEMP","NEW")))))))))))))))))</f>
        <v>SRINAGAR</v>
      </c>
      <c r="I630" s="26" t="s">
        <v>9859</v>
      </c>
      <c r="J630" s="27">
        <v>46120</v>
      </c>
      <c r="K630" s="26">
        <v>7006487784</v>
      </c>
      <c r="L630" s="26" t="s">
        <v>26</v>
      </c>
      <c r="M630" s="28" t="s">
        <v>9909</v>
      </c>
      <c r="N630" s="27">
        <v>46122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>ROW()-1</f>
        <v>630</v>
      </c>
      <c r="B631" s="26" t="s">
        <v>9860</v>
      </c>
      <c r="C631" s="26" t="s">
        <v>9861</v>
      </c>
      <c r="D631" s="26" t="s">
        <v>9865</v>
      </c>
      <c r="E631" s="26" t="s">
        <v>9862</v>
      </c>
      <c r="F631" s="26" t="s">
        <v>31</v>
      </c>
      <c r="G631" s="26" t="s">
        <v>197</v>
      </c>
      <c r="H631" s="26" t="str">
        <f>IF(LEFT(I631,4)="JK13","PULWAMA",IF(LEFT(I631,4)="JK01","SRINAGAR",IF(LEFT(I631,4)="JK04","BUDGAM",IF(LEFT(I631,4)="JK03","ANANTNAG",IF(LEFT(I631,4)="JK05","BARAMULLA",IF(LEFT(I631,4)="26BH","BHARAT",IF(LEFT(I631,4)="25BH","BHARAT",IF(LEFT(I631,4)="JK12","POONCH",IF(LEFT(I631,4)="JK16","GANDERBAL",IF(LEFT(I631,4)="JK18","KULGAM",IF(LEFT(I631,4)="JK22","SHOPIAN",IF(LEFT(I631,4)="JK02","JAMMU",IF(LEFT(I631,4)="JK09","KUPWARA",IF(LEFT(I631,4)="JK15","BANDIPORA",IF(LEFT(I631,4)="JK17","KISHTWAR",IF(LEFT(I631,4)="LA01","KARGIL",IF(LEFT(I631,1)="T","TEMP","NEW")))))))))))))))))</f>
        <v>BUDGAM</v>
      </c>
      <c r="I631" s="26" t="s">
        <v>9863</v>
      </c>
      <c r="J631" s="27">
        <v>46120</v>
      </c>
      <c r="K631" s="26">
        <v>7006744435</v>
      </c>
      <c r="L631" s="26" t="s">
        <v>26</v>
      </c>
      <c r="M631" s="28"/>
      <c r="N631" s="27"/>
      <c r="O631" s="26" t="s">
        <v>23</v>
      </c>
      <c r="P631" s="29">
        <v>46120</v>
      </c>
      <c r="Q631" s="26" t="s">
        <v>6454</v>
      </c>
      <c r="R631" s="26"/>
    </row>
    <row r="632" spans="1:18" x14ac:dyDescent="0.25">
      <c r="A632" s="26">
        <f>ROW()-1</f>
        <v>631</v>
      </c>
      <c r="B632" s="26" t="s">
        <v>9878</v>
      </c>
      <c r="C632" s="26" t="s">
        <v>9876</v>
      </c>
      <c r="D632" s="26" t="s">
        <v>9877</v>
      </c>
      <c r="E632" s="26" t="s">
        <v>9875</v>
      </c>
      <c r="F632" s="26" t="s">
        <v>116</v>
      </c>
      <c r="G632" s="26" t="s">
        <v>218</v>
      </c>
      <c r="H632" s="26" t="str">
        <f>IF(LEFT(I632,4)="JK13","PULWAMA",IF(LEFT(I632,4)="JK01","SRINAGAR",IF(LEFT(I632,4)="JK04","BUDGAM",IF(LEFT(I632,4)="JK03","ANANTNAG",IF(LEFT(I632,4)="JK05","BARAMULLA",IF(LEFT(I632,4)="26BH","BHARAT",IF(LEFT(I632,4)="25BH","BHARAT",IF(LEFT(I632,4)="JK12","POONCH",IF(LEFT(I632,4)="JK16","GANDERBAL",IF(LEFT(I632,4)="JK18","KULGAM",IF(LEFT(I632,4)="JK22","SHOPIAN",IF(LEFT(I632,4)="JK02","JAMMU",IF(LEFT(I632,4)="JK09","KUPWARA",IF(LEFT(I632,4)="JK15","BANDIPORA",IF(LEFT(I632,4)="JK17","KISHTWAR",IF(LEFT(I632,4)="LA01","KARGIL",IF(LEFT(I632,1)="T","TEMP","NEW")))))))))))))))))</f>
        <v>PULWAMA</v>
      </c>
      <c r="I632" s="26" t="s">
        <v>9883</v>
      </c>
      <c r="J632" s="27">
        <v>46121</v>
      </c>
      <c r="K632" s="26">
        <v>9906638017</v>
      </c>
      <c r="L632" s="26" t="s">
        <v>6515</v>
      </c>
      <c r="M632" s="26" t="s">
        <v>10076</v>
      </c>
      <c r="N632" s="27">
        <v>46125</v>
      </c>
      <c r="O632" s="26"/>
      <c r="P632" s="29"/>
      <c r="Q632" s="26"/>
      <c r="R632" s="26"/>
    </row>
    <row r="633" spans="1:18" s="44" customFormat="1" x14ac:dyDescent="0.25">
      <c r="A633" s="26">
        <f>ROW()-1</f>
        <v>632</v>
      </c>
      <c r="B633" s="26" t="s">
        <v>9885</v>
      </c>
      <c r="C633" s="26" t="s">
        <v>9886</v>
      </c>
      <c r="D633" s="26" t="s">
        <v>9895</v>
      </c>
      <c r="E633" s="26" t="s">
        <v>9887</v>
      </c>
      <c r="F633" s="26" t="s">
        <v>116</v>
      </c>
      <c r="G633" s="26" t="s">
        <v>197</v>
      </c>
      <c r="H633" s="26" t="str">
        <f>IF(LEFT(I633,4)="JK13","PULWAMA",IF(LEFT(I633,4)="JK01","SRINAGAR",IF(LEFT(I633,4)="JK04","BUDGAM",IF(LEFT(I633,4)="JK03","ANANTNAG",IF(LEFT(I633,4)="JK05","BARAMULLA",IF(LEFT(I633,4)="26BH","BHARAT",IF(LEFT(I633,4)="25BH","BHARAT",IF(LEFT(I633,4)="JK12","POONCH",IF(LEFT(I633,4)="JK16","GANDERBAL",IF(LEFT(I633,4)="JK18","KULGAM",IF(LEFT(I633,4)="JK22","SHOPIAN",IF(LEFT(I633,4)="JK02","JAMMU",IF(LEFT(I633,4)="JK09","KUPWARA",IF(LEFT(I633,4)="JK15","BANDIPORA",IF(LEFT(I633,4)="JK17","KISHTWAR",IF(LEFT(I633,4)="LA01","KARGIL",IF(LEFT(I633,1)="T","TEMP","NEW")))))))))))))))))</f>
        <v>PULWAMA</v>
      </c>
      <c r="I633" s="26" t="s">
        <v>9891</v>
      </c>
      <c r="J633" s="27">
        <v>46121</v>
      </c>
      <c r="K633" s="26">
        <v>8082812529</v>
      </c>
      <c r="L633" s="26" t="s">
        <v>6515</v>
      </c>
      <c r="M633" s="26" t="s">
        <v>10076</v>
      </c>
      <c r="N633" s="27">
        <v>46125</v>
      </c>
      <c r="O633" s="26"/>
      <c r="P633" s="29"/>
      <c r="Q633" s="26"/>
      <c r="R633" s="26"/>
    </row>
    <row r="634" spans="1:18" x14ac:dyDescent="0.25">
      <c r="A634" s="26">
        <f>ROW()-1</f>
        <v>633</v>
      </c>
      <c r="B634" s="26" t="s">
        <v>9874</v>
      </c>
      <c r="C634" s="26" t="s">
        <v>9872</v>
      </c>
      <c r="D634" s="26" t="s">
        <v>9873</v>
      </c>
      <c r="E634" s="26" t="s">
        <v>3450</v>
      </c>
      <c r="F634" s="26" t="s">
        <v>31</v>
      </c>
      <c r="G634" s="26" t="s">
        <v>197</v>
      </c>
      <c r="H634" s="26" t="str">
        <f>IF(LEFT(I634,4)="JK13","PULWAMA",IF(LEFT(I634,4)="JK01","SRINAGAR",IF(LEFT(I634,4)="JK04","BUDGAM",IF(LEFT(I634,4)="JK03","ANANTNAG",IF(LEFT(I634,4)="JK05","BARAMULLA",IF(LEFT(I634,4)="26BH","BHARAT",IF(LEFT(I634,4)="25BH","BHARAT",IF(LEFT(I634,4)="JK12","POONCH",IF(LEFT(I634,4)="JK16","GANDERBAL",IF(LEFT(I634,4)="JK18","KULGAM",IF(LEFT(I634,4)="JK22","SHOPIAN",IF(LEFT(I634,4)="JK02","JAMMU",IF(LEFT(I634,4)="JK09","KUPWARA",IF(LEFT(I634,4)="JK15","BANDIPORA",IF(LEFT(I634,4)="JK17","KISHTWAR",IF(LEFT(I634,4)="LA01","KARGIL",IF(LEFT(I634,1)="T","TEMP","NEW")))))))))))))))))</f>
        <v>BUDGAM</v>
      </c>
      <c r="I634" s="26" t="s">
        <v>9884</v>
      </c>
      <c r="J634" s="27">
        <v>46121</v>
      </c>
      <c r="K634" s="26">
        <v>9622744936</v>
      </c>
      <c r="L634" s="26" t="s">
        <v>2168</v>
      </c>
      <c r="M634" s="28" t="s">
        <v>7706</v>
      </c>
      <c r="N634" s="27">
        <v>46121</v>
      </c>
      <c r="O634" s="26" t="s">
        <v>23</v>
      </c>
      <c r="P634" s="29">
        <v>46121</v>
      </c>
      <c r="Q634" s="26" t="s">
        <v>6454</v>
      </c>
      <c r="R634" s="26"/>
    </row>
    <row r="635" spans="1:18" s="44" customFormat="1" x14ac:dyDescent="0.25">
      <c r="A635" s="26">
        <f>ROW()-1</f>
        <v>634</v>
      </c>
      <c r="B635" s="26" t="s">
        <v>9879</v>
      </c>
      <c r="C635" s="26" t="s">
        <v>9880</v>
      </c>
      <c r="D635" s="26" t="s">
        <v>9881</v>
      </c>
      <c r="E635" s="26" t="s">
        <v>826</v>
      </c>
      <c r="F635" s="26" t="s">
        <v>65</v>
      </c>
      <c r="G635" s="26" t="s">
        <v>197</v>
      </c>
      <c r="H635" s="26" t="str">
        <f>IF(LEFT(I635,4)="JK13","PULWAMA",IF(LEFT(I635,4)="JK01","SRINAGAR",IF(LEFT(I635,4)="JK04","BUDGAM",IF(LEFT(I635,4)="JK03","ANANTNAG",IF(LEFT(I635,4)="JK05","BARAMULLA",IF(LEFT(I635,4)="26BH","BHARAT",IF(LEFT(I635,4)="25BH","BHARAT",IF(LEFT(I635,4)="JK12","POONCH",IF(LEFT(I635,4)="JK16","GANDERBAL",IF(LEFT(I635,4)="JK18","KULGAM",IF(LEFT(I635,4)="JK22","SHOPIAN",IF(LEFT(I635,4)="JK02","JAMMU",IF(LEFT(I635,4)="JK09","KUPWARA",IF(LEFT(I635,4)="JK15","BANDIPORA",IF(LEFT(I635,4)="JK17","KISHTWAR",IF(LEFT(I635,4)="LA01","KARGIL",IF(LEFT(I635,1)="T","TEMP","NEW")))))))))))))))))</f>
        <v>PULWAMA</v>
      </c>
      <c r="I635" s="26" t="s">
        <v>9882</v>
      </c>
      <c r="J635" s="27">
        <v>46121</v>
      </c>
      <c r="K635" s="26">
        <v>9541285629</v>
      </c>
      <c r="L635" s="26" t="s">
        <v>6446</v>
      </c>
      <c r="M635" s="28"/>
      <c r="N635" s="27"/>
      <c r="O635" s="26"/>
      <c r="P635" s="29"/>
      <c r="Q635" s="26"/>
      <c r="R635" s="26"/>
    </row>
    <row r="636" spans="1:18" x14ac:dyDescent="0.25">
      <c r="A636" s="26">
        <f>ROW()-1</f>
        <v>635</v>
      </c>
      <c r="B636" s="26" t="s">
        <v>9896</v>
      </c>
      <c r="C636" s="26" t="s">
        <v>9898</v>
      </c>
      <c r="D636" s="26" t="s">
        <v>9897</v>
      </c>
      <c r="E636" s="26" t="s">
        <v>4191</v>
      </c>
      <c r="F636" s="26" t="s">
        <v>6415</v>
      </c>
      <c r="G636" s="26" t="s">
        <v>172</v>
      </c>
      <c r="H636" s="26" t="str">
        <f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SRINAGAR</v>
      </c>
      <c r="I636" s="26" t="s">
        <v>9907</v>
      </c>
      <c r="J636" s="27">
        <v>46121</v>
      </c>
      <c r="K636" s="26">
        <v>7006338991</v>
      </c>
      <c r="L636" s="26" t="s">
        <v>2168</v>
      </c>
      <c r="M636" s="28" t="s">
        <v>7607</v>
      </c>
      <c r="N636" s="27">
        <v>46122</v>
      </c>
      <c r="O636" s="26" t="s">
        <v>23</v>
      </c>
      <c r="P636" s="29">
        <v>46122</v>
      </c>
      <c r="Q636" s="26" t="s">
        <v>6454</v>
      </c>
      <c r="R636" s="26"/>
    </row>
    <row r="637" spans="1:18" x14ac:dyDescent="0.25">
      <c r="A637" s="26">
        <f>ROW()-1</f>
        <v>636</v>
      </c>
      <c r="B637" s="26" t="s">
        <v>9899</v>
      </c>
      <c r="C637" s="26" t="s">
        <v>9900</v>
      </c>
      <c r="D637" s="26" t="s">
        <v>9901</v>
      </c>
      <c r="E637" s="26" t="s">
        <v>9902</v>
      </c>
      <c r="F637" s="26" t="s">
        <v>6415</v>
      </c>
      <c r="G637" s="26" t="s">
        <v>171</v>
      </c>
      <c r="H637" s="26" t="str">
        <f>IF(LEFT(I637,4)="JK13","PULWAMA",IF(LEFT(I637,4)="JK01","SRINAGAR",IF(LEFT(I637,4)="JK04","BUDGAM",IF(LEFT(I637,4)="JK03","ANANTNAG",IF(LEFT(I637,4)="JK05","BARAMULLA",IF(LEFT(I637,4)="26BH","BHARAT",IF(LEFT(I637,4)="25BH","BHARAT",IF(LEFT(I637,4)="JK12","POONCH",IF(LEFT(I637,4)="JK16","GANDERBAL",IF(LEFT(I637,4)="JK18","KULGAM",IF(LEFT(I637,4)="JK22","SHOPIAN",IF(LEFT(I637,4)="JK02","JAMMU",IF(LEFT(I637,4)="JK09","KUPWARA",IF(LEFT(I637,4)="JK15","BANDIPORA",IF(LEFT(I637,4)="JK17","KISHTWAR",IF(LEFT(I637,4)="LA01","KARGIL",IF(LEFT(I637,1)="T","TEMP","NEW")))))))))))))))))</f>
        <v>SRINAGAR</v>
      </c>
      <c r="I637" s="26" t="s">
        <v>9906</v>
      </c>
      <c r="J637" s="27">
        <v>46121</v>
      </c>
      <c r="K637" s="26">
        <v>7006088212</v>
      </c>
      <c r="L637" s="26" t="s">
        <v>191</v>
      </c>
      <c r="M637" s="28" t="s">
        <v>10033</v>
      </c>
      <c r="N637" s="27">
        <v>46125</v>
      </c>
      <c r="O637" s="26" t="s">
        <v>23</v>
      </c>
      <c r="P637" s="29">
        <v>46123</v>
      </c>
      <c r="Q637" s="26" t="s">
        <v>6454</v>
      </c>
      <c r="R637" s="26"/>
    </row>
    <row r="638" spans="1:18" x14ac:dyDescent="0.25">
      <c r="A638" s="26">
        <f>ROW()-1</f>
        <v>637</v>
      </c>
      <c r="B638" s="26" t="s">
        <v>9925</v>
      </c>
      <c r="C638" s="26" t="s">
        <v>9926</v>
      </c>
      <c r="D638" s="26" t="s">
        <v>9927</v>
      </c>
      <c r="E638" s="26" t="s">
        <v>9928</v>
      </c>
      <c r="F638" s="26" t="s">
        <v>12</v>
      </c>
      <c r="G638" s="26" t="s">
        <v>197</v>
      </c>
      <c r="H638" s="26" t="str">
        <f>IF(LEFT(I638,4)="JK13","PULWAMA",IF(LEFT(I638,4)="JK01","SRINAGAR",IF(LEFT(I638,4)="JK04","BUDGAM",IF(LEFT(I638,4)="JK03","ANANTNAG",IF(LEFT(I638,4)="JK05","BARAMULLA",IF(LEFT(I638,4)="26BH","BHARAT",IF(LEFT(I638,4)="25BH","BHARAT",IF(LEFT(I638,4)="JK12","POONCH",IF(LEFT(I638,4)="JK16","GANDERBAL",IF(LEFT(I638,4)="JK18","KULGAM",IF(LEFT(I638,4)="JK22","SHOPIAN",IF(LEFT(I638,4)="JK02","JAMMU",IF(LEFT(I638,4)="JK09","KUPWARA",IF(LEFT(I638,4)="JK15","BANDIPORA",IF(LEFT(I638,4)="JK17","KISHTWAR",IF(LEFT(I638,4)="LA01","KARGIL",IF(LEFT(I638,1)="T","TEMP","NEW")))))))))))))))))</f>
        <v>BUDGAM</v>
      </c>
      <c r="I638" s="26" t="s">
        <v>9932</v>
      </c>
      <c r="J638" s="27">
        <v>46122</v>
      </c>
      <c r="K638" s="26">
        <v>9797737824</v>
      </c>
      <c r="L638" s="26" t="s">
        <v>8591</v>
      </c>
      <c r="M638" s="28" t="s">
        <v>10001</v>
      </c>
      <c r="N638" s="27">
        <v>46125</v>
      </c>
      <c r="O638" s="26"/>
      <c r="P638" s="29"/>
      <c r="Q638" s="26"/>
      <c r="R638" s="26"/>
    </row>
    <row r="639" spans="1:18" x14ac:dyDescent="0.25">
      <c r="A639" s="26">
        <f>ROW()-1</f>
        <v>638</v>
      </c>
      <c r="B639" s="26" t="s">
        <v>9913</v>
      </c>
      <c r="C639" s="26" t="s">
        <v>9910</v>
      </c>
      <c r="D639" s="26" t="s">
        <v>9911</v>
      </c>
      <c r="E639" s="26" t="s">
        <v>9912</v>
      </c>
      <c r="F639" s="26" t="s">
        <v>6415</v>
      </c>
      <c r="G639" s="26" t="s">
        <v>197</v>
      </c>
      <c r="H639" s="26" t="str">
        <f>IF(LEFT(I639,4)="JK13","PULWAMA",IF(LEFT(I639,4)="JK01","SRINAGAR",IF(LEFT(I639,4)="JK04","BUDGAM",IF(LEFT(I639,4)="JK03","ANANTNAG",IF(LEFT(I639,4)="JK05","BARAMULLA",IF(LEFT(I639,4)="26BH","BHARAT",IF(LEFT(I639,4)="25BH","BHARAT",IF(LEFT(I639,4)="JK12","POONCH",IF(LEFT(I639,4)="JK16","GANDERBAL",IF(LEFT(I639,4)="JK18","KULGAM",IF(LEFT(I639,4)="JK22","SHOPIAN",IF(LEFT(I639,4)="JK02","JAMMU",IF(LEFT(I639,4)="JK09","KUPWARA",IF(LEFT(I639,4)="JK15","BANDIPORA",IF(LEFT(I639,4)="JK17","KISHTWAR",IF(LEFT(I639,4)="LA01","KARGIL",IF(LEFT(I639,1)="T","TEMP","NEW")))))))))))))))))</f>
        <v>BUDGAM</v>
      </c>
      <c r="I639" s="26" t="s">
        <v>9914</v>
      </c>
      <c r="J639" s="27">
        <v>46122</v>
      </c>
      <c r="K639" s="26">
        <v>9149702486</v>
      </c>
      <c r="L639" s="26" t="s">
        <v>7534</v>
      </c>
      <c r="M639" s="28" t="s">
        <v>8081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>ROW()-1</f>
        <v>639</v>
      </c>
      <c r="B640" s="26" t="s">
        <v>9918</v>
      </c>
      <c r="C640" s="26" t="s">
        <v>9915</v>
      </c>
      <c r="D640" s="26" t="s">
        <v>9916</v>
      </c>
      <c r="E640" s="26" t="s">
        <v>9917</v>
      </c>
      <c r="F640" s="26" t="s">
        <v>116</v>
      </c>
      <c r="G640" s="26" t="s">
        <v>197</v>
      </c>
      <c r="H640" s="26" t="str">
        <f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NEW</v>
      </c>
      <c r="I640" s="26"/>
      <c r="J640" s="27">
        <v>46122</v>
      </c>
      <c r="K640" s="26">
        <v>6005142577</v>
      </c>
      <c r="L640" s="26" t="s">
        <v>480</v>
      </c>
      <c r="M640" s="28"/>
      <c r="N640" s="27"/>
      <c r="O640" s="26"/>
      <c r="P640" s="29"/>
      <c r="Q640" s="26"/>
      <c r="R640" s="26"/>
    </row>
    <row r="641" spans="1:18" x14ac:dyDescent="0.25">
      <c r="A641" s="26">
        <f>ROW()-1</f>
        <v>640</v>
      </c>
      <c r="B641" s="26" t="s">
        <v>9924</v>
      </c>
      <c r="C641" s="26" t="s">
        <v>9920</v>
      </c>
      <c r="D641" s="26" t="s">
        <v>9921</v>
      </c>
      <c r="E641" s="26" t="s">
        <v>9922</v>
      </c>
      <c r="F641" s="26" t="s">
        <v>12</v>
      </c>
      <c r="G641" s="26" t="s">
        <v>178</v>
      </c>
      <c r="H641" s="26" t="str">
        <f>IF(LEFT(I641,4)="JK13","PULWAMA",IF(LEFT(I641,4)="JK01","SRINAGAR",IF(LEFT(I641,4)="JK04","BUDGAM",IF(LEFT(I641,4)="JK03","ANANTNAG",IF(LEFT(I641,4)="JK05","BARAMULLA",IF(LEFT(I641,4)="26BH","BHARAT",IF(LEFT(I641,4)="25BH","BHARAT",IF(LEFT(I641,4)="JK12","POONCH",IF(LEFT(I641,4)="JK16","GANDERBAL",IF(LEFT(I641,4)="JK18","KULGAM",IF(LEFT(I641,4)="JK22","SHOPIAN",IF(LEFT(I641,4)="JK02","JAMMU",IF(LEFT(I641,4)="JK09","KUPWARA",IF(LEFT(I641,4)="JK15","BANDIPORA",IF(LEFT(I641,4)="JK17","KISHTWAR",IF(LEFT(I641,4)="LA01","KARGIL",IF(LEFT(I641,1)="T","TEMP","NEW")))))))))))))))))</f>
        <v>BUDGAM</v>
      </c>
      <c r="I641" s="26" t="s">
        <v>9923</v>
      </c>
      <c r="J641" s="27">
        <v>46122</v>
      </c>
      <c r="K641" s="26">
        <v>9103105509</v>
      </c>
      <c r="L641" s="26" t="s">
        <v>1513</v>
      </c>
      <c r="M641" s="28" t="s">
        <v>9032</v>
      </c>
      <c r="N641" s="27">
        <v>46127</v>
      </c>
      <c r="O641" s="26" t="s">
        <v>23</v>
      </c>
      <c r="P641" s="29">
        <v>46122</v>
      </c>
      <c r="Q641" s="26" t="s">
        <v>6454</v>
      </c>
      <c r="R641" s="26"/>
    </row>
    <row r="642" spans="1:18" x14ac:dyDescent="0.25">
      <c r="A642" s="26">
        <f>ROW()-1</f>
        <v>641</v>
      </c>
      <c r="B642" s="26" t="s">
        <v>9936</v>
      </c>
      <c r="C642" s="26" t="s">
        <v>9937</v>
      </c>
      <c r="D642" s="26" t="s">
        <v>9938</v>
      </c>
      <c r="E642" s="26" t="s">
        <v>9939</v>
      </c>
      <c r="F642" s="26" t="s">
        <v>65</v>
      </c>
      <c r="G642" s="26" t="s">
        <v>223</v>
      </c>
      <c r="H642" s="26" t="str">
        <f>IF(LEFT(I642,4)="JK13","PULWAMA",IF(LEFT(I642,4)="JK01","SRINAGAR",IF(LEFT(I642,4)="JK04","BUDGAM",IF(LEFT(I642,4)="JK03","ANANTNAG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</f>
        <v>PULWAMA</v>
      </c>
      <c r="I642" s="26" t="s">
        <v>9941</v>
      </c>
      <c r="J642" s="27">
        <v>46123</v>
      </c>
      <c r="K642" s="26">
        <v>8825056800</v>
      </c>
      <c r="L642" s="26" t="s">
        <v>9940</v>
      </c>
      <c r="M642" s="28"/>
      <c r="N642" s="27"/>
      <c r="O642" s="26" t="s">
        <v>23</v>
      </c>
      <c r="P642" s="29">
        <v>46123</v>
      </c>
      <c r="Q642" s="26" t="s">
        <v>6454</v>
      </c>
      <c r="R642" s="26"/>
    </row>
    <row r="643" spans="1:18" x14ac:dyDescent="0.25">
      <c r="A643" s="26">
        <f>ROW()-1</f>
        <v>642</v>
      </c>
      <c r="B643" s="26" t="s">
        <v>9942</v>
      </c>
      <c r="C643" s="26" t="s">
        <v>9944</v>
      </c>
      <c r="D643" s="26" t="s">
        <v>9945</v>
      </c>
      <c r="E643" s="26" t="s">
        <v>9943</v>
      </c>
      <c r="F643" s="26" t="s">
        <v>277</v>
      </c>
      <c r="G643" s="26" t="s">
        <v>196</v>
      </c>
      <c r="H643" s="26" t="str">
        <f>IF(LEFT(I643,4)="JK13","PULWAMA",IF(LEFT(I643,4)="JK01","SRINAGAR",IF(LEFT(I643,4)="JK04","BUDGAM",IF(LEFT(I643,4)="JK03","ANANTNAG",IF(LEFT(I643,4)="JK05","BARAMULLA",IF(LEFT(I643,4)="26BH","BHARAT",IF(LEFT(I643,4)="25BH","BHARAT",IF(LEFT(I643,4)="JK12","POONCH",IF(LEFT(I643,4)="JK16","GANDERBAL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</f>
        <v>KUPWARA</v>
      </c>
      <c r="I643" s="26" t="s">
        <v>9951</v>
      </c>
      <c r="J643" s="27">
        <v>46123</v>
      </c>
      <c r="K643" s="26">
        <v>7051986605</v>
      </c>
      <c r="L643" s="26" t="s">
        <v>18</v>
      </c>
      <c r="M643" s="28" t="s">
        <v>7765</v>
      </c>
      <c r="N643" s="27">
        <v>46123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>ROW()-1</f>
        <v>643</v>
      </c>
      <c r="B644" s="26" t="s">
        <v>9946</v>
      </c>
      <c r="C644" s="26" t="s">
        <v>9947</v>
      </c>
      <c r="D644" s="26" t="s">
        <v>9948</v>
      </c>
      <c r="E644" s="26" t="s">
        <v>9949</v>
      </c>
      <c r="F644" s="26" t="s">
        <v>31</v>
      </c>
      <c r="G644" s="26" t="s">
        <v>172</v>
      </c>
      <c r="H644" s="26" t="str">
        <f>IF(LEFT(I644,4)="JK13","PULWAMA",IF(LEFT(I644,4)="JK01","SRINAGAR",IF(LEFT(I644,4)="JK04","BUDGAM",IF(LEFT(I644,4)="JK03","ANANTNAG",IF(LEFT(I644,4)="JK05","BARAMULLA",IF(LEFT(I644,4)="26BH","BHARAT",IF(LEFT(I644,4)="25BH","BHARAT",IF(LEFT(I644,4)="JK12","POONCH",IF(LEFT(I644,4)="JK16","GANDERBAL",IF(LEFT(I644,4)="JK18","KULGAM",IF(LEFT(I644,4)="JK22","SHOPIAN",IF(LEFT(I644,4)="JK02","JAMMU",IF(LEFT(I644,4)="JK09","KUPWARA",IF(LEFT(I644,4)="JK15","BANDIPORA",IF(LEFT(I644,4)="JK17","KISHTWAR",IF(LEFT(I644,4)="LA01","KARGIL",IF(LEFT(I644,1)="T","TEMP","NEW")))))))))))))))))</f>
        <v>SRINAGAR</v>
      </c>
      <c r="I644" s="26" t="s">
        <v>9950</v>
      </c>
      <c r="J644" s="27">
        <v>46123</v>
      </c>
      <c r="K644" s="26">
        <v>7006765311</v>
      </c>
      <c r="L644" s="26" t="s">
        <v>68</v>
      </c>
      <c r="M644" s="28" t="s">
        <v>8152</v>
      </c>
      <c r="N644" s="27">
        <v>46126</v>
      </c>
      <c r="O644" s="26" t="s">
        <v>23</v>
      </c>
      <c r="P644" s="29">
        <v>46126</v>
      </c>
      <c r="Q644" s="26" t="s">
        <v>6454</v>
      </c>
      <c r="R644" s="26"/>
    </row>
    <row r="645" spans="1:18" x14ac:dyDescent="0.25">
      <c r="A645" s="26">
        <f>ROW()-1</f>
        <v>644</v>
      </c>
      <c r="B645" s="26" t="s">
        <v>9952</v>
      </c>
      <c r="C645" s="26" t="s">
        <v>9953</v>
      </c>
      <c r="D645" s="26" t="s">
        <v>9954</v>
      </c>
      <c r="E645" s="26" t="s">
        <v>9955</v>
      </c>
      <c r="F645" s="26" t="s">
        <v>116</v>
      </c>
      <c r="G645" s="26" t="s">
        <v>172</v>
      </c>
      <c r="H645" s="26" t="str">
        <f>IF(LEFT(I645,4)="JK13","PULWAMA",IF(LEFT(I645,4)="JK01","SRINAGAR",IF(LEFT(I645,4)="JK04","BUDGAM",IF(LEFT(I645,4)="JK03","ANANTNAG",IF(LEFT(I645,4)="JK05","BARAMULLA",IF(LEFT(I645,4)="26BH","BHARAT",IF(LEFT(I645,4)="25BH","BHARAT",IF(LEFT(I645,4)="JK12","POONCH",IF(LEFT(I645,4)="JK16","GANDERBAL",IF(LEFT(I645,4)="JK18","KULGAM",IF(LEFT(I645,4)="JK22","SHOPIAN",IF(LEFT(I645,4)="JK02","JAMMU",IF(LEFT(I645,4)="JK09","KUPWARA",IF(LEFT(I645,4)="JK15","BANDIPORA",IF(LEFT(I645,4)="JK17","KISHTWAR",IF(LEFT(I645,4)="LA01","KARGIL",IF(LEFT(I645,1)="T","TEMP","NEW")))))))))))))))))</f>
        <v>BUDGAM</v>
      </c>
      <c r="I645" s="26" t="s">
        <v>9960</v>
      </c>
      <c r="J645" s="27">
        <v>46123</v>
      </c>
      <c r="K645" s="26">
        <v>7889614481</v>
      </c>
      <c r="L645" s="26" t="s">
        <v>68</v>
      </c>
      <c r="M645" s="28"/>
      <c r="N645" s="27"/>
      <c r="O645" s="26" t="s">
        <v>23</v>
      </c>
      <c r="P645" s="29">
        <v>46123</v>
      </c>
      <c r="Q645" s="26" t="s">
        <v>6454</v>
      </c>
      <c r="R645" s="26"/>
    </row>
    <row r="646" spans="1:18" x14ac:dyDescent="0.25">
      <c r="A646" s="26">
        <f>ROW()-1</f>
        <v>645</v>
      </c>
      <c r="B646" s="26" t="s">
        <v>9956</v>
      </c>
      <c r="C646" s="26" t="s">
        <v>9957</v>
      </c>
      <c r="D646" s="26" t="s">
        <v>9958</v>
      </c>
      <c r="E646" s="26" t="s">
        <v>9959</v>
      </c>
      <c r="F646" s="26" t="s">
        <v>116</v>
      </c>
      <c r="G646" s="26" t="s">
        <v>197</v>
      </c>
      <c r="H646" s="26" t="str">
        <f>IF(LEFT(I646,4)="JK13","PULWAMA",IF(LEFT(I646,4)="JK01","SRINAGAR",IF(LEFT(I646,4)="JK04","BUDGAM",IF(LEFT(I646,4)="JK03","ANANTNAG",IF(LEFT(I646,4)="JK05","BARAMULLA",IF(LEFT(I646,4)="26BH","BHARAT",IF(LEFT(I646,4)="25BH","BHARAT",IF(LEFT(I646,4)="JK12","POONCH",IF(LEFT(I646,4)="JK16","GANDERBAL",IF(LEFT(I646,4)="JK18","KULGAM",IF(LEFT(I646,4)="JK22","SHOPIAN",IF(LEFT(I646,4)="JK02","JAMMU",IF(LEFT(I646,4)="JK09","KUPWARA",IF(LEFT(I646,4)="JK15","BANDIPORA",IF(LEFT(I646,4)="JK17","KISHTWAR",IF(LEFT(I646,4)="LA01","KARGIL",IF(LEFT(I646,1)="T","TEMP","NEW")))))))))))))))))</f>
        <v>SHOPIAN</v>
      </c>
      <c r="I646" s="26" t="s">
        <v>9961</v>
      </c>
      <c r="J646" s="27">
        <v>46123</v>
      </c>
      <c r="K646" s="26">
        <v>9541124924</v>
      </c>
      <c r="L646" s="26" t="s">
        <v>6564</v>
      </c>
      <c r="M646" s="28"/>
      <c r="N646" s="27"/>
      <c r="O646" s="26"/>
      <c r="P646" s="29"/>
      <c r="Q646" s="26"/>
      <c r="R646" s="26"/>
    </row>
    <row r="647" spans="1:18" x14ac:dyDescent="0.25">
      <c r="A647" s="26">
        <f>ROW()-1</f>
        <v>646</v>
      </c>
      <c r="B647" s="26" t="s">
        <v>9967</v>
      </c>
      <c r="C647" s="26" t="s">
        <v>9968</v>
      </c>
      <c r="D647" s="26" t="s">
        <v>9969</v>
      </c>
      <c r="E647" s="26" t="s">
        <v>9970</v>
      </c>
      <c r="F647" s="26" t="s">
        <v>31</v>
      </c>
      <c r="G647" s="26" t="s">
        <v>196</v>
      </c>
      <c r="H647" s="26" t="str">
        <f>IF(LEFT(I647,4)="JK13","PULWAMA",IF(LEFT(I647,4)="JK01","SRINAGAR",IF(LEFT(I647,4)="JK04","BUDGAM",IF(LEFT(I647,4)="JK03","ANANTNAG",IF(LEFT(I647,4)="JK05","BARAMULLA",IF(LEFT(I647,4)="26BH","BHARAT",IF(LEFT(I647,4)="25BH","BHARAT",IF(LEFT(I647,4)="JK12","POONCH",IF(LEFT(I647,4)="JK16","GANDERBAL",IF(LEFT(I647,4)="JK18","KULGAM",IF(LEFT(I647,4)="JK22","SHOPIAN",IF(LEFT(I647,4)="JK02","JAMMU",IF(LEFT(I647,4)="JK09","KUPWARA",IF(LEFT(I647,4)="JK15","BANDIPORA",IF(LEFT(I647,4)="JK17","KISHTWAR",IF(LEFT(I647,4)="LA01","KARGIL",IF(LEFT(I647,1)="T","TEMP","NEW")))))))))))))))))</f>
        <v>PULWAMA</v>
      </c>
      <c r="I647" s="26" t="s">
        <v>9987</v>
      </c>
      <c r="J647" s="27">
        <v>46125</v>
      </c>
      <c r="K647" s="26">
        <v>9797896325</v>
      </c>
      <c r="L647" s="26" t="s">
        <v>9975</v>
      </c>
      <c r="M647" s="26" t="s">
        <v>7705</v>
      </c>
      <c r="N647" s="27">
        <v>46128</v>
      </c>
      <c r="O647" s="26"/>
      <c r="P647" s="29"/>
      <c r="Q647" s="26"/>
      <c r="R647" s="26"/>
    </row>
    <row r="648" spans="1:18" x14ac:dyDescent="0.25">
      <c r="A648" s="26">
        <f>ROW()-1</f>
        <v>647</v>
      </c>
      <c r="B648" s="26" t="s">
        <v>9972</v>
      </c>
      <c r="C648" s="26" t="s">
        <v>9973</v>
      </c>
      <c r="D648" s="26" t="s">
        <v>9974</v>
      </c>
      <c r="E648" s="26" t="s">
        <v>104</v>
      </c>
      <c r="F648" s="26" t="s">
        <v>31</v>
      </c>
      <c r="G648" s="26" t="s">
        <v>196</v>
      </c>
      <c r="H648" s="26" t="str">
        <f>IF(LEFT(I648,4)="JK13","PULWAMA",IF(LEFT(I648,4)="JK01","SRINAGAR",IF(LEFT(I648,4)="JK04","BUDGAM",IF(LEFT(I648,4)="JK03","ANANTNAG",IF(LEFT(I648,4)="JK05","BARAMULLA",IF(LEFT(I648,4)="26BH","BHARAT",IF(LEFT(I648,4)="25BH","BHARAT",IF(LEFT(I648,4)="JK12","POONCH",IF(LEFT(I648,4)="JK16","GANDERBAL",IF(LEFT(I648,4)="JK18","KULGAM",IF(LEFT(I648,4)="JK22","SHOPIAN",IF(LEFT(I648,4)="JK02","JAMMU",IF(LEFT(I648,4)="JK09","KUPWARA",IF(LEFT(I648,4)="JK15","BANDIPORA",IF(LEFT(I648,4)="JK17","KISHTWAR",IF(LEFT(I648,4)="LA01","KARGIL",IF(LEFT(I648,1)="T","TEMP","NEW")))))))))))))))))</f>
        <v>SRINAGAR</v>
      </c>
      <c r="I648" s="26" t="s">
        <v>9981</v>
      </c>
      <c r="J648" s="27">
        <v>46125</v>
      </c>
      <c r="K648" s="26">
        <v>9622292911</v>
      </c>
      <c r="L648" s="26" t="s">
        <v>26</v>
      </c>
      <c r="M648" s="28"/>
      <c r="N648" s="27"/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>ROW()-1</f>
        <v>648</v>
      </c>
      <c r="B649" s="26" t="s">
        <v>9976</v>
      </c>
      <c r="C649" s="26" t="s">
        <v>9977</v>
      </c>
      <c r="D649" s="26" t="s">
        <v>9978</v>
      </c>
      <c r="E649" s="26" t="s">
        <v>9979</v>
      </c>
      <c r="F649" s="26" t="s">
        <v>9700</v>
      </c>
      <c r="G649" s="26" t="s">
        <v>178</v>
      </c>
      <c r="H649" s="26" t="str">
        <f>IF(LEFT(I649,4)="JK13","PULWAMA",IF(LEFT(I649,4)="JK01","SRINAGAR",IF(LEFT(I649,4)="JK04","BUDGAM",IF(LEFT(I649,4)="JK03","ANANTNAG",IF(LEFT(I649,4)="JK05","BARAMULLA",IF(LEFT(I649,4)="26BH","BHARAT",IF(LEFT(I649,4)="25BH","BHARAT",IF(LEFT(I649,4)="JK12","POONCH",IF(LEFT(I649,4)="JK16","GANDERBAL",IF(LEFT(I649,4)="JK18","KULGAM",IF(LEFT(I649,4)="JK22","SHOPIAN",IF(LEFT(I649,4)="JK02","JAMMU",IF(LEFT(I649,4)="JK09","KUPWARA",IF(LEFT(I649,4)="JK15","BANDIPORA",IF(LEFT(I649,4)="JK17","KISHTWAR",IF(LEFT(I649,4)="LA01","KARGIL",IF(LEFT(I649,1)="T","TEMP","NEW")))))))))))))))))</f>
        <v>KULGAM</v>
      </c>
      <c r="I649" s="26" t="s">
        <v>9980</v>
      </c>
      <c r="J649" s="27">
        <v>46125</v>
      </c>
      <c r="K649" s="26">
        <v>9697037304</v>
      </c>
      <c r="L649" s="26" t="s">
        <v>163</v>
      </c>
      <c r="M649" s="28" t="s">
        <v>7883</v>
      </c>
      <c r="N649" s="27">
        <v>46128</v>
      </c>
      <c r="O649" s="26" t="s">
        <v>23</v>
      </c>
      <c r="P649" s="29">
        <v>46125</v>
      </c>
      <c r="Q649" s="26" t="s">
        <v>6454</v>
      </c>
      <c r="R649" s="26"/>
    </row>
    <row r="650" spans="1:18" s="44" customFormat="1" x14ac:dyDescent="0.25">
      <c r="A650" s="26">
        <f>ROW()-1</f>
        <v>649</v>
      </c>
      <c r="B650" s="26" t="s">
        <v>9982</v>
      </c>
      <c r="C650" s="26" t="s">
        <v>9983</v>
      </c>
      <c r="D650" s="26" t="s">
        <v>9984</v>
      </c>
      <c r="E650" s="26" t="s">
        <v>9985</v>
      </c>
      <c r="F650" s="26" t="s">
        <v>98</v>
      </c>
      <c r="G650" s="26" t="s">
        <v>171</v>
      </c>
      <c r="H650" s="26" t="str">
        <f>IF(LEFT(I650,4)="JK13","PULWAMA",IF(LEFT(I650,4)="JK01","SRINAGAR",IF(LEFT(I650,4)="JK04","BUDGAM",IF(LEFT(I650,4)="JK03","ANANTNAG",IF(LEFT(I650,4)="JK05","BARAMULLA",IF(LEFT(I650,4)="26BH","BHARAT",IF(LEFT(I650,4)="25BH","BHARAT",IF(LEFT(I650,4)="JK12","POONCH",IF(LEFT(I650,4)="JK16","GANDERBAL",IF(LEFT(I650,4)="JK18","KULGAM",IF(LEFT(I650,4)="JK22","SHOPIAN",IF(LEFT(I650,4)="JK02","JAMMU",IF(LEFT(I650,4)="JK09","KUPWARA",IF(LEFT(I650,4)="JK15","BANDIPORA",IF(LEFT(I650,4)="JK17","KISHTWAR",IF(LEFT(I650,4)="LA01","KARGIL",IF(LEFT(I650,1)="T","TEMP","NEW")))))))))))))))))</f>
        <v>BUDGAM</v>
      </c>
      <c r="I650" s="26" t="s">
        <v>9986</v>
      </c>
      <c r="J650" s="27">
        <v>46125</v>
      </c>
      <c r="K650" s="26">
        <v>7006558308</v>
      </c>
      <c r="L650" s="26" t="s">
        <v>2168</v>
      </c>
      <c r="M650" s="28" t="s">
        <v>7706</v>
      </c>
      <c r="N650" s="27">
        <v>46125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>ROW()-1</f>
        <v>650</v>
      </c>
      <c r="B651" s="26" t="s">
        <v>9988</v>
      </c>
      <c r="C651" s="26" t="s">
        <v>9989</v>
      </c>
      <c r="D651" s="26" t="s">
        <v>9990</v>
      </c>
      <c r="E651" s="26" t="s">
        <v>9991</v>
      </c>
      <c r="F651" s="26" t="s">
        <v>12</v>
      </c>
      <c r="G651" s="26" t="s">
        <v>178</v>
      </c>
      <c r="H651" s="26" t="str">
        <f>IF(LEFT(I651,4)="JK13","PULWAMA",IF(LEFT(I651,4)="JK01","SRINAGAR",IF(LEFT(I651,4)="JK04","BUDGAM",IF(LEFT(I651,4)="JK03","ANANTNAG",IF(LEFT(I651,4)="JK05","BARAMULLA",IF(LEFT(I651,4)="26BH","BHARAT",IF(LEFT(I651,4)="25BH","BHARAT",IF(LEFT(I651,4)="JK12","POONCH",IF(LEFT(I651,4)="JK16","GANDERBAL",IF(LEFT(I651,4)="JK18","KULGAM",IF(LEFT(I651,4)="JK22","SHOPIAN",IF(LEFT(I651,4)="JK02","JAMMU",IF(LEFT(I651,4)="JK09","KUPWARA",IF(LEFT(I651,4)="JK15","BANDIPORA",IF(LEFT(I651,4)="JK17","KISHTWAR",IF(LEFT(I651,4)="LA01","KARGIL",IF(LEFT(I651,1)="T","TEMP","NEW")))))))))))))))))</f>
        <v>PULWAMA</v>
      </c>
      <c r="I651" s="26" t="s">
        <v>10004</v>
      </c>
      <c r="J651" s="27">
        <v>46125</v>
      </c>
      <c r="K651" s="26">
        <v>8491830269</v>
      </c>
      <c r="L651" s="26" t="s">
        <v>68</v>
      </c>
      <c r="M651" s="28"/>
      <c r="N651" s="27"/>
      <c r="O651" s="26" t="s">
        <v>23</v>
      </c>
      <c r="P651" s="29">
        <v>46126</v>
      </c>
      <c r="Q651" s="26" t="s">
        <v>6454</v>
      </c>
      <c r="R651" s="26"/>
    </row>
    <row r="652" spans="1:18" x14ac:dyDescent="0.25">
      <c r="A652" s="26">
        <f>ROW()-1</f>
        <v>651</v>
      </c>
      <c r="B652" s="26" t="s">
        <v>9992</v>
      </c>
      <c r="C652" s="26" t="s">
        <v>9994</v>
      </c>
      <c r="D652" s="26" t="s">
        <v>9995</v>
      </c>
      <c r="E652" s="26" t="s">
        <v>9993</v>
      </c>
      <c r="F652" s="26" t="s">
        <v>8401</v>
      </c>
      <c r="G652" s="26" t="s">
        <v>9996</v>
      </c>
      <c r="H652" s="26" t="str">
        <f>IF(LEFT(I652,4)="JK13","PULWAMA",IF(LEFT(I652,4)="JK01","SRINAGAR",IF(LEFT(I652,4)="JK04","BUDGAM",IF(LEFT(I652,4)="JK03","ANANTNAG",IF(LEFT(I652,4)="JK05","BARAMULLA",IF(LEFT(I652,4)="26BH","BHARAT",IF(LEFT(I652,4)="25BH","BHARAT",IF(LEFT(I652,4)="JK12","POONCH",IF(LEFT(I652,4)="JK16","GANDERBAL",IF(LEFT(I652,4)="JK18","KULGAM",IF(LEFT(I652,4)="JK22","SHOPIAN",IF(LEFT(I652,4)="JK02","JAMMU",IF(LEFT(I652,4)="JK09","KUPWARA",IF(LEFT(I652,4)="JK15","BANDIPORA",IF(LEFT(I652,4)="JK17","KISHTWAR",IF(LEFT(I652,4)="LA01","KARGIL",IF(LEFT(I652,1)="T","TEMP","NEW")))))))))))))))))</f>
        <v>SRINAGAR</v>
      </c>
      <c r="I652" s="26" t="s">
        <v>10003</v>
      </c>
      <c r="J652" s="27">
        <v>46125</v>
      </c>
      <c r="K652" s="26">
        <v>9906614866</v>
      </c>
      <c r="L652" s="26" t="s">
        <v>547</v>
      </c>
      <c r="M652" s="28"/>
      <c r="N652" s="27"/>
      <c r="O652" s="26" t="s">
        <v>23</v>
      </c>
      <c r="P652" s="29">
        <v>46125</v>
      </c>
      <c r="Q652" s="26" t="s">
        <v>6454</v>
      </c>
      <c r="R652" s="26"/>
    </row>
    <row r="653" spans="1:18" x14ac:dyDescent="0.25">
      <c r="A653" s="26">
        <f>ROW()-1</f>
        <v>652</v>
      </c>
      <c r="B653" s="26" t="s">
        <v>9997</v>
      </c>
      <c r="C653" s="26" t="s">
        <v>9998</v>
      </c>
      <c r="D653" s="26" t="s">
        <v>9999</v>
      </c>
      <c r="E653" s="26" t="s">
        <v>10000</v>
      </c>
      <c r="F653" s="26" t="s">
        <v>12</v>
      </c>
      <c r="G653" s="26" t="s">
        <v>197</v>
      </c>
      <c r="H653" s="26" t="str">
        <f>IF(LEFT(I653,4)="JK13","PULWAMA",IF(LEFT(I653,4)="JK01","SRINAGAR",IF(LEFT(I653,4)="JK04","BUDGAM",IF(LEFT(I653,4)="JK03","ANANTNAG",IF(LEFT(I653,4)="JK05","BARAMULLA",IF(LEFT(I653,4)="26BH","BHARAT",IF(LEFT(I653,4)="25BH","BHARAT",IF(LEFT(I653,4)="JK12","POONCH",IF(LEFT(I653,4)="JK16","GANDERBAL",IF(LEFT(I653,4)="JK18","KULGAM",IF(LEFT(I653,4)="JK22","SHOPIAN",IF(LEFT(I653,4)="JK02","JAMMU",IF(LEFT(I653,4)="JK09","KUPWARA",IF(LEFT(I653,4)="JK15","BANDIPORA",IF(LEFT(I653,4)="JK17","KISHTWAR",IF(LEFT(I653,4)="LA01","KARGIL",IF(LEFT(I653,1)="T","TEMP","NEW")))))))))))))))))</f>
        <v>BUDGAM</v>
      </c>
      <c r="I653" s="26" t="s">
        <v>10002</v>
      </c>
      <c r="J653" s="27">
        <v>46125</v>
      </c>
      <c r="K653" s="26">
        <v>9419006471</v>
      </c>
      <c r="L653" s="26" t="s">
        <v>26</v>
      </c>
      <c r="M653" s="28" t="s">
        <v>7606</v>
      </c>
      <c r="N653" s="27">
        <v>46127</v>
      </c>
      <c r="O653" s="26" t="s">
        <v>23</v>
      </c>
      <c r="P653" s="29">
        <v>46125</v>
      </c>
      <c r="Q653" s="26" t="s">
        <v>6454</v>
      </c>
      <c r="R653" s="26"/>
    </row>
    <row r="654" spans="1:18" x14ac:dyDescent="0.25">
      <c r="A654" s="26">
        <f>ROW()-1</f>
        <v>653</v>
      </c>
      <c r="B654" s="26" t="s">
        <v>10011</v>
      </c>
      <c r="C654" s="26" t="s">
        <v>10012</v>
      </c>
      <c r="D654" s="26" t="s">
        <v>10018</v>
      </c>
      <c r="E654" s="26" t="s">
        <v>10013</v>
      </c>
      <c r="F654" s="26" t="s">
        <v>116</v>
      </c>
      <c r="G654" s="26" t="s">
        <v>172</v>
      </c>
      <c r="H654" s="26" t="str">
        <f>IF(LEFT(I654,4)="JK13","PULWAMA",IF(LEFT(I654,4)="JK01","SRINAGAR",IF(LEFT(I654,4)="JK04","BUDGAM",IF(LEFT(I654,4)="JK03","ANANTNAG",IF(LEFT(I654,4)="JK05","BARAMULLA",IF(LEFT(I654,4)="26BH","BHARAT",IF(LEFT(I654,4)="25BH","BHARAT",IF(LEFT(I654,4)="JK12","POONCH",IF(LEFT(I654,4)="JK16","GANDERBAL",IF(LEFT(I654,4)="JK18","KULGAM",IF(LEFT(I654,4)="JK22","SHOPIAN",IF(LEFT(I654,4)="JK02","JAMMU",IF(LEFT(I654,4)="JK09","KUPWARA",IF(LEFT(I654,4)="JK15","BANDIPORA",IF(LEFT(I654,4)="JK17","KISHTWAR",IF(LEFT(I654,4)="LA01","KARGIL",IF(LEFT(I654,1)="T","TEMP","NEW")))))))))))))))))</f>
        <v>SRINAGAR</v>
      </c>
      <c r="I654" s="26" t="s">
        <v>10020</v>
      </c>
      <c r="J654" s="27">
        <v>46126</v>
      </c>
      <c r="K654" s="26">
        <v>6005377352</v>
      </c>
      <c r="L654" s="26" t="s">
        <v>2244</v>
      </c>
      <c r="M654" s="28" t="s">
        <v>8152</v>
      </c>
      <c r="N654" s="27">
        <v>46127</v>
      </c>
      <c r="O654" s="26" t="s">
        <v>23</v>
      </c>
      <c r="P654" s="29">
        <v>46127</v>
      </c>
      <c r="Q654" s="26" t="s">
        <v>6454</v>
      </c>
      <c r="R654" s="26"/>
    </row>
    <row r="655" spans="1:18" x14ac:dyDescent="0.25">
      <c r="A655" s="26">
        <f>ROW()-1</f>
        <v>654</v>
      </c>
      <c r="B655" s="26" t="s">
        <v>10014</v>
      </c>
      <c r="C655" s="26" t="s">
        <v>10015</v>
      </c>
      <c r="D655" s="26" t="s">
        <v>10019</v>
      </c>
      <c r="E655" s="26" t="s">
        <v>10017</v>
      </c>
      <c r="F655" s="26" t="s">
        <v>10016</v>
      </c>
      <c r="G655" s="26" t="s">
        <v>178</v>
      </c>
      <c r="H655" s="26" t="str">
        <f>IF(LEFT(I655,4)="JK13","PULWAMA",IF(LEFT(I655,4)="JK01","SRINAGAR",IF(LEFT(I655,4)="JK04","BUDGAM",IF(LEFT(I655,4)="JK03","ANANTNAG",IF(LEFT(I655,4)="JK05","BARAMULLA",IF(LEFT(I655,4)="26BH","BHARAT",IF(LEFT(I655,4)="25BH","BHARAT",IF(LEFT(I655,4)="JK12","POONCH",IF(LEFT(I655,4)="JK16","GANDERBAL",IF(LEFT(I655,4)="JK18","KULGAM",IF(LEFT(I655,4)="JK22","SHOPIAN",IF(LEFT(I655,4)="JK02","JAMMU",IF(LEFT(I655,4)="JK09","KUPWARA",IF(LEFT(I655,4)="JK15","BANDIPORA",IF(LEFT(I655,4)="JK17","KISHTWAR",IF(LEFT(I655,4)="LA01","KARGIL",IF(LEFT(I655,1)="T","TEMP","NEW")))))))))))))))))</f>
        <v>SRINAGAR</v>
      </c>
      <c r="I655" s="26" t="s">
        <v>10021</v>
      </c>
      <c r="J655" s="27">
        <v>46126</v>
      </c>
      <c r="K655" s="26">
        <v>7006763104</v>
      </c>
      <c r="L655" s="26" t="s">
        <v>303</v>
      </c>
      <c r="M655" s="28"/>
      <c r="N655" s="27"/>
      <c r="O655" s="26"/>
      <c r="P655" s="29"/>
      <c r="Q655" s="26"/>
      <c r="R655" s="26"/>
    </row>
    <row r="656" spans="1:18" x14ac:dyDescent="0.25">
      <c r="A656" s="26">
        <f>ROW()-1</f>
        <v>655</v>
      </c>
      <c r="B656" s="26" t="s">
        <v>10022</v>
      </c>
      <c r="C656" s="26" t="s">
        <v>10024</v>
      </c>
      <c r="D656" s="26" t="s">
        <v>10025</v>
      </c>
      <c r="E656" s="26" t="s">
        <v>10023</v>
      </c>
      <c r="F656" s="26" t="s">
        <v>234</v>
      </c>
      <c r="G656" s="26" t="s">
        <v>197</v>
      </c>
      <c r="H656" s="26" t="str">
        <f>IF(LEFT(I656,4)="JK13","PULWAMA",IF(LEFT(I656,4)="JK01","SRINAGAR",IF(LEFT(I656,4)="JK04","BUDGAM",IF(LEFT(I656,4)="JK03","ANANTNAG",IF(LEFT(I656,4)="JK05","BARAMULLA",IF(LEFT(I656,4)="26BH","BHARAT",IF(LEFT(I656,4)="25BH","BHARAT",IF(LEFT(I656,4)="JK12","POONCH",IF(LEFT(I656,4)="JK16","GANDERBAL",IF(LEFT(I656,4)="JK18","KULGAM",IF(LEFT(I656,4)="JK22","SHOPIAN",IF(LEFT(I656,4)="JK02","JAMMU",IF(LEFT(I656,4)="JK09","KUPWARA",IF(LEFT(I656,4)="JK15","BANDIPORA",IF(LEFT(I656,4)="JK17","KISHTWAR",IF(LEFT(I656,4)="LA01","KARGIL",IF(LEFT(I656,1)="T","TEMP","NEW")))))))))))))))))</f>
        <v>TEMP</v>
      </c>
      <c r="I656" s="26" t="s">
        <v>10028</v>
      </c>
      <c r="J656" s="27">
        <v>46126</v>
      </c>
      <c r="K656" s="26">
        <v>8492067254</v>
      </c>
      <c r="L656" s="26" t="s">
        <v>480</v>
      </c>
      <c r="M656" s="28"/>
      <c r="N656" s="27"/>
      <c r="O656" s="26"/>
      <c r="P656" s="29"/>
      <c r="Q656" s="26"/>
      <c r="R656" s="26"/>
    </row>
    <row r="657" spans="1:18" x14ac:dyDescent="0.25">
      <c r="A657" s="26">
        <f>ROW()-1</f>
        <v>656</v>
      </c>
      <c r="B657" s="26" t="s">
        <v>10032</v>
      </c>
      <c r="C657" s="26" t="s">
        <v>10029</v>
      </c>
      <c r="D657" s="26" t="s">
        <v>10030</v>
      </c>
      <c r="E657" s="26" t="s">
        <v>10031</v>
      </c>
      <c r="F657" s="26" t="s">
        <v>12</v>
      </c>
      <c r="G657" s="26" t="s">
        <v>197</v>
      </c>
      <c r="H657" s="26" t="str">
        <f>IF(LEFT(I657,4)="JK13","PULWAMA",IF(LEFT(I657,4)="JK01","SRINAGAR",IF(LEFT(I657,4)="JK04","BUDGAM",IF(LEFT(I657,4)="JK03","ANANTNAG",IF(LEFT(I657,4)="JK05","BARAMULLA",IF(LEFT(I657,4)="26BH","BHARAT",IF(LEFT(I657,4)="25BH","BHARAT",IF(LEFT(I657,4)="JK12","POONCH",IF(LEFT(I657,4)="JK16","GANDERBAL",IF(LEFT(I657,4)="JK18","KULGAM",IF(LEFT(I657,4)="JK22","SHOPIAN",IF(LEFT(I657,4)="JK02","JAMMU",IF(LEFT(I657,4)="JK09","KUPWARA",IF(LEFT(I657,4)="JK15","BANDIPORA",IF(LEFT(I657,4)="JK17","KISHTWAR",IF(LEFT(I657,4)="LA01","KARGIL",IF(LEFT(I657,1)="T","TEMP","NEW")))))))))))))))))</f>
        <v>PULWAMA</v>
      </c>
      <c r="I657" s="26" t="s">
        <v>10038</v>
      </c>
      <c r="J657" s="27">
        <v>46127</v>
      </c>
      <c r="K657" s="26">
        <v>6005336023</v>
      </c>
      <c r="L657" s="26" t="s">
        <v>173</v>
      </c>
      <c r="M657" s="28"/>
      <c r="N657" s="27"/>
      <c r="O657" s="26" t="s">
        <v>23</v>
      </c>
      <c r="P657" s="29">
        <v>46127</v>
      </c>
      <c r="Q657" s="26" t="s">
        <v>6454</v>
      </c>
      <c r="R657" s="26"/>
    </row>
    <row r="658" spans="1:18" x14ac:dyDescent="0.25">
      <c r="A658" s="26">
        <f>ROW()-1</f>
        <v>657</v>
      </c>
      <c r="B658" s="26" t="s">
        <v>10034</v>
      </c>
      <c r="C658" s="26" t="s">
        <v>10035</v>
      </c>
      <c r="D658" s="26" t="s">
        <v>10037</v>
      </c>
      <c r="E658" s="26" t="s">
        <v>10036</v>
      </c>
      <c r="F658" s="26" t="s">
        <v>5</v>
      </c>
      <c r="G658" s="26" t="s">
        <v>197</v>
      </c>
      <c r="H658" s="26" t="str">
        <f>IF(LEFT(I658,4)="JK13","PULWAMA",IF(LEFT(I658,4)="JK01","SRINAGAR",IF(LEFT(I658,4)="JK04","BUDGAM",IF(LEFT(I658,4)="JK03","ANANTNAG",IF(LEFT(I658,4)="JK05","BARAMULLA",IF(LEFT(I658,4)="26BH","BHARAT",IF(LEFT(I658,4)="25BH","BHARAT",IF(LEFT(I658,4)="JK12","POONCH",IF(LEFT(I658,4)="JK16","GANDERBAL",IF(LEFT(I658,4)="JK18","KULGAM",IF(LEFT(I658,4)="JK22","SHOPIAN",IF(LEFT(I658,4)="JK02","JAMMU",IF(LEFT(I658,4)="JK09","KUPWARA",IF(LEFT(I658,4)="JK15","BANDIPORA",IF(LEFT(I658,4)="JK17","KISHTWAR",IF(LEFT(I658,4)="LA01","KARGIL",IF(LEFT(I658,1)="T","TEMP","NEW")))))))))))))))))</f>
        <v>SRINAGAR</v>
      </c>
      <c r="I658" s="26" t="s">
        <v>10039</v>
      </c>
      <c r="J658" s="27">
        <v>46127</v>
      </c>
      <c r="K658" s="26">
        <v>7780912719</v>
      </c>
      <c r="L658" s="26" t="s">
        <v>191</v>
      </c>
      <c r="M658" s="28" t="s">
        <v>10077</v>
      </c>
      <c r="N658" s="27">
        <v>46128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>ROW()-1</f>
        <v>658</v>
      </c>
      <c r="B659" s="26" t="s">
        <v>10040</v>
      </c>
      <c r="C659" s="26" t="s">
        <v>10041</v>
      </c>
      <c r="D659" s="26" t="s">
        <v>10042</v>
      </c>
      <c r="E659" s="26" t="s">
        <v>10043</v>
      </c>
      <c r="F659" s="26" t="s">
        <v>116</v>
      </c>
      <c r="G659" s="26" t="s">
        <v>197</v>
      </c>
      <c r="H659" s="26" t="str">
        <f>IF(LEFT(I659,4)="JK13","PULWAMA",IF(LEFT(I659,4)="JK01","SRINAGAR",IF(LEFT(I659,4)="JK04","BUDGAM",IF(LEFT(I659,4)="JK03","ANANTNAG",IF(LEFT(I659,4)="JK05","BARAMULLA",IF(LEFT(I659,4)="26BH","BHARAT",IF(LEFT(I659,4)="25BH","BHARAT",IF(LEFT(I659,4)="JK12","POONCH",IF(LEFT(I659,4)="JK16","GANDERBAL",IF(LEFT(I659,4)="JK18","KULGAM",IF(LEFT(I659,4)="JK22","SHOPIAN",IF(LEFT(I659,4)="JK02","JAMMU",IF(LEFT(I659,4)="JK09","KUPWARA",IF(LEFT(I659,4)="JK15","BANDIPORA",IF(LEFT(I659,4)="JK17","KISHTWAR",IF(LEFT(I659,4)="LA01","KARGIL",IF(LEFT(I659,1)="T","TEMP","NEW")))))))))))))))))</f>
        <v>BARAMULLA</v>
      </c>
      <c r="I659" s="26" t="s">
        <v>10048</v>
      </c>
      <c r="J659" s="27">
        <v>46127</v>
      </c>
      <c r="K659" s="26">
        <v>6005089007</v>
      </c>
      <c r="L659" s="26" t="s">
        <v>59</v>
      </c>
      <c r="M659" s="28" t="s">
        <v>8581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>ROW()-1</f>
        <v>659</v>
      </c>
      <c r="B660" s="26" t="s">
        <v>10044</v>
      </c>
      <c r="C660" s="26" t="s">
        <v>10046</v>
      </c>
      <c r="D660" s="26" t="s">
        <v>10047</v>
      </c>
      <c r="E660" s="26" t="s">
        <v>10045</v>
      </c>
      <c r="F660" s="26" t="s">
        <v>12</v>
      </c>
      <c r="G660" s="26" t="s">
        <v>197</v>
      </c>
      <c r="H660" s="26" t="str">
        <f>IF(LEFT(I660,4)="JK13","PULWAMA",IF(LEFT(I660,4)="JK01","SRINAGAR",IF(LEFT(I660,4)="JK04","BUDGAM",IF(LEFT(I660,4)="JK03","ANANTNAG",IF(LEFT(I660,4)="JK05","BARAMULLA",IF(LEFT(I660,4)="26BH","BHARAT",IF(LEFT(I660,4)="25BH","BHARAT",IF(LEFT(I660,4)="JK12","POONCH",IF(LEFT(I660,4)="JK16","GANDERBAL",IF(LEFT(I660,4)="JK18","KULGAM",IF(LEFT(I660,4)="JK22","SHOPIAN",IF(LEFT(I660,4)="JK02","JAMMU",IF(LEFT(I660,4)="JK09","KUPWARA",IF(LEFT(I660,4)="JK15","BANDIPORA",IF(LEFT(I660,4)="JK17","KISHTWAR",IF(LEFT(I660,4)="LA01","KARGIL",IF(LEFT(I660,1)="T","TEMP","NEW")))))))))))))))))</f>
        <v>PULWAMA</v>
      </c>
      <c r="I660" s="26" t="s">
        <v>10049</v>
      </c>
      <c r="J660" s="27">
        <v>46127</v>
      </c>
      <c r="K660" s="26">
        <v>8660969096</v>
      </c>
      <c r="L660" s="26" t="s">
        <v>10050</v>
      </c>
      <c r="M660" s="28"/>
      <c r="N660" s="27"/>
      <c r="O660" s="26" t="s">
        <v>23</v>
      </c>
      <c r="P660" s="29">
        <v>46127</v>
      </c>
      <c r="Q660" s="26" t="s">
        <v>6454</v>
      </c>
      <c r="R660" s="26"/>
    </row>
    <row r="661" spans="1:18" x14ac:dyDescent="0.25">
      <c r="A661" s="26">
        <f>ROW()-1</f>
        <v>660</v>
      </c>
      <c r="B661" s="26" t="s">
        <v>10051</v>
      </c>
      <c r="C661" s="26" t="s">
        <v>10052</v>
      </c>
      <c r="D661" s="26" t="s">
        <v>10053</v>
      </c>
      <c r="E661" s="26" t="s">
        <v>10054</v>
      </c>
      <c r="F661" s="26" t="s">
        <v>116</v>
      </c>
      <c r="G661" s="26" t="s">
        <v>197</v>
      </c>
      <c r="H661" s="26" t="str">
        <f>IF(LEFT(I661,4)="JK13","PULWAMA",IF(LEFT(I661,4)="JK01","SRINAGAR",IF(LEFT(I661,4)="JK04","BUDGAM",IF(LEFT(I661,4)="JK03","ANANTNAG",IF(LEFT(I661,4)="JK05","BARAMULLA",IF(LEFT(I661,4)="26BH","BHARAT",IF(LEFT(I661,4)="25BH","BHARAT",IF(LEFT(I661,4)="JK12","POONCH",IF(LEFT(I661,4)="JK16","GANDERBAL",IF(LEFT(I661,4)="JK18","KULGAM",IF(LEFT(I661,4)="JK22","SHOPIAN",IF(LEFT(I661,4)="JK02","JAMMU",IF(LEFT(I661,4)="JK09","KUPWARA",IF(LEFT(I661,4)="JK15","BANDIPORA",IF(LEFT(I661,4)="JK17","KISHTWAR",IF(LEFT(I661,4)="LA01","KARGIL",IF(LEFT(I661,1)="T","TEMP","NEW")))))))))))))))))</f>
        <v>SRINAGAR</v>
      </c>
      <c r="I661" s="26" t="s">
        <v>10055</v>
      </c>
      <c r="J661" s="27">
        <v>46127</v>
      </c>
      <c r="K661" s="26">
        <v>9906899687</v>
      </c>
      <c r="L661" s="26" t="s">
        <v>59</v>
      </c>
      <c r="M661" s="28" t="s">
        <v>10072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>ROW()-1</f>
        <v>661</v>
      </c>
      <c r="B662" s="26" t="s">
        <v>10060</v>
      </c>
      <c r="C662" s="26" t="s">
        <v>10061</v>
      </c>
      <c r="D662" s="26" t="s">
        <v>10062</v>
      </c>
      <c r="E662" s="26" t="s">
        <v>10063</v>
      </c>
      <c r="F662" s="26" t="s">
        <v>98</v>
      </c>
      <c r="G662" s="26" t="s">
        <v>223</v>
      </c>
      <c r="H662" s="26" t="str">
        <f>IF(LEFT(I662,4)="JK13","PULWAMA",IF(LEFT(I662,4)="JK01","SRINAGAR",IF(LEFT(I662,4)="JK04","BUDGAM",IF(LEFT(I662,4)="JK03","ANANTNAG",IF(LEFT(I662,4)="JK05","BARAMULLA",IF(LEFT(I662,4)="26BH","BHARAT",IF(LEFT(I662,4)="25BH","BHARAT",IF(LEFT(I662,4)="JK12","POONCH",IF(LEFT(I662,4)="JK16","GANDERBAL",IF(LEFT(I662,4)="JK18","KULGAM",IF(LEFT(I662,4)="JK22","SHOPIAN",IF(LEFT(I662,4)="JK02","JAMMU",IF(LEFT(I662,4)="JK09","KUPWARA",IF(LEFT(I662,4)="JK15","BANDIPORA",IF(LEFT(I662,4)="JK17","KISHTWAR",IF(LEFT(I662,4)="LA01","KARGIL",IF(LEFT(I662,1)="T","TEMP","NEW")))))))))))))))))</f>
        <v>PULWAMA</v>
      </c>
      <c r="I662" s="26" t="s">
        <v>10065</v>
      </c>
      <c r="J662" s="27">
        <v>46128</v>
      </c>
      <c r="K662" s="26">
        <v>9906077990</v>
      </c>
      <c r="L662" s="26" t="s">
        <v>10064</v>
      </c>
      <c r="M662" s="28"/>
      <c r="N662" s="27"/>
      <c r="O662" s="26"/>
      <c r="P662" s="29"/>
      <c r="Q662" s="26"/>
      <c r="R662" s="26"/>
    </row>
    <row r="663" spans="1:18" x14ac:dyDescent="0.25">
      <c r="A663" s="26">
        <f>ROW()-1</f>
        <v>662</v>
      </c>
      <c r="B663" s="26" t="s">
        <v>10069</v>
      </c>
      <c r="C663" s="26" t="s">
        <v>10066</v>
      </c>
      <c r="D663" s="26" t="s">
        <v>10067</v>
      </c>
      <c r="E663" s="26" t="s">
        <v>10068</v>
      </c>
      <c r="F663" s="26" t="s">
        <v>36</v>
      </c>
      <c r="G663" s="26" t="s">
        <v>196</v>
      </c>
      <c r="H663" s="26" t="str">
        <f>IF(LEFT(I663,4)="JK13","PULWAMA",IF(LEFT(I663,4)="JK01","SRINAGAR",IF(LEFT(I663,4)="JK04","BUDGAM",IF(LEFT(I663,4)="JK03","ANANTNAG",IF(LEFT(I663,4)="JK05","BARAMULLA",IF(LEFT(I663,4)="26BH","BHARAT",IF(LEFT(I663,4)="25BH","BHARAT",IF(LEFT(I663,4)="JK12","POONCH",IF(LEFT(I663,4)="JK16","GANDERBAL",IF(LEFT(I663,4)="JK18","KULGAM",IF(LEFT(I663,4)="JK22","SHOPIAN",IF(LEFT(I663,4)="JK02","JAMMU",IF(LEFT(I663,4)="JK09","KUPWARA",IF(LEFT(I663,4)="JK15","BANDIPORA",IF(LEFT(I663,4)="JK17","KISHTWAR",IF(LEFT(I663,4)="LA01","KARGIL",IF(LEFT(I663,1)="T","TEMP","NEW")))))))))))))))))</f>
        <v>SRINAGAR</v>
      </c>
      <c r="I663" s="26" t="s">
        <v>10070</v>
      </c>
      <c r="J663" s="27">
        <v>46128</v>
      </c>
      <c r="K663" s="26">
        <v>6006239070</v>
      </c>
      <c r="L663" s="26" t="s">
        <v>6823</v>
      </c>
      <c r="M663" s="28" t="s">
        <v>9116</v>
      </c>
      <c r="N663" s="27">
        <v>46128</v>
      </c>
      <c r="O663" s="26" t="s">
        <v>23</v>
      </c>
      <c r="P663" s="29">
        <v>46128</v>
      </c>
      <c r="Q663" s="26" t="s">
        <v>6454</v>
      </c>
      <c r="R663" s="26"/>
    </row>
    <row r="664" spans="1:18" x14ac:dyDescent="0.25">
      <c r="A664" s="26">
        <f>ROW()-1</f>
        <v>663</v>
      </c>
      <c r="B664" s="26"/>
      <c r="C664" s="26"/>
      <c r="D664" s="26"/>
      <c r="E664" s="26"/>
      <c r="F664" s="26"/>
      <c r="G664" s="26"/>
      <c r="H664" s="26" t="str">
        <f>IF(LEFT(I664,4)="JK13","PULWAMA",IF(LEFT(I664,4)="JK01","SRINAGAR",IF(LEFT(I664,4)="JK04","BUDGAM",IF(LEFT(I664,4)="JK03","ANANTNAG",IF(LEFT(I664,4)="JK05","BARAMULLA",IF(LEFT(I664,4)="26BH","BHARAT",IF(LEFT(I664,4)="25BH","BHARAT",IF(LEFT(I664,4)="JK12","POONCH",IF(LEFT(I664,4)="JK16","GANDERBAL",IF(LEFT(I664,4)="JK18","KULGAM",IF(LEFT(I664,4)="JK22","SHOPIAN",IF(LEFT(I664,4)="JK02","JAMMU",IF(LEFT(I664,4)="JK09","KUPWARA",IF(LEFT(I664,4)="JK15","BANDIPORA",IF(LEFT(I664,4)="JK17","KISHTWAR",IF(LEFT(I664,4)="LA01","KARGIL",IF(LEFT(I664,1)="T","TEMP","NEW")))))))))))))))))</f>
        <v>NEW</v>
      </c>
      <c r="I664" s="26"/>
      <c r="J664" s="27"/>
      <c r="K664" s="26"/>
      <c r="L664" s="26"/>
      <c r="M664" s="28"/>
      <c r="N664" s="27"/>
      <c r="O664" s="26"/>
      <c r="P664" s="29"/>
      <c r="Q664" s="26"/>
      <c r="R664" s="26"/>
    </row>
    <row r="665" spans="1:18" x14ac:dyDescent="0.25">
      <c r="A665" s="26">
        <f>ROW()-1</f>
        <v>664</v>
      </c>
      <c r="B665" s="26"/>
      <c r="C665" s="26"/>
      <c r="D665" s="26"/>
      <c r="E665" s="26"/>
      <c r="F665" s="26"/>
      <c r="G665" s="26"/>
      <c r="H665" s="26" t="str">
        <f>IF(LEFT(I665,4)="JK13","PULWAMA",IF(LEFT(I665,4)="JK01","SRINAGAR",IF(LEFT(I665,4)="JK04","BUDGAM",IF(LEFT(I665,4)="JK03","ANANTNAG",IF(LEFT(I665,4)="JK05","BARAMULLA",IF(LEFT(I665,4)="26BH","BHARAT",IF(LEFT(I665,4)="25BH","BHARAT",IF(LEFT(I665,4)="JK12","POONCH",IF(LEFT(I665,4)="JK16","GANDERBAL",IF(LEFT(I665,4)="JK18","KULGAM",IF(LEFT(I665,4)="JK22","SHOPIAN",IF(LEFT(I665,4)="JK02","JAMMU",IF(LEFT(I665,4)="JK09","KUPWARA",IF(LEFT(I665,4)="JK15","BANDIPORA",IF(LEFT(I665,4)="JK17","KISHTWAR",IF(LEFT(I665,4)="LA01","KARGIL",IF(LEFT(I665,1)="T","TEMP","NEW")))))))))))))))))</f>
        <v>NEW</v>
      </c>
      <c r="I665" s="26"/>
      <c r="J665" s="27"/>
      <c r="K665" s="26"/>
      <c r="L665" s="26"/>
      <c r="M665" s="28"/>
      <c r="N665" s="27"/>
      <c r="O665" s="26"/>
      <c r="P665" s="29"/>
      <c r="Q665" s="26"/>
      <c r="R665" s="26"/>
    </row>
    <row r="666" spans="1:18" x14ac:dyDescent="0.25">
      <c r="A666" s="26">
        <f>ROW()-1</f>
        <v>665</v>
      </c>
      <c r="B666" s="26"/>
      <c r="C666" s="26"/>
      <c r="D666" s="26"/>
      <c r="E666" s="26"/>
      <c r="F666" s="26"/>
      <c r="G666" s="26"/>
      <c r="H666" s="26" t="str">
        <f>IF(LEFT(I666,4)="JK13","PULWAMA",IF(LEFT(I666,4)="JK01","SRINAGAR",IF(LEFT(I666,4)="JK04","BUDGAM",IF(LEFT(I666,4)="JK03","ANANTNAG",IF(LEFT(I666,4)="JK05","BARAMULLA",IF(LEFT(I666,4)="26BH","BHARAT",IF(LEFT(I666,4)="25BH","BHARAT",IF(LEFT(I666,4)="JK12","POONCH",IF(LEFT(I666,4)="JK16","GANDERBAL",IF(LEFT(I666,4)="JK18","KULGAM",IF(LEFT(I666,4)="JK22","SHOPIAN",IF(LEFT(I666,4)="JK02","JAMMU",IF(LEFT(I666,4)="JK09","KUPWARA",IF(LEFT(I666,4)="JK15","BANDIPORA",IF(LEFT(I666,4)="JK17","KISHTWAR",IF(LEFT(I666,4)="LA01","KARGIL",IF(LEFT(I666,1)="T","TEMP","NEW")))))))))))))))))</f>
        <v>NEW</v>
      </c>
      <c r="I666" s="26"/>
      <c r="J666" s="27"/>
      <c r="K666" s="26"/>
      <c r="L666" s="26"/>
      <c r="M666" s="28"/>
      <c r="N666" s="27"/>
      <c r="O666" s="26"/>
      <c r="P666" s="29"/>
      <c r="Q666" s="26"/>
      <c r="R666" s="26"/>
    </row>
    <row r="667" spans="1:18" x14ac:dyDescent="0.25">
      <c r="A667" s="26">
        <f>ROW()-1</f>
        <v>666</v>
      </c>
      <c r="B667" s="26"/>
      <c r="C667" s="26"/>
      <c r="D667" s="26"/>
      <c r="E667" s="26"/>
      <c r="F667" s="26"/>
      <c r="G667" s="26"/>
      <c r="H667" s="26" t="str">
        <f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NEW</v>
      </c>
      <c r="I667" s="26"/>
      <c r="J667" s="27"/>
      <c r="K667" s="26"/>
      <c r="L667" s="26"/>
      <c r="M667" s="28"/>
      <c r="N667" s="27"/>
      <c r="O667" s="26"/>
      <c r="P667" s="29"/>
      <c r="Q667" s="26"/>
      <c r="R667" s="26"/>
    </row>
    <row r="668" spans="1:18" x14ac:dyDescent="0.25">
      <c r="A668" s="26">
        <f>ROW()-1</f>
        <v>667</v>
      </c>
      <c r="B668" s="26"/>
      <c r="C668" s="26"/>
      <c r="D668" s="26"/>
      <c r="E668" s="26"/>
      <c r="F668" s="26"/>
      <c r="G668" s="26"/>
      <c r="H668" s="26" t="str">
        <f>IF(LEFT(I668,4)="JK13","PULWAMA",IF(LEFT(I668,4)="JK01","SRINAGAR",IF(LEFT(I668,4)="JK04","BUDGAM",IF(LEFT(I668,4)="JK03","ANANTNAG",IF(LEFT(I668,4)="JK05","BARAMULLA",IF(LEFT(I668,4)="26BH","BHARAT",IF(LEFT(I668,4)="25BH","BHARAT",IF(LEFT(I668,4)="JK12","POONCH",IF(LEFT(I668,4)="JK16","GANDERBAL",IF(LEFT(I668,4)="JK18","KULGAM",IF(LEFT(I668,4)="JK22","SHOPIAN",IF(LEFT(I668,4)="JK02","JAMMU",IF(LEFT(I668,4)="JK09","KUPWARA",IF(LEFT(I668,4)="JK15","BANDIPORA",IF(LEFT(I668,4)="JK17","KISHTWAR",IF(LEFT(I668,4)="LA01","KARGIL",IF(LEFT(I668,1)="T","TEMP","NEW")))))))))))))))))</f>
        <v>NEW</v>
      </c>
      <c r="I668" s="26"/>
      <c r="J668" s="27"/>
      <c r="K668" s="26"/>
      <c r="L668" s="26"/>
      <c r="M668" s="28"/>
      <c r="N668" s="27"/>
      <c r="O668" s="26"/>
      <c r="P668" s="29"/>
      <c r="Q668" s="26"/>
      <c r="R668" s="26"/>
    </row>
    <row r="669" spans="1:18" ht="15.75" x14ac:dyDescent="0.25">
      <c r="A669" s="26"/>
      <c r="B669" s="26"/>
      <c r="C669" s="26"/>
      <c r="D669" s="26"/>
      <c r="E669" s="26"/>
      <c r="F669" s="26"/>
      <c r="G669" s="26"/>
      <c r="H669" s="1"/>
      <c r="I669" s="26"/>
      <c r="J669" s="12"/>
      <c r="K669" s="26"/>
      <c r="L669" s="26"/>
      <c r="M669" t="s">
        <v>43</v>
      </c>
    </row>
    <row r="670" spans="1:18" ht="15.75" x14ac:dyDescent="0.25">
      <c r="A670" s="26"/>
      <c r="B670" s="26"/>
      <c r="C670" s="26"/>
      <c r="D670" s="26"/>
      <c r="E670" s="26"/>
      <c r="F670" s="26"/>
      <c r="G670" s="26"/>
      <c r="H670" s="1"/>
      <c r="I670" s="13"/>
      <c r="K670" s="26"/>
    </row>
    <row r="671" spans="1:18" x14ac:dyDescent="0.25">
      <c r="K671" s="26"/>
    </row>
    <row r="672" spans="1:18" x14ac:dyDescent="0.25">
      <c r="K672" s="26"/>
    </row>
    <row r="673" spans="11:11" x14ac:dyDescent="0.25">
      <c r="K673" s="26"/>
    </row>
    <row r="674" spans="11:11" x14ac:dyDescent="0.25">
      <c r="K674" s="26"/>
    </row>
    <row r="675" spans="11:11" x14ac:dyDescent="0.25">
      <c r="K675" s="26"/>
    </row>
    <row r="676" spans="11:11" x14ac:dyDescent="0.25">
      <c r="K676" s="26"/>
    </row>
    <row r="677" spans="11:11" x14ac:dyDescent="0.25">
      <c r="K677" s="26"/>
    </row>
    <row r="678" spans="11:11" x14ac:dyDescent="0.25">
      <c r="K678" s="26"/>
    </row>
    <row r="679" spans="11:11" x14ac:dyDescent="0.25">
      <c r="K679" s="26"/>
    </row>
    <row r="680" spans="11:11" x14ac:dyDescent="0.25">
      <c r="K680" s="26"/>
    </row>
    <row r="681" spans="11:11" x14ac:dyDescent="0.25">
      <c r="K681" s="26"/>
    </row>
    <row r="682" spans="11:11" x14ac:dyDescent="0.25">
      <c r="K682" s="26"/>
    </row>
    <row r="683" spans="11:11" x14ac:dyDescent="0.25">
      <c r="K683" s="26"/>
    </row>
    <row r="684" spans="11:11" x14ac:dyDescent="0.25">
      <c r="K684" s="26"/>
    </row>
    <row r="685" spans="11:11" x14ac:dyDescent="0.25">
      <c r="K685" s="26"/>
    </row>
    <row r="686" spans="11:11" x14ac:dyDescent="0.25">
      <c r="K686" s="26"/>
    </row>
    <row r="687" spans="11:11" x14ac:dyDescent="0.25">
      <c r="K687" s="26"/>
    </row>
    <row r="688" spans="11:11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ht="15.75" x14ac:dyDescent="0.25">
      <c r="K749" s="12"/>
    </row>
    <row r="750" spans="11:11" ht="15.75" x14ac:dyDescent="0.25">
      <c r="K750" s="12"/>
    </row>
    <row r="751" spans="11:11" ht="15.75" x14ac:dyDescent="0.25">
      <c r="K751" s="12"/>
    </row>
    <row r="752" spans="11:11" ht="15.75" x14ac:dyDescent="0.25">
      <c r="K752" s="12"/>
    </row>
    <row r="753" spans="11:11" ht="15.75" x14ac:dyDescent="0.25">
      <c r="K753" s="12"/>
    </row>
    <row r="754" spans="11:11" ht="15.75" x14ac:dyDescent="0.25">
      <c r="K754" s="12"/>
    </row>
    <row r="755" spans="11:11" ht="15.75" x14ac:dyDescent="0.25">
      <c r="K755" s="12"/>
    </row>
    <row r="756" spans="11:11" ht="15.75" x14ac:dyDescent="0.25">
      <c r="K756" s="12"/>
    </row>
    <row r="757" spans="11:11" ht="15.75" x14ac:dyDescent="0.25">
      <c r="K757" s="12"/>
    </row>
    <row r="758" spans="11:11" ht="15.75" x14ac:dyDescent="0.25">
      <c r="K758" s="12"/>
    </row>
    <row r="759" spans="11:11" ht="15.75" x14ac:dyDescent="0.25">
      <c r="K759" s="12"/>
    </row>
    <row r="760" spans="11:11" ht="15.75" x14ac:dyDescent="0.25">
      <c r="K760" s="12"/>
    </row>
    <row r="761" spans="11:11" ht="15.75" x14ac:dyDescent="0.25">
      <c r="K761" s="12"/>
    </row>
    <row r="762" spans="11:11" ht="15.75" x14ac:dyDescent="0.25">
      <c r="K762" s="12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x14ac:dyDescent="0.25">
      <c r="K798" s="25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</sheetData>
  <conditionalFormatting sqref="A647:F647">
    <cfRule type="expression" dxfId="21" priority="1">
      <formula>CELL("row")=ROW()</formula>
    </cfRule>
  </conditionalFormatting>
  <conditionalFormatting sqref="A12:G217 H12:H554 N57:N58 I58:M58 O58:R58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63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I625:I656 F628:H628 H629 G630:H631 K631:K646 F632:H632 J632:J633 L632:R633 G633:H633 H634 J634:R634 H635:R635 H636:H637 J636:J637 H638:K638 J639:K639 H639:I641 J640:J642 H642 H643:J643 K643:L646 G644:J644 J645:J646 G645:H650 J647:K655 E649:G653 B649:D655 J650:L650 B650:G663 H651:H652 F653:H653 E654:H655 K654:K663 G656:J657 G658:K660 G661:J662 H663:J663 A664:R668 I669 K669:L669 A669:G670 K669:K748 L636:R663 I14:R57 J2:J14 A2:N11 I12:N13 N2:R13 P2:P23 I59:R86">
    <cfRule type="expression" dxfId="0" priority="15">
      <formula>CELL("row")=ROW()</formula>
    </cfRule>
  </conditionalFormatting>
  <conditionalFormatting sqref="B257:G290 B291:B300 C291:G301">
    <cfRule type="expression" dxfId="20" priority="13">
      <formula>CELL("row")=ROW()</formula>
    </cfRule>
  </conditionalFormatting>
  <conditionalFormatting sqref="F398">
    <cfRule type="expression" dxfId="19" priority="8">
      <formula>CELL("row")=ROW()</formula>
    </cfRule>
  </conditionalFormatting>
  <conditionalFormatting sqref="F420">
    <cfRule type="expression" dxfId="18" priority="7">
      <formula>CELL("row")=ROW()</formula>
    </cfRule>
  </conditionalFormatting>
  <conditionalFormatting sqref="F326:G326">
    <cfRule type="expression" dxfId="17" priority="10">
      <formula>CELL("row")=ROW()</formula>
    </cfRule>
  </conditionalFormatting>
  <conditionalFormatting sqref="G266">
    <cfRule type="expression" dxfId="16" priority="12">
      <formula>CELL("row")=ROW()</formula>
    </cfRule>
  </conditionalFormatting>
  <conditionalFormatting sqref="I558">
    <cfRule type="expression" dxfId="15" priority="3">
      <formula>CELL("row")=ROW()</formula>
    </cfRule>
  </conditionalFormatting>
  <conditionalFormatting sqref="L532:L535">
    <cfRule type="expression" dxfId="14" priority="5">
      <formula>CELL("row")=ROW()</formula>
    </cfRule>
  </conditionalFormatting>
  <conditionalFormatting sqref="M669:O669 L670:O670">
    <cfRule type="expression" dxfId="13" priority="24">
      <formula>ROW(N93)=HighlightRow</formula>
    </cfRule>
  </conditionalFormatting>
  <conditionalFormatting sqref="P669:Q670">
    <cfRule type="expression" dxfId="12" priority="28">
      <formula>ROW(S93)=HighlightRow</formula>
    </cfRule>
  </conditionalFormatting>
  <conditionalFormatting sqref="S105:XFD105">
    <cfRule type="expression" dxfId="11" priority="29">
      <formula>ROW(T94)=HighlightRow</formula>
    </cfRule>
  </conditionalFormatting>
  <conditionalFormatting sqref="S106:XFD114">
    <cfRule type="expression" dxfId="10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9198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9557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3"/>
  <sheetViews>
    <sheetView topLeftCell="A398" zoomScaleNormal="100" workbookViewId="0">
      <selection activeCell="C416" sqref="C41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2" t="s">
        <v>6648</v>
      </c>
      <c r="B1" s="42"/>
      <c r="C1" s="42"/>
      <c r="D1" s="42"/>
      <c r="E1" s="42"/>
      <c r="F1" s="42"/>
      <c r="G1" s="42"/>
      <c r="H1" s="4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9197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9196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9204</v>
      </c>
      <c r="E264" s="26" t="s">
        <v>9203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9205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9245</v>
      </c>
      <c r="E266" s="26" t="s">
        <v>9231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9253</v>
      </c>
      <c r="C267" s="26">
        <v>9419028585</v>
      </c>
      <c r="D267" s="26" t="s">
        <v>9275</v>
      </c>
      <c r="E267" s="26" t="s">
        <v>9276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9240</v>
      </c>
      <c r="C268" s="26">
        <v>9906610809</v>
      </c>
      <c r="D268" s="26" t="s">
        <v>9274</v>
      </c>
      <c r="E268" s="26" t="s">
        <v>9244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9249</v>
      </c>
      <c r="C269" s="26">
        <v>7780951154</v>
      </c>
      <c r="D269" s="26" t="s">
        <v>9287</v>
      </c>
      <c r="E269" s="26" t="s">
        <v>9254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9236</v>
      </c>
      <c r="C270" s="26">
        <v>9596060009</v>
      </c>
      <c r="D270" s="26" t="s">
        <v>9288</v>
      </c>
      <c r="E270" s="26" t="s">
        <v>9243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9262</v>
      </c>
      <c r="C271" s="26">
        <v>7006965635</v>
      </c>
      <c r="D271" s="26" t="s">
        <v>9305</v>
      </c>
      <c r="E271" s="26" t="s">
        <v>9265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9304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9308</v>
      </c>
      <c r="C273" s="26">
        <v>9496007095</v>
      </c>
      <c r="D273" s="26" t="s">
        <v>9309</v>
      </c>
      <c r="E273" s="26" t="s">
        <v>9269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9277</v>
      </c>
      <c r="C274" s="26">
        <v>8082045352</v>
      </c>
      <c r="D274" s="26" t="s">
        <v>9311</v>
      </c>
      <c r="E274" s="26" t="s">
        <v>9282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9303</v>
      </c>
      <c r="C275" s="26">
        <v>7051413490</v>
      </c>
      <c r="D275" s="26" t="s">
        <v>9310</v>
      </c>
      <c r="E275" s="26" t="s">
        <v>9306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9312</v>
      </c>
      <c r="C276" s="26">
        <v>9149462152</v>
      </c>
      <c r="D276" s="26" t="s">
        <v>9313</v>
      </c>
      <c r="E276" s="26" t="s">
        <v>9281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9299</v>
      </c>
      <c r="C277" s="26">
        <v>8825070162</v>
      </c>
      <c r="D277" s="26" t="s">
        <v>9314</v>
      </c>
      <c r="E277" s="26" t="s">
        <v>9307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9343</v>
      </c>
      <c r="C278" s="26">
        <v>8493872787</v>
      </c>
      <c r="D278" s="26" t="s">
        <v>9345</v>
      </c>
      <c r="E278" s="26" t="s">
        <v>9330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9323</v>
      </c>
      <c r="C281" s="26">
        <v>8494064599</v>
      </c>
      <c r="D281" s="26" t="s">
        <v>9344</v>
      </c>
      <c r="E281" s="26" t="s">
        <v>9331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9209</v>
      </c>
      <c r="C282" s="26">
        <v>7006079003</v>
      </c>
      <c r="D282" s="26" t="s">
        <v>9355</v>
      </c>
      <c r="E282" s="26" t="s">
        <v>9210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9390</v>
      </c>
      <c r="C283" s="26">
        <v>8825081560</v>
      </c>
      <c r="D283" s="26" t="s">
        <v>9391</v>
      </c>
      <c r="E283" s="26" t="s">
        <v>9370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9388</v>
      </c>
      <c r="E284" s="26" t="s">
        <v>9369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9354</v>
      </c>
      <c r="C285" s="26">
        <v>7780915118</v>
      </c>
      <c r="D285" s="26" t="s">
        <v>9389</v>
      </c>
      <c r="E285" s="26" t="s">
        <v>9368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9374</v>
      </c>
      <c r="C286" s="26">
        <v>8082225552</v>
      </c>
      <c r="D286" s="26" t="s">
        <v>9392</v>
      </c>
      <c r="E286" s="26" t="s">
        <v>9381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9403</v>
      </c>
      <c r="C287" s="26">
        <v>9797100753</v>
      </c>
      <c r="D287" s="26" t="s">
        <v>9432</v>
      </c>
      <c r="E287" s="26" t="s">
        <v>9408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9386</v>
      </c>
      <c r="C288" s="26">
        <v>6005962327</v>
      </c>
      <c r="D288" s="26" t="s">
        <v>9431</v>
      </c>
      <c r="E288" s="26" t="s">
        <v>9387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9416</v>
      </c>
      <c r="C289" s="26">
        <v>7889906635</v>
      </c>
      <c r="D289" s="26" t="s">
        <v>9445</v>
      </c>
      <c r="E289" s="26" t="s">
        <v>9426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9420</v>
      </c>
      <c r="C290" s="26">
        <v>9419077006</v>
      </c>
      <c r="D290" s="26" t="s">
        <v>9446</v>
      </c>
      <c r="E290" s="26" t="s">
        <v>9427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9435</v>
      </c>
      <c r="C291" s="26">
        <v>9906588214</v>
      </c>
      <c r="D291" s="26" t="s">
        <v>9444</v>
      </c>
      <c r="E291" s="26" t="s">
        <v>9436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9481</v>
      </c>
      <c r="C292" s="26">
        <v>9541258789</v>
      </c>
      <c r="D292" s="26" t="s">
        <v>9482</v>
      </c>
      <c r="E292" s="26" t="s">
        <v>9462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9404</v>
      </c>
      <c r="C293" s="26">
        <v>9596324743</v>
      </c>
      <c r="D293" s="26" t="s">
        <v>9443</v>
      </c>
      <c r="E293" s="26" t="s">
        <v>9430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9460</v>
      </c>
      <c r="C294" s="26">
        <v>9596989605</v>
      </c>
      <c r="D294" s="26" t="s">
        <v>9480</v>
      </c>
      <c r="E294" s="26" t="s">
        <v>9461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9473</v>
      </c>
      <c r="C295" s="26">
        <v>7889969090</v>
      </c>
      <c r="D295" s="26" t="s">
        <v>9493</v>
      </c>
      <c r="E295" s="26" t="s">
        <v>9474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9513</v>
      </c>
      <c r="C296" s="26">
        <v>8899062478</v>
      </c>
      <c r="D296" s="26" t="s">
        <v>9547</v>
      </c>
      <c r="E296" s="26" t="s">
        <v>9515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9523</v>
      </c>
      <c r="C297" s="26">
        <v>9797500373</v>
      </c>
      <c r="D297" s="26" t="s">
        <v>9548</v>
      </c>
      <c r="E297" s="26" t="s">
        <v>9524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9485</v>
      </c>
      <c r="C298" s="26">
        <v>7889683165</v>
      </c>
      <c r="D298" s="26" t="s">
        <v>9546</v>
      </c>
      <c r="E298" s="26" t="s">
        <v>9486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9519</v>
      </c>
      <c r="C299" s="26">
        <v>9797038059</v>
      </c>
      <c r="D299" s="26" t="s">
        <v>9526</v>
      </c>
      <c r="E299" s="26" t="s">
        <v>9520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9497</v>
      </c>
      <c r="C300" s="26">
        <v>7006174573</v>
      </c>
      <c r="D300" s="26" t="s">
        <v>9556</v>
      </c>
      <c r="E300" s="26" t="s">
        <v>9498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9554</v>
      </c>
      <c r="C301" s="26">
        <v>6005137104</v>
      </c>
      <c r="D301" s="26" t="s">
        <v>9561</v>
      </c>
      <c r="E301" s="26" t="s">
        <v>9555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9559</v>
      </c>
      <c r="C302" s="26">
        <v>9419549461</v>
      </c>
      <c r="D302" s="26" t="s">
        <v>9560</v>
      </c>
      <c r="E302" s="26" t="s">
        <v>9542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9558</v>
      </c>
      <c r="E303" s="26" t="s">
        <v>9543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9576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9508</v>
      </c>
      <c r="C305" s="26">
        <v>6005105292</v>
      </c>
      <c r="D305" s="26" t="s">
        <v>9607</v>
      </c>
      <c r="E305" s="26" t="s">
        <v>9509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9605</v>
      </c>
      <c r="C306" s="26">
        <v>7006689016</v>
      </c>
      <c r="D306" s="26" t="s">
        <v>9612</v>
      </c>
      <c r="E306" s="26" t="s">
        <v>9606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9611</v>
      </c>
      <c r="E307" s="26" t="s">
        <v>9591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9599</v>
      </c>
      <c r="C308" s="26">
        <v>7298553784</v>
      </c>
      <c r="D308" s="26" t="s">
        <v>9610</v>
      </c>
      <c r="E308" s="26" t="s">
        <v>9600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9595</v>
      </c>
      <c r="C309" s="26">
        <v>7780863092</v>
      </c>
      <c r="D309" s="26" t="s">
        <v>9609</v>
      </c>
      <c r="E309" s="26" t="s">
        <v>9601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9614</v>
      </c>
      <c r="C310" s="26">
        <v>6006423102</v>
      </c>
      <c r="D310" s="26" t="s">
        <v>9615</v>
      </c>
      <c r="E310" s="26" t="s">
        <v>9590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9569</v>
      </c>
      <c r="C311" s="26">
        <v>9419433461</v>
      </c>
      <c r="D311" s="26" t="s">
        <v>9636</v>
      </c>
      <c r="E311" s="26" t="s">
        <v>9570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9645</v>
      </c>
      <c r="C312" s="26">
        <v>6006169156</v>
      </c>
      <c r="D312" s="26" t="s">
        <v>9663</v>
      </c>
      <c r="E312" s="26" t="s">
        <v>9650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9659</v>
      </c>
      <c r="C313" s="26">
        <v>7006773197</v>
      </c>
      <c r="D313" s="26" t="s">
        <v>9668</v>
      </c>
      <c r="E313" s="26" t="s">
        <v>9662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9632</v>
      </c>
      <c r="C314" s="26">
        <v>6006078392</v>
      </c>
      <c r="D314" s="26" t="s">
        <v>9669</v>
      </c>
      <c r="E314" s="26" t="s">
        <v>9634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9708</v>
      </c>
      <c r="C315" s="26">
        <v>9697025748</v>
      </c>
      <c r="D315" s="26" t="s">
        <v>9709</v>
      </c>
      <c r="E315" s="26" t="s">
        <v>9679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9623</v>
      </c>
      <c r="C316" s="26">
        <v>9149790539</v>
      </c>
      <c r="D316" s="26" t="s">
        <v>9664</v>
      </c>
      <c r="E316" s="26" t="s">
        <v>9624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9488</v>
      </c>
      <c r="C317" s="26">
        <v>7780922014</v>
      </c>
      <c r="D317" s="26" t="s">
        <v>9666</v>
      </c>
      <c r="E317" s="26" t="s">
        <v>9490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9665</v>
      </c>
      <c r="E318" s="26" t="s">
        <v>9442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9696</v>
      </c>
      <c r="C319" s="26">
        <v>9419571210</v>
      </c>
      <c r="D319" s="26" t="s">
        <v>9747</v>
      </c>
      <c r="E319" s="26" t="s">
        <v>9726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9723</v>
      </c>
      <c r="C320" s="26">
        <v>7006759393</v>
      </c>
      <c r="D320" s="26" t="s">
        <v>9748</v>
      </c>
      <c r="E320" s="26" t="s">
        <v>9724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9743</v>
      </c>
      <c r="C321" s="26">
        <v>7006313164</v>
      </c>
      <c r="D321" s="26" t="s">
        <v>9757</v>
      </c>
      <c r="E321" s="26" t="s">
        <v>9745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9701</v>
      </c>
      <c r="C322" s="26">
        <v>7006317414</v>
      </c>
      <c r="D322" s="26" t="s">
        <v>9756</v>
      </c>
      <c r="E322" s="26" t="s">
        <v>9727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9711</v>
      </c>
      <c r="C323" s="26">
        <v>9797429247</v>
      </c>
      <c r="D323" s="26" t="s">
        <v>9755</v>
      </c>
      <c r="E323" s="26" t="s">
        <v>9729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9738</v>
      </c>
      <c r="C324" s="26">
        <v>7006675147</v>
      </c>
      <c r="D324" s="26" t="s">
        <v>9758</v>
      </c>
      <c r="E324" s="26" t="s">
        <v>9744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9707</v>
      </c>
      <c r="C325" s="26">
        <v>7006446177</v>
      </c>
      <c r="D325" s="26" t="s">
        <v>9759</v>
      </c>
      <c r="E325" s="26" t="s">
        <v>9725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9761</v>
      </c>
      <c r="C326" s="26">
        <v>7006248705</v>
      </c>
      <c r="D326" s="26" t="s">
        <v>9762</v>
      </c>
      <c r="E326" s="26" t="s">
        <v>9760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9774</v>
      </c>
      <c r="C327" s="26">
        <v>9906605500</v>
      </c>
      <c r="D327" s="26" t="s">
        <v>9798</v>
      </c>
      <c r="E327" s="26" t="s">
        <v>9775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9812</v>
      </c>
      <c r="C328" s="26"/>
      <c r="D328" s="26" t="s">
        <v>9799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9786</v>
      </c>
      <c r="C329" s="26">
        <v>9622886443</v>
      </c>
      <c r="D329" s="26" t="s">
        <v>9809</v>
      </c>
      <c r="E329" s="26" t="s">
        <v>9787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9810</v>
      </c>
      <c r="E330" s="26" t="s">
        <v>9797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9808</v>
      </c>
      <c r="C331" s="26">
        <v>7889391399</v>
      </c>
      <c r="D331" s="26" t="s">
        <v>9813</v>
      </c>
      <c r="E331" s="26" t="s">
        <v>9811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9362</v>
      </c>
      <c r="C372" s="26">
        <v>8899602360</v>
      </c>
      <c r="D372" s="26" t="s">
        <v>9395</v>
      </c>
      <c r="E372" s="26" t="s">
        <v>9379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9393</v>
      </c>
      <c r="C373" s="26">
        <v>9622841017</v>
      </c>
      <c r="D373" s="26" t="s">
        <v>9394</v>
      </c>
      <c r="E373" s="26" t="s">
        <v>9380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9640</v>
      </c>
      <c r="C374" s="26">
        <v>9906363571</v>
      </c>
      <c r="D374" s="26" t="s">
        <v>9667</v>
      </c>
      <c r="E374" s="26" t="s">
        <v>9641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9815</v>
      </c>
      <c r="C375" s="26">
        <v>9682339805</v>
      </c>
      <c r="D375" s="26" t="s">
        <v>9819</v>
      </c>
      <c r="E375" s="26" t="s">
        <v>9818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9821</v>
      </c>
      <c r="C376" s="26">
        <v>7889626233</v>
      </c>
      <c r="D376" s="26" t="s">
        <v>9833</v>
      </c>
      <c r="E376" s="26" t="s">
        <v>9826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9769</v>
      </c>
      <c r="C377" s="26">
        <v>9149899595</v>
      </c>
      <c r="D377" s="26" t="s">
        <v>9834</v>
      </c>
      <c r="E377" s="26" t="s">
        <v>9827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9839</v>
      </c>
      <c r="C378" s="26">
        <v>7780848903</v>
      </c>
      <c r="D378" s="26" t="s">
        <v>9855</v>
      </c>
      <c r="E378" s="26" t="s">
        <v>9847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9866</v>
      </c>
      <c r="E379" s="26" t="s">
        <v>9863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9830</v>
      </c>
      <c r="C380" s="26">
        <v>9697398972</v>
      </c>
      <c r="D380" s="26" t="s">
        <v>9867</v>
      </c>
      <c r="E380" s="26" t="s">
        <v>9832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9851</v>
      </c>
      <c r="C381" s="26">
        <v>9622429731</v>
      </c>
      <c r="D381" s="26" t="s">
        <v>9868</v>
      </c>
      <c r="E381" s="26" t="s">
        <v>9854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9869</v>
      </c>
      <c r="E382" s="26" t="s">
        <v>9846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9845</v>
      </c>
      <c r="C383" s="26">
        <v>9541046722</v>
      </c>
      <c r="D383" s="26" t="s">
        <v>9870</v>
      </c>
      <c r="E383" s="26" t="s">
        <v>9848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9858</v>
      </c>
      <c r="C384" s="26">
        <v>7006487784</v>
      </c>
      <c r="D384" s="26" t="s">
        <v>9871</v>
      </c>
      <c r="E384" s="26" t="s">
        <v>9859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9890</v>
      </c>
      <c r="E385" s="26" t="s">
        <v>9633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9894</v>
      </c>
      <c r="E386" s="26" t="s">
        <v>9884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9922</v>
      </c>
      <c r="C387" s="26">
        <v>9103105509</v>
      </c>
      <c r="D387" s="26" t="s">
        <v>9933</v>
      </c>
      <c r="E387" s="26" t="s">
        <v>9923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9912</v>
      </c>
      <c r="C388" s="26">
        <v>9149702486</v>
      </c>
      <c r="D388" s="26" t="s">
        <v>9934</v>
      </c>
      <c r="E388" s="26" t="s">
        <v>9914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9935</v>
      </c>
      <c r="E389" s="26" t="s">
        <v>9907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9943</v>
      </c>
      <c r="C390" s="26">
        <v>7051986605</v>
      </c>
      <c r="D390" s="26" t="s">
        <v>9962</v>
      </c>
      <c r="E390" s="26" t="s">
        <v>9951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2" si="6">ROW()-2</f>
        <v>389</v>
      </c>
      <c r="B391" s="26" t="s">
        <v>9765</v>
      </c>
      <c r="C391" s="26">
        <v>9596989763</v>
      </c>
      <c r="D391" s="26" t="s">
        <v>9963</v>
      </c>
      <c r="E391" s="26" t="s">
        <v>9780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9902</v>
      </c>
      <c r="C392" s="26">
        <v>7006088212</v>
      </c>
      <c r="D392" s="26" t="s">
        <v>9964</v>
      </c>
      <c r="E392" s="26" t="s">
        <v>9906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9955</v>
      </c>
      <c r="C393" s="26">
        <v>7889614481</v>
      </c>
      <c r="D393" s="26" t="s">
        <v>9965</v>
      </c>
      <c r="E393" s="26" t="s">
        <v>9960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9939</v>
      </c>
      <c r="C394" s="26">
        <v>9906923440</v>
      </c>
      <c r="D394" s="26" t="s">
        <v>9966</v>
      </c>
      <c r="E394" s="26" t="s">
        <v>9941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10005</v>
      </c>
      <c r="C395" s="26">
        <v>9906614866</v>
      </c>
      <c r="D395" s="26" t="s">
        <v>10006</v>
      </c>
      <c r="E395" s="26" t="s">
        <v>10003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9985</v>
      </c>
      <c r="C396" s="26">
        <v>7006558308</v>
      </c>
      <c r="D396" s="26" t="s">
        <v>10007</v>
      </c>
      <c r="E396" s="26" t="s">
        <v>9986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9979</v>
      </c>
      <c r="C397" s="26">
        <v>9697037304</v>
      </c>
      <c r="D397" s="26" t="s">
        <v>10008</v>
      </c>
      <c r="E397" s="26" t="s">
        <v>9980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10000</v>
      </c>
      <c r="C398" s="26">
        <v>7006405513</v>
      </c>
      <c r="D398" s="26" t="s">
        <v>10009</v>
      </c>
      <c r="E398" s="26" t="s">
        <v>10002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10010</v>
      </c>
      <c r="E399" s="26" t="s">
        <v>9981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9991</v>
      </c>
      <c r="C400" s="26">
        <v>8491830269</v>
      </c>
      <c r="D400" s="26" t="s">
        <v>10026</v>
      </c>
      <c r="E400" s="26" t="s">
        <v>10004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9949</v>
      </c>
      <c r="C401" s="26">
        <v>7006765311</v>
      </c>
      <c r="D401" s="26" t="s">
        <v>10027</v>
      </c>
      <c r="E401" s="26" t="s">
        <v>9950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10045</v>
      </c>
      <c r="C402" s="26">
        <v>8660969096</v>
      </c>
      <c r="D402" s="26" t="s">
        <v>10056</v>
      </c>
      <c r="E402" s="26" t="s">
        <v>10049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10036</v>
      </c>
      <c r="C403" s="26">
        <v>9541554947</v>
      </c>
      <c r="D403" s="26" t="s">
        <v>10057</v>
      </c>
      <c r="E403" s="26" t="s">
        <v>10039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10031</v>
      </c>
      <c r="C404" s="26">
        <v>6005336023</v>
      </c>
      <c r="D404" s="26" t="s">
        <v>10058</v>
      </c>
      <c r="E404" s="26" t="s">
        <v>10038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10013</v>
      </c>
      <c r="C405" s="26">
        <v>6005377352</v>
      </c>
      <c r="D405" s="26" t="s">
        <v>10059</v>
      </c>
      <c r="E405" s="26" t="s">
        <v>10020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10054</v>
      </c>
      <c r="C406" s="26">
        <v>9906899687</v>
      </c>
      <c r="D406" s="26" t="s">
        <v>10071</v>
      </c>
      <c r="E406" s="26" t="s">
        <v>10055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10043</v>
      </c>
      <c r="C407" s="26">
        <v>6005089007</v>
      </c>
      <c r="D407" s="26" t="s">
        <v>10073</v>
      </c>
      <c r="E407" s="26" t="s">
        <v>10048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10068</v>
      </c>
      <c r="C408" s="26">
        <v>6006239070</v>
      </c>
      <c r="D408" s="26" t="s">
        <v>10074</v>
      </c>
      <c r="E408" s="26" t="s">
        <v>10070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/>
      <c r="C409" s="26"/>
      <c r="D409" s="26"/>
      <c r="E409" s="26"/>
      <c r="F409" s="14"/>
      <c r="G409" s="14"/>
      <c r="H409" s="12"/>
    </row>
    <row r="410" spans="1:8" ht="15.75" x14ac:dyDescent="0.25">
      <c r="A410" s="12">
        <f t="shared" si="6"/>
        <v>408</v>
      </c>
      <c r="B410" s="12"/>
      <c r="C410" s="12"/>
      <c r="D410" s="12"/>
      <c r="E410" s="12"/>
      <c r="F410" s="14"/>
      <c r="G410" s="14"/>
      <c r="H410" s="12"/>
    </row>
    <row r="411" spans="1:8" ht="15.75" x14ac:dyDescent="0.25">
      <c r="A411" s="12">
        <f t="shared" si="6"/>
        <v>409</v>
      </c>
      <c r="B411" s="12"/>
      <c r="C411" s="12"/>
      <c r="D411" s="12"/>
      <c r="E411" s="12"/>
      <c r="F411" s="14"/>
      <c r="G411" s="14"/>
      <c r="H411" s="12"/>
    </row>
    <row r="412" spans="1:8" ht="15.75" x14ac:dyDescent="0.25">
      <c r="A412" s="12">
        <f t="shared" si="6"/>
        <v>410</v>
      </c>
      <c r="B412" s="12"/>
      <c r="C412" s="12"/>
      <c r="D412" s="12"/>
      <c r="E412" s="12"/>
      <c r="F412" s="14"/>
      <c r="G412" s="14"/>
      <c r="H412" s="12"/>
    </row>
    <row r="413" spans="1:8" ht="15.75" x14ac:dyDescent="0.25">
      <c r="A413" s="12">
        <f t="shared" si="6"/>
        <v>411</v>
      </c>
      <c r="B413" s="12"/>
      <c r="C413" s="12"/>
      <c r="D413" s="12"/>
      <c r="E413" s="12"/>
      <c r="F413" s="14"/>
      <c r="G413" s="14"/>
      <c r="H413" s="12"/>
    </row>
    <row r="414" spans="1:8" ht="15.75" x14ac:dyDescent="0.25">
      <c r="A414" s="12">
        <f t="shared" si="6"/>
        <v>412</v>
      </c>
      <c r="B414" s="12"/>
      <c r="C414" s="12"/>
      <c r="D414" s="12"/>
      <c r="E414" s="12"/>
      <c r="F414" s="14"/>
      <c r="G414" s="14"/>
      <c r="H414" s="12"/>
    </row>
    <row r="415" spans="1:8" ht="15.75" x14ac:dyDescent="0.25">
      <c r="A415" s="12">
        <f t="shared" si="6"/>
        <v>413</v>
      </c>
      <c r="B415" s="12"/>
      <c r="C415" s="12"/>
      <c r="D415" s="12"/>
      <c r="E415" s="12"/>
      <c r="F415" s="14"/>
      <c r="G415" s="14"/>
      <c r="H415" s="12"/>
    </row>
    <row r="416" spans="1:8" ht="15.75" x14ac:dyDescent="0.25">
      <c r="A416" s="12">
        <f t="shared" si="6"/>
        <v>414</v>
      </c>
      <c r="B416" s="12"/>
      <c r="C416" s="12"/>
      <c r="D416" s="12"/>
      <c r="E416" s="12"/>
      <c r="F416" s="14"/>
      <c r="G416" s="14"/>
      <c r="H416" s="12"/>
    </row>
    <row r="417" spans="1:8" ht="15.75" x14ac:dyDescent="0.25">
      <c r="A417" s="12">
        <f t="shared" si="6"/>
        <v>415</v>
      </c>
      <c r="B417" s="12"/>
      <c r="C417" s="12"/>
      <c r="D417" s="12"/>
      <c r="E417" s="12"/>
      <c r="F417" s="14"/>
      <c r="G417" s="14"/>
      <c r="H417" s="12"/>
    </row>
    <row r="418" spans="1:8" ht="15.75" x14ac:dyDescent="0.25">
      <c r="A418" s="12">
        <f t="shared" si="6"/>
        <v>416</v>
      </c>
      <c r="B418" s="12"/>
      <c r="C418" s="12"/>
      <c r="D418" s="12"/>
      <c r="E418" s="12"/>
      <c r="F418" s="14"/>
      <c r="G418" s="14"/>
      <c r="H418" s="12"/>
    </row>
    <row r="419" spans="1:8" ht="15.75" x14ac:dyDescent="0.25">
      <c r="A419" s="12">
        <f t="shared" si="6"/>
        <v>417</v>
      </c>
      <c r="B419" s="12"/>
      <c r="C419" s="12"/>
      <c r="D419" s="12"/>
      <c r="E419" s="12"/>
      <c r="F419" s="14"/>
      <c r="G419" s="14"/>
      <c r="H419" s="12"/>
    </row>
    <row r="420" spans="1:8" ht="15.75" x14ac:dyDescent="0.25">
      <c r="A420" s="12">
        <f t="shared" si="6"/>
        <v>418</v>
      </c>
      <c r="B420" s="12"/>
      <c r="C420" s="12"/>
      <c r="D420" s="12"/>
      <c r="E420" s="12"/>
      <c r="F420" s="14"/>
      <c r="G420" s="14"/>
      <c r="H420" s="12"/>
    </row>
    <row r="421" spans="1:8" ht="15.75" x14ac:dyDescent="0.25">
      <c r="A421" s="12">
        <f t="shared" si="6"/>
        <v>419</v>
      </c>
      <c r="B421" s="12"/>
      <c r="C421" s="12"/>
      <c r="D421" s="12"/>
      <c r="E421" s="12"/>
      <c r="F421" s="14"/>
      <c r="G421" s="14"/>
      <c r="H421" s="12"/>
    </row>
    <row r="422" spans="1:8" ht="15.75" x14ac:dyDescent="0.25">
      <c r="A422" s="12">
        <f t="shared" si="6"/>
        <v>420</v>
      </c>
      <c r="B422" s="12"/>
      <c r="C422" s="12"/>
      <c r="D422" s="12"/>
      <c r="E422" s="12"/>
      <c r="F422" s="14"/>
      <c r="G422" s="14"/>
      <c r="H422" s="12"/>
    </row>
    <row r="423" spans="1:8" x14ac:dyDescent="0.25">
      <c r="B423" s="26"/>
      <c r="C423" s="26"/>
      <c r="D423" s="26"/>
    </row>
  </sheetData>
  <mergeCells count="1">
    <mergeCell ref="A1:H1"/>
  </mergeCells>
  <phoneticPr fontId="27" type="noConversion"/>
  <conditionalFormatting sqref="B252:C252 B423:D423 B311:E422">
    <cfRule type="expression" dxfId="9" priority="14">
      <formula>CELL("row")=ROW()</formula>
    </cfRule>
  </conditionalFormatting>
  <conditionalFormatting sqref="B192:D193 D194:D195 B196:D211">
    <cfRule type="expression" dxfId="8" priority="20">
      <formula>CELL("row")=ROW()</formula>
    </cfRule>
  </conditionalFormatting>
  <conditionalFormatting sqref="B3:E309 B304:C313 D310:E310">
    <cfRule type="expression" dxfId="7" priority="41">
      <formula>CELL("row")=ROW()</formula>
    </cfRule>
  </conditionalFormatting>
  <conditionalFormatting sqref="C104">
    <cfRule type="expression" dxfId="6" priority="40">
      <formula>CELL("row")=ROW()</formula>
    </cfRule>
  </conditionalFormatting>
  <conditionalFormatting sqref="C123">
    <cfRule type="expression" dxfId="5" priority="37">
      <formula>CELL("row")=ROW()</formula>
    </cfRule>
  </conditionalFormatting>
  <conditionalFormatting sqref="C208:C209">
    <cfRule type="expression" dxfId="4" priority="18">
      <formula>CELL("row")=ROW()</formula>
    </cfRule>
  </conditionalFormatting>
  <conditionalFormatting sqref="C239:E244 C252:E252">
    <cfRule type="expression" dxfId="3" priority="12">
      <formula>CELL("row")=ROW()</formula>
    </cfRule>
  </conditionalFormatting>
  <conditionalFormatting sqref="E123">
    <cfRule type="expression" dxfId="2" priority="38">
      <formula>CELL("row")=ROW()</formula>
    </cfRule>
  </conditionalFormatting>
  <conditionalFormatting sqref="E289:E295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3" t="s">
        <v>9463</v>
      </c>
      <c r="B1" s="43"/>
      <c r="C1" s="43"/>
      <c r="D1" s="43"/>
      <c r="E1" s="43"/>
      <c r="F1" s="43"/>
      <c r="G1" s="43"/>
      <c r="H1" s="43"/>
      <c r="I1" s="43"/>
    </row>
    <row r="2" spans="1:9" x14ac:dyDescent="0.25">
      <c r="A2" s="41" t="s">
        <v>6649</v>
      </c>
      <c r="B2" s="41" t="s">
        <v>9464</v>
      </c>
      <c r="C2" s="41" t="s">
        <v>9465</v>
      </c>
      <c r="D2" s="41" t="s">
        <v>6651</v>
      </c>
      <c r="E2" s="41" t="s">
        <v>9466</v>
      </c>
      <c r="F2" s="41" t="s">
        <v>9467</v>
      </c>
      <c r="G2" s="41" t="s">
        <v>9468</v>
      </c>
      <c r="H2" s="41" t="s">
        <v>9931</v>
      </c>
      <c r="I2" s="41" t="s">
        <v>9577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9580</v>
      </c>
      <c r="D3" s="26" t="s">
        <v>8927</v>
      </c>
      <c r="E3" s="26" t="s">
        <v>9582</v>
      </c>
      <c r="F3" s="26">
        <v>321959853</v>
      </c>
      <c r="G3" s="30">
        <v>46041</v>
      </c>
      <c r="H3" s="26">
        <v>280</v>
      </c>
      <c r="I3" s="26" t="s">
        <v>9579</v>
      </c>
    </row>
    <row r="4" spans="1:9" x14ac:dyDescent="0.25">
      <c r="A4" s="26">
        <f t="shared" si="0"/>
        <v>2</v>
      </c>
      <c r="B4" s="30">
        <v>46046</v>
      </c>
      <c r="C4" s="26" t="s">
        <v>9581</v>
      </c>
      <c r="D4" s="26"/>
      <c r="E4" s="26" t="s">
        <v>9582</v>
      </c>
      <c r="F4" s="26">
        <v>388358936</v>
      </c>
      <c r="G4" s="30">
        <v>46046</v>
      </c>
      <c r="H4" s="26">
        <v>280</v>
      </c>
      <c r="I4" s="26" t="s">
        <v>9579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9469</v>
      </c>
      <c r="F5" s="26" t="s">
        <v>9578</v>
      </c>
      <c r="G5" s="30">
        <v>46104</v>
      </c>
      <c r="H5" s="26">
        <v>280</v>
      </c>
      <c r="I5" s="26" t="s">
        <v>9579</v>
      </c>
    </row>
    <row r="6" spans="1:9" x14ac:dyDescent="0.25">
      <c r="A6" s="26">
        <f t="shared" si="0"/>
        <v>4</v>
      </c>
      <c r="B6" s="30">
        <v>46121</v>
      </c>
      <c r="C6" s="26" t="s">
        <v>9892</v>
      </c>
      <c r="D6" s="26" t="s">
        <v>9893</v>
      </c>
      <c r="E6" s="26" t="s">
        <v>9929</v>
      </c>
      <c r="F6" s="26" t="s">
        <v>9930</v>
      </c>
      <c r="G6" s="30">
        <v>46122</v>
      </c>
      <c r="H6" s="26">
        <v>280</v>
      </c>
      <c r="I6" s="26" t="s">
        <v>9579</v>
      </c>
    </row>
    <row r="7" spans="1:9" x14ac:dyDescent="0.25">
      <c r="A7" s="26">
        <f t="shared" si="0"/>
        <v>5</v>
      </c>
      <c r="B7" s="30">
        <v>46125</v>
      </c>
      <c r="C7" s="26" t="s">
        <v>9971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2026-04-16T12:30:18Z</dcterms:modified>
</cp:coreProperties>
</file>