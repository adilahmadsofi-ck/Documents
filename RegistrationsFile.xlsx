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F144628-CD05-4014-9E84-D29294ADC27D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3" i="4" l="1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H318" i="4"/>
  <c r="H319" i="4"/>
  <c r="H320" i="4"/>
  <c r="H321" i="4"/>
  <c r="H322" i="4"/>
  <c r="H323" i="4"/>
  <c r="H324" i="4"/>
  <c r="H325" i="4"/>
  <c r="A318" i="4"/>
  <c r="A319" i="4"/>
  <c r="A320" i="4"/>
  <c r="A321" i="4"/>
  <c r="A322" i="4"/>
  <c r="A323" i="4"/>
  <c r="A324" i="4"/>
  <c r="A325" i="4"/>
  <c r="H312" i="4"/>
  <c r="H313" i="4"/>
  <c r="H314" i="4"/>
  <c r="H315" i="4"/>
  <c r="H316" i="4"/>
  <c r="H317" i="4"/>
  <c r="A312" i="4"/>
  <c r="A313" i="4"/>
  <c r="A314" i="4"/>
  <c r="A315" i="4"/>
  <c r="A316" i="4"/>
  <c r="A317" i="4"/>
  <c r="A130" i="7"/>
  <c r="A131" i="7"/>
  <c r="A132" i="7"/>
  <c r="A133" i="7"/>
  <c r="A134" i="7"/>
  <c r="A135" i="7"/>
  <c r="A136" i="7"/>
  <c r="A137" i="7"/>
  <c r="A138" i="7"/>
  <c r="H301" i="4"/>
  <c r="H302" i="4"/>
  <c r="H303" i="4"/>
  <c r="H304" i="4"/>
  <c r="H305" i="4"/>
  <c r="H306" i="4"/>
  <c r="H307" i="4"/>
  <c r="H308" i="4"/>
  <c r="H309" i="4"/>
  <c r="H310" i="4"/>
  <c r="H311" i="4"/>
  <c r="A301" i="4"/>
  <c r="A302" i="4"/>
  <c r="A303" i="4"/>
  <c r="A304" i="4"/>
  <c r="A305" i="4"/>
  <c r="A306" i="4"/>
  <c r="A307" i="4"/>
  <c r="A308" i="4"/>
  <c r="A309" i="4"/>
  <c r="A310" i="4"/>
  <c r="A311" i="4"/>
  <c r="H297" i="4"/>
  <c r="H298" i="4"/>
  <c r="H289" i="4"/>
  <c r="H300" i="4"/>
  <c r="A297" i="4"/>
  <c r="A298" i="4"/>
  <c r="A289" i="4"/>
  <c r="A300" i="4"/>
  <c r="H287" i="4"/>
  <c r="H288" i="4"/>
  <c r="H299" i="4"/>
  <c r="H290" i="4"/>
  <c r="H291" i="4"/>
  <c r="H292" i="4"/>
  <c r="H293" i="4"/>
  <c r="H294" i="4"/>
  <c r="H295" i="4"/>
  <c r="H296" i="4"/>
  <c r="A287" i="4"/>
  <c r="A288" i="4"/>
  <c r="A299" i="4"/>
  <c r="A290" i="4"/>
  <c r="A291" i="4"/>
  <c r="A292" i="4"/>
  <c r="A293" i="4"/>
  <c r="A294" i="4"/>
  <c r="A295" i="4"/>
  <c r="A296" i="4"/>
  <c r="A125" i="7"/>
  <c r="A126" i="7"/>
  <c r="A127" i="7"/>
  <c r="A128" i="7"/>
  <c r="A129" i="7"/>
  <c r="H271" i="4"/>
  <c r="H284" i="4"/>
  <c r="H285" i="4"/>
  <c r="H286" i="4"/>
  <c r="A271" i="4"/>
  <c r="A284" i="4"/>
  <c r="A285" i="4"/>
  <c r="A286" i="4"/>
  <c r="H275" i="4"/>
  <c r="H276" i="4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H267" i="4"/>
  <c r="H268" i="4"/>
  <c r="H259" i="4"/>
  <c r="H269" i="4"/>
  <c r="H270" i="4"/>
  <c r="H183" i="4"/>
  <c r="H272" i="4"/>
  <c r="H273" i="4"/>
  <c r="H274" i="4"/>
  <c r="H277" i="4"/>
  <c r="H278" i="4"/>
  <c r="H279" i="4"/>
  <c r="H222" i="4"/>
  <c r="H281" i="4"/>
  <c r="H282" i="4"/>
  <c r="A267" i="4"/>
  <c r="A268" i="4"/>
  <c r="A259" i="4"/>
  <c r="A269" i="4"/>
  <c r="A270" i="4"/>
  <c r="A183" i="4"/>
  <c r="A272" i="4"/>
  <c r="A273" i="4"/>
  <c r="A274" i="4"/>
  <c r="A275" i="4"/>
  <c r="A276" i="4"/>
  <c r="A277" i="4"/>
  <c r="A278" i="4"/>
  <c r="A279" i="4"/>
  <c r="A222" i="4"/>
  <c r="A281" i="4"/>
  <c r="A282" i="4"/>
  <c r="H256" i="4"/>
  <c r="H257" i="4"/>
  <c r="H258" i="4"/>
  <c r="H260" i="4"/>
  <c r="H261" i="4"/>
  <c r="H262" i="4"/>
  <c r="H263" i="4"/>
  <c r="H264" i="4"/>
  <c r="H280" i="4"/>
  <c r="H266" i="4"/>
  <c r="A256" i="4"/>
  <c r="A257" i="4"/>
  <c r="A258" i="4"/>
  <c r="A260" i="4"/>
  <c r="A261" i="4"/>
  <c r="A262" i="4"/>
  <c r="A263" i="4"/>
  <c r="A264" i="4"/>
  <c r="A280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A88" i="7"/>
  <c r="A89" i="7"/>
  <c r="A90" i="7"/>
  <c r="A91" i="7"/>
  <c r="A92" i="7"/>
  <c r="A93" i="7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H223" i="4"/>
  <c r="H224" i="4"/>
  <c r="H229" i="4"/>
  <c r="H265" i="4"/>
  <c r="H227" i="4"/>
  <c r="H228" i="4"/>
  <c r="H133" i="4"/>
  <c r="H230" i="4"/>
  <c r="H231" i="4"/>
  <c r="H232" i="4"/>
  <c r="A223" i="4"/>
  <c r="A224" i="4"/>
  <c r="A229" i="4"/>
  <c r="A265" i="4"/>
  <c r="A227" i="4"/>
  <c r="A228" i="4"/>
  <c r="A133" i="4"/>
  <c r="A230" i="4"/>
  <c r="A231" i="4"/>
  <c r="A232" i="4"/>
  <c r="H221" i="4"/>
  <c r="H13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13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226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65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283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225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226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<sst xmlns="http://schemas.openxmlformats.org/spreadsheetml/2006/main" count="20562" uniqueCount="8033">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</sst>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74" totalsRowShown="0" headerRowDxfId="87" dataDxfId="86">
  <autoFilter ref="A1:R374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38" totalsRowShown="0" headerRowDxfId="42" dataDxfId="41">
  <autoFilter ref="A2:H138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52"/>
  <sheetViews>
    <sheetView tabSelected="1" topLeftCell="G317" zoomScaleNormal="100" workbookViewId="0">
      <selection activeCell="M322" sqref="M32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4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7459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4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ref="A65:A128" si="3">ROW()-1</f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ref="H65:H96" si="4">IF(LEFT(I65,4)="JK13","PULWAMA",IF(LEFT(I65,4)="JK01","SRINAGAR",IF(LEFT(I65,4)="JK04","BUDGAM",IF(LEFT(I65,4)="JK03","ANANTNAG",IF(LEFT(I65,4)="JK05","BARAMULLA",IF(LEFT(I65,4)="25BH","BHARAT",IF(LEFT(I65,4)="JK12","POONCH",IF(LEFT(I65,4)="JK18","KULGAM",IF(LEFT(I65,4)="JK22","SHOPIAN",IF(LEFT(I65,4)="T102","TEMP",IF(LEFT(I65,4)="JK09","KUPWARA",IF(LEFT(I65,4)="JK15","BANDIPORA",IF(LEFT(I65,4)="T112","KARGIL","NEW")))))))))))))</f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3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4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3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4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3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ref="H97:H128" si="5">IF(LEFT(I97,4)="JK13","PULWAMA",IF(LEFT(I97,4)="JK01","SRINAGAR",IF(LEFT(I97,4)="JK04","BUDGAM",IF(LEFT(I97,4)="JK03","ANANTNAG",IF(LEFT(I97,4)="JK05","BARAMULLA",IF(LEFT(I97,4)="25BH","BHARAT",IF(LEFT(I97,4)="JK12","POONCH",IF(LEFT(I97,4)="JK18","KULGAM",IF(LEFT(I97,4)="JK22","SHOPIAN",IF(LEFT(I97,4)="T102","TEMP",IF(LEFT(I97,4)="JK09","KUPWARA",IF(LEFT(I97,4)="JK15","BANDIPORA",IF(LEFT(I97,4)="T112","KARGIL","NEW")))))))))))))</f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3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5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3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3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3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3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3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3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3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5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3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5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3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5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3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5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3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5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3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5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3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5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3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5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3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5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3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5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3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5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3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5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3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5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3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5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3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5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3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5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3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5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3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5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3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5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3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5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3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5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3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5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3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5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3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5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ref="A129:A192" si="6">ROW()-1</f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ref="H129:H130" si="7">IF(LEFT(I129,4)="JK13","PULWAMA",IF(LEFT(I129,4)="JK01","SRINAGAR",IF(LEFT(I129,4)="JK04","BUDGAM",IF(LEFT(I129,4)="JK03","ANANTNAG",IF(LEFT(I129,4)="JK05","BARAMULLA",IF(LEFT(I129,4)="25BH","BHARAT",IF(LEFT(I129,4)="JK12","POONCH",IF(LEFT(I129,4)="JK18","KULGAM",IF(LEFT(I129,4)="JK22","SHOPIAN",IF(LEFT(I129,4)="T102","TEMP",IF(LEFT(I129,4)="JK09","KUPWARA",IF(LEFT(I129,4)="JK15","BANDIPORA",IF(LEFT(I129,4)="T112","KARGIL","NEW")))))))))))))</f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6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7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6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6"/>
        <v>131</v>
      </c>
      <c r="B132" s="47" t="s">
        <v>7288</v>
      </c>
      <c r="C132" s="47" t="s">
        <v>7289</v>
      </c>
      <c r="D132" s="47" t="s">
        <v>7290</v>
      </c>
      <c r="E132" s="47" t="s">
        <v>7291</v>
      </c>
      <c r="F132" s="47" t="s">
        <v>6546</v>
      </c>
      <c r="G132" s="47" t="s">
        <v>6475</v>
      </c>
      <c r="H132" s="47" t="str">
        <f t="shared" ref="H132:H163" si="8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7293</v>
      </c>
      <c r="J132" s="48">
        <v>46010</v>
      </c>
      <c r="K132" s="47">
        <v>9018112121</v>
      </c>
      <c r="L132" s="47" t="s">
        <v>26</v>
      </c>
      <c r="M132" s="49"/>
      <c r="N132" s="48"/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6"/>
        <v>132</v>
      </c>
      <c r="B133" s="47" t="s">
        <v>7330</v>
      </c>
      <c r="C133" s="47" t="s">
        <v>7326</v>
      </c>
      <c r="D133" s="47" t="s">
        <v>7327</v>
      </c>
      <c r="E133" s="47" t="s">
        <v>7328</v>
      </c>
      <c r="F133" s="47" t="s">
        <v>31</v>
      </c>
      <c r="G133" s="47" t="s">
        <v>174</v>
      </c>
      <c r="H133" s="47" t="str">
        <f t="shared" si="8"/>
        <v>SRINAGAR</v>
      </c>
      <c r="I133" s="47" t="s">
        <v>7329</v>
      </c>
      <c r="J133" s="48">
        <v>46011</v>
      </c>
      <c r="K133" s="47">
        <v>9622755213</v>
      </c>
      <c r="L133" s="47" t="s">
        <v>26</v>
      </c>
      <c r="M133" s="49" t="s">
        <v>7617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6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8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6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8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6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8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6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8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6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8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6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8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6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8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6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8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6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8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6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8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6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8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6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8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6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8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6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8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6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8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6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8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6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8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6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8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6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8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6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8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6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8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6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8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6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8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6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8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6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8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6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8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6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8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6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8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 t="s">
        <v>7808</v>
      </c>
      <c r="N161" s="48">
        <v>46022</v>
      </c>
      <c r="O161" s="47"/>
      <c r="P161" s="50"/>
      <c r="Q161" s="47"/>
      <c r="R161" s="47"/>
    </row>
    <row r="162" spans="1:18" x14ac:dyDescent="0.25">
      <c r="A162" s="47">
        <f t="shared" si="6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8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6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8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6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89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6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9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6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6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6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6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6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6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6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6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6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6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6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6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6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6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6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6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6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6"/>
        <v>182</v>
      </c>
      <c r="B183" s="47" t="s">
        <v>7579</v>
      </c>
      <c r="C183" s="47" t="s">
        <v>7580</v>
      </c>
      <c r="D183" s="47" t="s">
        <v>7581</v>
      </c>
      <c r="E183" s="47" t="s">
        <v>7582</v>
      </c>
      <c r="F183" s="47" t="s">
        <v>290</v>
      </c>
      <c r="G183" s="47" t="s">
        <v>175</v>
      </c>
      <c r="H183" s="47" t="str">
        <f t="shared" si="9"/>
        <v>SRINAGAR</v>
      </c>
      <c r="I183" s="47" t="s">
        <v>7593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6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9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6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/>
      <c r="N185" s="48"/>
      <c r="O185" s="54" t="s">
        <v>7084</v>
      </c>
      <c r="P185" s="50"/>
      <c r="Q185" s="47"/>
      <c r="R185" s="47"/>
    </row>
    <row r="186" spans="1:18" x14ac:dyDescent="0.25">
      <c r="A186" s="47">
        <f t="shared" si="6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6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9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6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6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6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6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6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ref="A193:A256" si="11">ROW()-1</f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11"/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11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11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11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10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 t="s">
        <v>7777</v>
      </c>
      <c r="N197" s="48">
        <v>46021</v>
      </c>
      <c r="O197" s="47"/>
      <c r="P197" s="50"/>
      <c r="Q197" s="47"/>
      <c r="R197" s="47" t="s">
        <v>7195</v>
      </c>
    </row>
    <row r="198" spans="1:18" x14ac:dyDescent="0.25">
      <c r="A198" s="47">
        <f t="shared" si="11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11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11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11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10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 t="s">
        <v>7673</v>
      </c>
      <c r="N201" s="48">
        <v>46021</v>
      </c>
      <c r="O201" s="47"/>
      <c r="P201" s="50"/>
      <c r="Q201" s="47"/>
      <c r="R201" s="47" t="s">
        <v>7195</v>
      </c>
    </row>
    <row r="202" spans="1:18" x14ac:dyDescent="0.25">
      <c r="A202" s="47">
        <f t="shared" si="11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11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11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11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11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11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11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11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11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11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11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11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11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11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11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11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11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11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10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 t="s">
        <v>7673</v>
      </c>
      <c r="N219" s="48">
        <v>46021</v>
      </c>
      <c r="O219" s="47"/>
      <c r="P219" s="50"/>
      <c r="Q219" s="47"/>
      <c r="R219" s="47"/>
    </row>
    <row r="220" spans="1:18" x14ac:dyDescent="0.25">
      <c r="A220" s="47">
        <f t="shared" si="11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11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10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 t="s">
        <v>7673</v>
      </c>
      <c r="N221" s="48">
        <v>46021</v>
      </c>
      <c r="O221" s="47"/>
      <c r="P221" s="50"/>
      <c r="Q221" s="47"/>
      <c r="R221" s="47" t="s">
        <v>7294</v>
      </c>
    </row>
    <row r="222" spans="1:18" x14ac:dyDescent="0.25">
      <c r="A222" s="47">
        <f t="shared" si="11"/>
        <v>221</v>
      </c>
      <c r="B222" s="47" t="s">
        <v>7646</v>
      </c>
      <c r="C222" s="47" t="s">
        <v>7643</v>
      </c>
      <c r="D222" s="47" t="s">
        <v>7644</v>
      </c>
      <c r="E222" s="47" t="s">
        <v>7645</v>
      </c>
      <c r="F222" s="47" t="s">
        <v>12</v>
      </c>
      <c r="G222" s="47" t="s">
        <v>200</v>
      </c>
      <c r="H222" s="47" t="str">
        <f t="shared" si="10"/>
        <v>SRINAGAR</v>
      </c>
      <c r="I222" s="47" t="s">
        <v>7651</v>
      </c>
      <c r="J222" s="48">
        <v>46018</v>
      </c>
      <c r="K222" s="47">
        <v>7006181232</v>
      </c>
      <c r="L222" s="47" t="s">
        <v>26</v>
      </c>
      <c r="M222" s="49"/>
      <c r="N222" s="48"/>
      <c r="O222" s="47"/>
      <c r="P222" s="50"/>
      <c r="Q222" s="47"/>
      <c r="R222" s="47"/>
    </row>
    <row r="223" spans="1:18" x14ac:dyDescent="0.25">
      <c r="A223" s="47">
        <f t="shared" si="11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11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12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7044</v>
      </c>
      <c r="C226" s="47" t="s">
        <v>7045</v>
      </c>
      <c r="D226" s="47" t="s">
        <v>7046</v>
      </c>
      <c r="E226" s="47" t="s">
        <v>7047</v>
      </c>
      <c r="F226" s="47" t="s">
        <v>119</v>
      </c>
      <c r="G226" s="47" t="s">
        <v>200</v>
      </c>
      <c r="H226" s="47" t="str">
        <f t="shared" si="12"/>
        <v>BUDGAM</v>
      </c>
      <c r="I226" s="47" t="s">
        <v>7065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7307</v>
      </c>
      <c r="C229" s="47" t="s">
        <v>7308</v>
      </c>
      <c r="D229" s="47" t="s">
        <v>7309</v>
      </c>
      <c r="E229" s="47" t="s">
        <v>7310</v>
      </c>
      <c r="F229" s="47" t="s">
        <v>1264</v>
      </c>
      <c r="G229" s="47" t="s">
        <v>174</v>
      </c>
      <c r="H229" s="47" t="str">
        <f t="shared" si="12"/>
        <v>BUDGAM</v>
      </c>
      <c r="I229" s="47" t="s">
        <v>7322</v>
      </c>
      <c r="J229" s="48">
        <v>46011</v>
      </c>
      <c r="K229" s="47">
        <v>9797913220</v>
      </c>
      <c r="L229" s="47" t="s">
        <v>26</v>
      </c>
      <c r="M229" s="49" t="s">
        <v>7617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 t="s">
        <v>7955</v>
      </c>
      <c r="N248" s="48">
        <v>46025</v>
      </c>
      <c r="O248" s="47"/>
      <c r="P248" s="50"/>
      <c r="Q248" s="47"/>
      <c r="R248" s="47"/>
    </row>
    <row r="249" spans="1:18" x14ac:dyDescent="0.25">
      <c r="A249" s="47">
        <f t="shared" si="11"/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 t="shared" si="11"/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 t="s">
        <v>8018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 t="shared" si="12"/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7482</v>
      </c>
      <c r="C256" s="47" t="s">
        <v>7474</v>
      </c>
      <c r="D256" s="47" t="s">
        <v>7497</v>
      </c>
      <c r="E256" s="47" t="s">
        <v>7466</v>
      </c>
      <c r="F256" s="47" t="s">
        <v>7486</v>
      </c>
      <c r="G256" s="47" t="s">
        <v>199</v>
      </c>
      <c r="H256" s="47" t="str">
        <f t="shared" ref="H256:H287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7492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ref="A257:A299" si="14">ROW()-1</f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14"/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 t="s">
        <v>7615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4"/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4"/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4"/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4"/>
        <v>261</v>
      </c>
      <c r="B262" s="47" t="s">
        <v>7508</v>
      </c>
      <c r="C262" s="47" t="s">
        <v>7509</v>
      </c>
      <c r="D262" s="47" t="s">
        <v>7510</v>
      </c>
      <c r="E262" s="47" t="s">
        <v>7511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7519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4"/>
        <v>262</v>
      </c>
      <c r="B263" s="47" t="s">
        <v>7512</v>
      </c>
      <c r="C263" s="47" t="s">
        <v>7513</v>
      </c>
      <c r="D263" s="47" t="s">
        <v>7514</v>
      </c>
      <c r="E263" s="47" t="s">
        <v>7515</v>
      </c>
      <c r="F263" s="47" t="s">
        <v>12</v>
      </c>
      <c r="G263" s="47" t="s">
        <v>181</v>
      </c>
      <c r="H263" s="47" t="str">
        <f t="shared" si="13"/>
        <v>PULWAMA</v>
      </c>
      <c r="I263" s="47" t="s">
        <v>7520</v>
      </c>
      <c r="J263" s="48">
        <v>46016</v>
      </c>
      <c r="K263" s="47">
        <v>8825024324</v>
      </c>
      <c r="L263" s="47" t="s">
        <v>6521</v>
      </c>
      <c r="M263" s="49"/>
      <c r="N263" s="48"/>
      <c r="O263" s="47"/>
      <c r="P263" s="50"/>
      <c r="Q263" s="47"/>
      <c r="R263" s="47" t="s">
        <v>7522</v>
      </c>
    </row>
    <row r="264" spans="1:18" x14ac:dyDescent="0.25">
      <c r="A264" s="47">
        <f t="shared" si="14"/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4"/>
        <v>264</v>
      </c>
      <c r="B265" s="47" t="s">
        <v>7314</v>
      </c>
      <c r="C265" s="47" t="s">
        <v>7311</v>
      </c>
      <c r="D265" s="47" t="s">
        <v>7312</v>
      </c>
      <c r="E265" s="47" t="s">
        <v>7313</v>
      </c>
      <c r="F265" s="47" t="s">
        <v>238</v>
      </c>
      <c r="G265" s="47" t="s">
        <v>200</v>
      </c>
      <c r="H265" s="47" t="str">
        <f t="shared" si="13"/>
        <v>PULWAMA</v>
      </c>
      <c r="I265" s="47" t="s">
        <v>7321</v>
      </c>
      <c r="J265" s="48">
        <v>46011</v>
      </c>
      <c r="K265" s="47">
        <v>7006878734</v>
      </c>
      <c r="L265" s="47" t="s">
        <v>26</v>
      </c>
      <c r="M265" s="49"/>
      <c r="N265" s="48"/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14"/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4"/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4"/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4"/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4"/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 t="shared" si="13"/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4"/>
        <v>270</v>
      </c>
      <c r="B271" s="47" t="s">
        <v>7668</v>
      </c>
      <c r="C271" s="47" t="s">
        <v>7659</v>
      </c>
      <c r="D271" s="47" t="s">
        <v>7660</v>
      </c>
      <c r="E271" s="47" t="s">
        <v>7661</v>
      </c>
      <c r="F271" s="47" t="s">
        <v>31</v>
      </c>
      <c r="G271" s="47" t="s">
        <v>200</v>
      </c>
      <c r="H271" s="47" t="str">
        <f t="shared" si="13"/>
        <v>PULWAMA</v>
      </c>
      <c r="I271" s="47" t="s">
        <v>7662</v>
      </c>
      <c r="J271" s="48">
        <v>46018</v>
      </c>
      <c r="K271" s="47">
        <v>9622531795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4"/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4"/>
        <v>272</v>
      </c>
      <c r="B273" s="47" t="s">
        <v>7588</v>
      </c>
      <c r="C273" s="47" t="s">
        <v>7588</v>
      </c>
      <c r="D273" s="47" t="s">
        <v>7589</v>
      </c>
      <c r="E273" s="47" t="s">
        <v>7590</v>
      </c>
      <c r="F273" s="47" t="s">
        <v>31</v>
      </c>
      <c r="G273" s="47" t="s">
        <v>200</v>
      </c>
      <c r="H273" s="47" t="str">
        <f t="shared" si="13"/>
        <v>PULWAMA</v>
      </c>
      <c r="I273" s="47" t="s">
        <v>7595</v>
      </c>
      <c r="J273" s="48">
        <v>46017</v>
      </c>
      <c r="K273" s="47">
        <v>8491093722</v>
      </c>
      <c r="L273" s="47" t="s">
        <v>6521</v>
      </c>
      <c r="M273" s="49" t="s">
        <v>7673</v>
      </c>
      <c r="N273" s="48">
        <v>46021</v>
      </c>
      <c r="O273" s="47"/>
      <c r="P273" s="50"/>
      <c r="Q273" s="47"/>
      <c r="R273" s="47"/>
    </row>
    <row r="274" spans="1:18" x14ac:dyDescent="0.25">
      <c r="A274" s="47">
        <f t="shared" si="14"/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4"/>
        <v>274</v>
      </c>
      <c r="B275" s="47" t="s">
        <v>7603</v>
      </c>
      <c r="C275" s="47" t="s">
        <v>7604</v>
      </c>
      <c r="D275" s="47" t="s">
        <v>7605</v>
      </c>
      <c r="E275" s="47" t="s">
        <v>7606</v>
      </c>
      <c r="F275" s="47" t="s">
        <v>31</v>
      </c>
      <c r="G275" s="47" t="s">
        <v>174</v>
      </c>
      <c r="H275" s="47" t="str">
        <f t="shared" si="13"/>
        <v>SHOPIAN</v>
      </c>
      <c r="I275" s="48" t="s">
        <v>7611</v>
      </c>
      <c r="J275" s="48">
        <v>46017</v>
      </c>
      <c r="K275" s="47">
        <v>6006651112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4"/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4"/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4"/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 t="s">
        <v>7617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4"/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4"/>
        <v>279</v>
      </c>
      <c r="B280" s="47" t="s">
        <v>7529</v>
      </c>
      <c r="C280" s="47" t="s">
        <v>7530</v>
      </c>
      <c r="D280" s="47" t="s">
        <v>7531</v>
      </c>
      <c r="E280" s="47" t="s">
        <v>7532</v>
      </c>
      <c r="F280" s="47" t="s">
        <v>100</v>
      </c>
      <c r="G280" s="47" t="s">
        <v>200</v>
      </c>
      <c r="H280" s="47" t="str">
        <f t="shared" si="13"/>
        <v>PULWAMA</v>
      </c>
      <c r="I280" s="47" t="s">
        <v>7540</v>
      </c>
      <c r="J280" s="48">
        <v>46016</v>
      </c>
      <c r="K280" s="47">
        <v>9697972995</v>
      </c>
      <c r="L280" s="47" t="s">
        <v>26</v>
      </c>
      <c r="M280" s="49" t="s">
        <v>7617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14"/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 t="s">
        <v>7455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14"/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14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3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7822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14"/>
        <v>283</v>
      </c>
      <c r="B284" s="47" t="s">
        <v>7667</v>
      </c>
      <c r="C284" s="47" t="s">
        <v>7663</v>
      </c>
      <c r="D284" s="47" t="s">
        <v>7664</v>
      </c>
      <c r="E284" s="47" t="s">
        <v>7666</v>
      </c>
      <c r="F284" s="47" t="s">
        <v>31</v>
      </c>
      <c r="G284" s="47" t="s">
        <v>175</v>
      </c>
      <c r="H284" s="47" t="str">
        <f t="shared" si="13"/>
        <v>PULWAMA</v>
      </c>
      <c r="I284" s="47" t="s">
        <v>7665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 t="shared" si="14"/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 t="shared" si="13"/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14"/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 t="shared" si="13"/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 t="shared" si="14"/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 t="shared" si="13"/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14"/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 t="shared" ref="H288:H298" si="15">IF(LEFT(I288,4)="JK13","PULWAMA",IF(LEFT(I288,4)="JK01","SRINAGAR",IF(LEFT(I288,4)="JK04","BUDGAM",IF(LEFT(I288,4)="JK03","ANANTNAG",IF(LEFT(I288,4)="JK05","BARAMULLA",IF(LEFT(I288,4)="25BH","BHARAT",IF(LEFT(I288,4)="JK12","POONCH",IF(LEFT(I288,4)="JK18","KULGAM",IF(LEFT(I288,4)="JK22","SHOPIAN",IF(LEFT(I288,4)="T102","TEMP",IF(LEFT(I288,4)="JK09","KUPWARA",IF(LEFT(I288,4)="JK15","BANDIPORA",IF(LEFT(I288,4)="T112","KARGIL","NEW")))))))))))))</f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 t="shared" si="14"/>
        <v>288</v>
      </c>
      <c r="B289" s="47" t="s">
        <v>7763</v>
      </c>
      <c r="C289" s="47" t="s">
        <v>7764</v>
      </c>
      <c r="D289" s="47" t="s">
        <v>7765</v>
      </c>
      <c r="E289" s="47" t="s">
        <v>7766</v>
      </c>
      <c r="F289" s="47" t="s">
        <v>3130</v>
      </c>
      <c r="G289" s="47" t="s">
        <v>6475</v>
      </c>
      <c r="H289" s="47" t="str">
        <f t="shared" si="15"/>
        <v>KULGAM</v>
      </c>
      <c r="I289" s="47" t="s">
        <v>7768</v>
      </c>
      <c r="J289" s="48">
        <v>46021</v>
      </c>
      <c r="K289" s="47">
        <v>9622775800</v>
      </c>
      <c r="L289" s="47" t="s">
        <v>26</v>
      </c>
      <c r="M289" s="49"/>
      <c r="N289" s="48"/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14"/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 t="shared" si="15"/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14"/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 t="shared" si="15"/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14"/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 t="shared" si="15"/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14"/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 t="shared" si="15"/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14"/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 t="shared" si="15"/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/>
      <c r="N294" s="48"/>
      <c r="O294" s="47"/>
      <c r="P294" s="50"/>
      <c r="Q294" s="47"/>
      <c r="R294" s="47"/>
    </row>
    <row r="295" spans="1:18" x14ac:dyDescent="0.25">
      <c r="A295" s="47">
        <f t="shared" si="14"/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 t="shared" si="15"/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/>
      <c r="N295" s="48"/>
      <c r="O295" s="47"/>
      <c r="P295" s="50"/>
      <c r="Q295" s="47"/>
      <c r="R295" s="47"/>
    </row>
    <row r="296" spans="1:18" x14ac:dyDescent="0.25">
      <c r="A296" s="47">
        <f t="shared" si="14"/>
        <v>295</v>
      </c>
      <c r="B296" s="47" t="s">
        <v>7744</v>
      </c>
      <c r="C296" s="47" t="s">
        <v>7745</v>
      </c>
      <c r="D296" s="47" t="s">
        <v>7747</v>
      </c>
      <c r="E296" s="47" t="s">
        <v>7746</v>
      </c>
      <c r="F296" s="47" t="s">
        <v>67</v>
      </c>
      <c r="G296" s="47" t="s">
        <v>199</v>
      </c>
      <c r="H296" s="47" t="str">
        <f t="shared" si="15"/>
        <v>PULWAMA</v>
      </c>
      <c r="I296" s="47" t="s">
        <v>7752</v>
      </c>
      <c r="J296" s="48">
        <v>46021</v>
      </c>
      <c r="K296" s="47">
        <v>8493950437</v>
      </c>
      <c r="L296" s="47" t="s">
        <v>6521</v>
      </c>
      <c r="M296" s="49"/>
      <c r="N296" s="48"/>
      <c r="O296" s="47"/>
      <c r="P296" s="50"/>
      <c r="Q296" s="47"/>
      <c r="R296" s="47" t="s">
        <v>7769</v>
      </c>
    </row>
    <row r="297" spans="1:18" x14ac:dyDescent="0.25">
      <c r="A297" s="47">
        <f t="shared" si="14"/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 t="shared" si="15"/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si="14"/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 t="shared" si="15"/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4"/>
        <v>298</v>
      </c>
      <c r="B299" s="47" t="s">
        <v>7714</v>
      </c>
      <c r="C299" s="47" t="s">
        <v>7709</v>
      </c>
      <c r="D299" s="47" t="s">
        <v>7710</v>
      </c>
      <c r="E299" s="47" t="s">
        <v>7711</v>
      </c>
      <c r="F299" s="47" t="s">
        <v>7712</v>
      </c>
      <c r="G299" s="47" t="s">
        <v>200</v>
      </c>
      <c r="H299" s="47" t="e">
        <f>IF(LEFT(#REF!,4)="JK13","PULWAMA",IF(LEFT(#REF!,4)="JK01","SRINAGAR",IF(LEFT(#REF!,4)="JK04","BUDGAM",IF(LEFT(#REF!,4)="JK03","ANANTNAG",IF(LEFT(#REF!,4)="JK05","BARAMULLA",IF(LEFT(#REF!,4)="25BH","BHARAT",IF(LEFT(#REF!,4)="JK12","POONCH",IF(LEFT(#REF!,4)="JK18","KULGAM",IF(LEFT(#REF!,4)="JK22","SHOPIAN",IF(LEFT(#REF!,4)="T102","TEMP",IF(LEFT(#REF!,4)="JK09","KUPWARA",IF(LEFT(#REF!,4)="JK15","BANDIPORA",IF(LEFT(#REF!,4)="T112","KARGIL","NEW")))))))))))))</f>
        <v>#REF!</v>
      </c>
      <c r="I299" s="47" t="s">
        <v>8017</v>
      </c>
      <c r="J299" s="48">
        <v>46020</v>
      </c>
      <c r="K299" s="47">
        <v>9622020576</v>
      </c>
      <c r="L299" s="47" t="s">
        <v>7713</v>
      </c>
      <c r="M299" s="49"/>
      <c r="N299" s="48"/>
      <c r="O299" s="47"/>
      <c r="P299" s="50"/>
      <c r="Q299" s="47"/>
      <c r="R299" s="47"/>
    </row>
    <row r="300" spans="1:18" x14ac:dyDescent="0.25">
      <c r="A300" s="47">
        <f t="shared" ref="A300:A363" si="16">ROW()-1</f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 t="shared" ref="H300" si="17">IF(LEFT(I300,4)="JK13","PULWAMA",IF(LEFT(I300,4)="JK01","SRINAGAR",IF(LEFT(I300,4)="JK04","BUDGAM",IF(LEFT(I300,4)="JK03","ANANTNAG",IF(LEFT(I300,4)="JK05","BARAMULLA",IF(LEFT(I300,4)="25BH","BHARAT",IF(LEFT(I300,4)="JK12","POONCH",IF(LEFT(I300,4)="JK18","KULGAM",IF(LEFT(I300,4)="JK22","SHOPIAN",IF(LEFT(I300,4)="T102","TEMP",IF(LEFT(I300,4)="JK09","KUPWARA",IF(LEFT(I300,4)="JK15","BANDIPORA",IF(LEFT(I300,4)="T112","KARGIL","NEW")))))))))))))</f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/>
      <c r="P300" s="50"/>
      <c r="Q300" s="47"/>
      <c r="R300" s="47"/>
    </row>
    <row r="301" spans="1:18" x14ac:dyDescent="0.25">
      <c r="A301" s="47">
        <f t="shared" si="16"/>
        <v>300</v>
      </c>
      <c r="B301" s="47" t="s">
        <v>7780</v>
      </c>
      <c r="C301" s="47" t="s">
        <v>7781</v>
      </c>
      <c r="D301" s="47" t="s">
        <v>7782</v>
      </c>
      <c r="E301" s="47" t="s">
        <v>7783</v>
      </c>
      <c r="F301" s="47" t="s">
        <v>119</v>
      </c>
      <c r="G301" s="47" t="s">
        <v>175</v>
      </c>
      <c r="H301" s="47" t="str">
        <f t="shared" ref="H301:H311" si="18">IF(LEFT(I301,4)="JK13","PULWAMA",IF(LEFT(I301,4)="JK01","SRINAGAR",IF(LEFT(I301,4)="JK04","BUDGAM",IF(LEFT(I301,4)="JK03","ANANTNAG",IF(LEFT(I301,4)="JK05","BARAMULLA",IF(LEFT(I301,4)="25BH","BHARAT",IF(LEFT(I301,4)="JK12","POONCH",IF(LEFT(I301,4)="JK18","KULGAM",IF(LEFT(I301,4)="JK22","SHOPIAN",IF(LEFT(I301,4)="T102","TEMP",IF(LEFT(I301,4)="JK09","KUPWARA",IF(LEFT(I301,4)="JK15","BANDIPORA",IF(LEFT(I301,4)="T112","KARGIL","NEW")))))))))))))</f>
        <v>BARAMULLA</v>
      </c>
      <c r="I301" s="47" t="s">
        <v>7784</v>
      </c>
      <c r="J301" s="48">
        <v>46021</v>
      </c>
      <c r="K301" s="47">
        <v>6006052436</v>
      </c>
      <c r="L301" s="47" t="s">
        <v>6521</v>
      </c>
      <c r="M301" s="49"/>
      <c r="N301" s="48"/>
      <c r="O301" s="47"/>
      <c r="P301" s="50"/>
      <c r="Q301" s="47"/>
      <c r="R301" s="47" t="s">
        <v>7809</v>
      </c>
    </row>
    <row r="302" spans="1:18" x14ac:dyDescent="0.25">
      <c r="A302" s="47">
        <f t="shared" si="16"/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 t="shared" si="18"/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 t="s">
        <v>7895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6"/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 t="shared" si="18"/>
        <v>BUDGAM</v>
      </c>
      <c r="I303" s="55" t="s">
        <v>7848</v>
      </c>
      <c r="J303" s="48">
        <v>46022</v>
      </c>
      <c r="K303" s="47">
        <v>7780996739</v>
      </c>
      <c r="L303" s="47" t="s">
        <v>70</v>
      </c>
      <c r="M303" s="49"/>
      <c r="N303" s="48"/>
      <c r="O303" s="47"/>
      <c r="P303" s="50"/>
      <c r="Q303" s="47"/>
      <c r="R303" s="47"/>
    </row>
    <row r="304" spans="1:18" x14ac:dyDescent="0.25">
      <c r="A304" s="47">
        <f t="shared" si="16"/>
        <v>303</v>
      </c>
      <c r="B304" s="47" t="s">
        <v>7799</v>
      </c>
      <c r="C304" s="47" t="s">
        <v>7796</v>
      </c>
      <c r="D304" s="47" t="s">
        <v>7797</v>
      </c>
      <c r="E304" s="47" t="s">
        <v>7798</v>
      </c>
      <c r="F304" s="47" t="s">
        <v>67</v>
      </c>
      <c r="G304" s="47" t="s">
        <v>200</v>
      </c>
      <c r="H304" s="47" t="str">
        <f t="shared" si="18"/>
        <v>PULWAMA</v>
      </c>
      <c r="I304" s="47" t="s">
        <v>7810</v>
      </c>
      <c r="J304" s="48">
        <v>46022</v>
      </c>
      <c r="K304" s="47">
        <v>8899294356</v>
      </c>
      <c r="L304" s="47" t="s">
        <v>6521</v>
      </c>
      <c r="M304" s="49"/>
      <c r="N304" s="48"/>
      <c r="O304" s="47"/>
      <c r="P304" s="50"/>
      <c r="Q304" s="47"/>
      <c r="R304" s="47"/>
    </row>
    <row r="305" spans="1:18" x14ac:dyDescent="0.25">
      <c r="A305" s="47">
        <f t="shared" si="16"/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 t="shared" si="18"/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/>
      <c r="N305" s="48"/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6"/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 t="shared" si="18"/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6"/>
        <v>306</v>
      </c>
      <c r="B307" s="47" t="s">
        <v>7821</v>
      </c>
      <c r="C307" s="47" t="s">
        <v>7818</v>
      </c>
      <c r="D307" s="47" t="s">
        <v>7819</v>
      </c>
      <c r="E307" s="47" t="s">
        <v>7820</v>
      </c>
      <c r="F307" s="47" t="s">
        <v>119</v>
      </c>
      <c r="G307" s="47" t="s">
        <v>200</v>
      </c>
      <c r="H307" s="47" t="str">
        <f t="shared" si="18"/>
        <v>BUDGAM</v>
      </c>
      <c r="I307" s="55" t="s">
        <v>7847</v>
      </c>
      <c r="J307" s="48">
        <v>46023</v>
      </c>
      <c r="K307" s="47">
        <v>7006000499</v>
      </c>
      <c r="L307" s="47" t="s">
        <v>106</v>
      </c>
      <c r="M307" s="49"/>
      <c r="N307" s="48"/>
      <c r="O307" s="47"/>
      <c r="P307" s="50"/>
      <c r="Q307" s="47"/>
      <c r="R307" s="47"/>
    </row>
    <row r="308" spans="1:18" x14ac:dyDescent="0.25">
      <c r="A308" s="47">
        <f t="shared" si="16"/>
        <v>307</v>
      </c>
      <c r="B308" s="47" t="s">
        <v>7826</v>
      </c>
      <c r="C308" s="47" t="s">
        <v>7823</v>
      </c>
      <c r="D308" s="47" t="s">
        <v>7824</v>
      </c>
      <c r="E308" s="47" t="s">
        <v>7825</v>
      </c>
      <c r="F308" s="47" t="s">
        <v>119</v>
      </c>
      <c r="G308" s="47" t="s">
        <v>200</v>
      </c>
      <c r="H308" s="47" t="str">
        <f t="shared" si="18"/>
        <v>SRINAGAR</v>
      </c>
      <c r="I308" s="55" t="s">
        <v>7849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6"/>
        <v>308</v>
      </c>
      <c r="B309" s="47" t="s">
        <v>7827</v>
      </c>
      <c r="C309" s="47" t="s">
        <v>7828</v>
      </c>
      <c r="D309" s="47" t="s">
        <v>7829</v>
      </c>
      <c r="E309" s="47" t="s">
        <v>7830</v>
      </c>
      <c r="F309" s="47" t="s">
        <v>100</v>
      </c>
      <c r="G309" s="47" t="s">
        <v>200</v>
      </c>
      <c r="H309" s="47" t="str">
        <f t="shared" si="18"/>
        <v>SRINAGAR</v>
      </c>
      <c r="I309" s="55" t="s">
        <v>7850</v>
      </c>
      <c r="J309" s="48">
        <v>46023</v>
      </c>
      <c r="K309" s="47">
        <v>7006582052</v>
      </c>
      <c r="L309" s="47" t="s">
        <v>307</v>
      </c>
      <c r="M309" s="49" t="s">
        <v>7776</v>
      </c>
      <c r="N309" s="48">
        <v>46025</v>
      </c>
      <c r="O309" s="47"/>
      <c r="P309" s="50"/>
      <c r="Q309" s="47"/>
      <c r="R309" s="47"/>
    </row>
    <row r="310" spans="1:18" x14ac:dyDescent="0.25">
      <c r="A310" s="47">
        <f t="shared" si="16"/>
        <v>309</v>
      </c>
      <c r="B310" s="47" t="s">
        <v>7834</v>
      </c>
      <c r="C310" s="47" t="s">
        <v>7831</v>
      </c>
      <c r="D310" s="47" t="s">
        <v>7832</v>
      </c>
      <c r="E310" s="47" t="s">
        <v>7833</v>
      </c>
      <c r="F310" s="47" t="s">
        <v>290</v>
      </c>
      <c r="G310" s="47" t="s">
        <v>200</v>
      </c>
      <c r="H310" s="47" t="str">
        <f t="shared" si="18"/>
        <v>SRINAGAR</v>
      </c>
      <c r="I310" s="55" t="s">
        <v>7851</v>
      </c>
      <c r="J310" s="48">
        <v>46023</v>
      </c>
      <c r="K310" s="47">
        <v>9906405123</v>
      </c>
      <c r="L310" s="47" t="s">
        <v>2248</v>
      </c>
      <c r="M310" s="49"/>
      <c r="N310" s="48"/>
      <c r="O310" s="47"/>
      <c r="P310" s="50"/>
      <c r="Q310" s="47"/>
      <c r="R310" s="47"/>
    </row>
    <row r="311" spans="1:18" x14ac:dyDescent="0.25">
      <c r="A311" s="47">
        <f t="shared" si="16"/>
        <v>310</v>
      </c>
      <c r="B311" s="47" t="s">
        <v>7835</v>
      </c>
      <c r="C311" s="47" t="s">
        <v>7836</v>
      </c>
      <c r="D311" s="47" t="s">
        <v>7837</v>
      </c>
      <c r="E311" s="47" t="s">
        <v>7838</v>
      </c>
      <c r="F311" s="47" t="s">
        <v>12</v>
      </c>
      <c r="G311" s="47" t="s">
        <v>200</v>
      </c>
      <c r="H311" s="47" t="str">
        <f t="shared" si="18"/>
        <v>BUDGAM</v>
      </c>
      <c r="I311" s="55" t="s">
        <v>7846</v>
      </c>
      <c r="J311" s="48">
        <v>46023</v>
      </c>
      <c r="K311" s="47">
        <v>7006016383</v>
      </c>
      <c r="L311" s="47" t="s">
        <v>307</v>
      </c>
      <c r="M311" s="49"/>
      <c r="N311" s="48"/>
      <c r="O311" s="47"/>
      <c r="P311" s="50"/>
      <c r="Q311" s="47"/>
      <c r="R311" s="47"/>
    </row>
    <row r="312" spans="1:18" x14ac:dyDescent="0.25">
      <c r="A312" s="47">
        <f t="shared" si="16"/>
        <v>311</v>
      </c>
      <c r="B312" s="47" t="s">
        <v>7839</v>
      </c>
      <c r="C312" s="47" t="s">
        <v>7840</v>
      </c>
      <c r="D312" s="47" t="s">
        <v>7841</v>
      </c>
      <c r="E312" s="47" t="s">
        <v>7842</v>
      </c>
      <c r="F312" s="47" t="s">
        <v>31</v>
      </c>
      <c r="G312" s="47" t="s">
        <v>200</v>
      </c>
      <c r="H312" s="47" t="str">
        <f t="shared" ref="H312:H317" si="19">IF(LEFT(I312,4)="JK13","PULWAMA",IF(LEFT(I312,4)="JK01","SRINAGAR",IF(LEFT(I312,4)="JK04","BUDGAM",IF(LEFT(I312,4)="JK03","ANANTNAG",IF(LEFT(I312,4)="JK05","BARAMULLA",IF(LEFT(I312,4)="25BH","BHARAT",IF(LEFT(I312,4)="JK12","POONCH",IF(LEFT(I312,4)="JK18","KULGAM",IF(LEFT(I312,4)="JK22","SHOPIAN",IF(LEFT(I312,4)="T102","TEMP",IF(LEFT(I312,4)="JK09","KUPWARA",IF(LEFT(I312,4)="JK15","BANDIPORA",IF(LEFT(I312,4)="T112","KARGIL","NEW")))))))))))))</f>
        <v>KULGAM</v>
      </c>
      <c r="I312" s="55" t="s">
        <v>7860</v>
      </c>
      <c r="J312" s="48">
        <v>46023</v>
      </c>
      <c r="K312" s="47">
        <v>7006176206</v>
      </c>
      <c r="L312" s="47" t="s">
        <v>6570</v>
      </c>
      <c r="M312" s="49"/>
      <c r="N312" s="48"/>
      <c r="O312" s="47"/>
      <c r="P312" s="50"/>
      <c r="Q312" s="47"/>
      <c r="R312" s="47"/>
    </row>
    <row r="313" spans="1:18" x14ac:dyDescent="0.25">
      <c r="A313" s="47">
        <f t="shared" si="16"/>
        <v>312</v>
      </c>
      <c r="B313" s="47" t="s">
        <v>7843</v>
      </c>
      <c r="C313" s="47" t="s">
        <v>7844</v>
      </c>
      <c r="D313" s="47" t="s">
        <v>7845</v>
      </c>
      <c r="E313" s="47" t="s">
        <v>2915</v>
      </c>
      <c r="F313" s="47" t="s">
        <v>193</v>
      </c>
      <c r="G313" s="47" t="s">
        <v>6440</v>
      </c>
      <c r="H313" s="47" t="str">
        <f t="shared" si="19"/>
        <v>SRINAGAR</v>
      </c>
      <c r="I313" s="55" t="s">
        <v>7862</v>
      </c>
      <c r="J313" s="48">
        <v>46023</v>
      </c>
      <c r="K313" s="47">
        <v>9596187640</v>
      </c>
      <c r="L313" s="47" t="s">
        <v>48</v>
      </c>
      <c r="M313" s="49"/>
      <c r="N313" s="48"/>
      <c r="O313" s="47"/>
      <c r="P313" s="50"/>
      <c r="Q313" s="47"/>
      <c r="R313" s="47"/>
    </row>
    <row r="314" spans="1:18" x14ac:dyDescent="0.25">
      <c r="A314" s="47">
        <f t="shared" si="16"/>
        <v>313</v>
      </c>
      <c r="B314" s="47" t="s">
        <v>7852</v>
      </c>
      <c r="C314" s="47" t="s">
        <v>7853</v>
      </c>
      <c r="D314" s="47" t="s">
        <v>7854</v>
      </c>
      <c r="E314" s="47" t="s">
        <v>7855</v>
      </c>
      <c r="F314" s="47" t="s">
        <v>7856</v>
      </c>
      <c r="G314" s="47" t="s">
        <v>181</v>
      </c>
      <c r="H314" s="47" t="str">
        <f t="shared" si="19"/>
        <v>SRINAGAR</v>
      </c>
      <c r="I314" s="55" t="s">
        <v>7861</v>
      </c>
      <c r="J314" s="48">
        <v>46023</v>
      </c>
      <c r="K314" s="47">
        <v>9622459354</v>
      </c>
      <c r="L314" s="47" t="s">
        <v>75</v>
      </c>
      <c r="M314" s="49"/>
      <c r="N314" s="48"/>
      <c r="O314" s="47"/>
      <c r="P314" s="50"/>
      <c r="Q314" s="47"/>
      <c r="R314" s="47"/>
    </row>
    <row r="315" spans="1:18" x14ac:dyDescent="0.25">
      <c r="A315" s="47">
        <f t="shared" si="16"/>
        <v>314</v>
      </c>
      <c r="B315" s="47" t="s">
        <v>7857</v>
      </c>
      <c r="C315" s="47" t="s">
        <v>7858</v>
      </c>
      <c r="D315" s="47" t="s">
        <v>7859</v>
      </c>
      <c r="E315" s="47" t="s">
        <v>2841</v>
      </c>
      <c r="F315" s="47" t="s">
        <v>119</v>
      </c>
      <c r="G315" s="47" t="s">
        <v>200</v>
      </c>
      <c r="H315" s="47" t="str">
        <f t="shared" si="19"/>
        <v>BARAMULLA</v>
      </c>
      <c r="I315" s="55" t="s">
        <v>7867</v>
      </c>
      <c r="J315" s="48">
        <v>46023</v>
      </c>
      <c r="K315" s="47">
        <v>7006960324</v>
      </c>
      <c r="L315" s="47" t="s">
        <v>6683</v>
      </c>
      <c r="M315" s="49"/>
      <c r="N315" s="48"/>
      <c r="O315" s="47"/>
      <c r="P315" s="50"/>
      <c r="Q315" s="47"/>
      <c r="R315" s="47"/>
    </row>
    <row r="316" spans="1:18" x14ac:dyDescent="0.25">
      <c r="A316" s="47">
        <f t="shared" si="16"/>
        <v>315</v>
      </c>
      <c r="B316" s="47" t="s">
        <v>7863</v>
      </c>
      <c r="C316" s="47" t="s">
        <v>7864</v>
      </c>
      <c r="D316" s="47" t="s">
        <v>7865</v>
      </c>
      <c r="E316" s="47" t="s">
        <v>7866</v>
      </c>
      <c r="F316" s="47" t="s">
        <v>12</v>
      </c>
      <c r="G316" s="47" t="s">
        <v>200</v>
      </c>
      <c r="H316" s="47" t="str">
        <f t="shared" si="19"/>
        <v>BARAMULLA</v>
      </c>
      <c r="I316" s="55" t="s">
        <v>7868</v>
      </c>
      <c r="J316" s="48">
        <v>46023</v>
      </c>
      <c r="K316" s="47">
        <v>9906759399</v>
      </c>
      <c r="L316" s="47" t="s">
        <v>6683</v>
      </c>
      <c r="M316" s="49"/>
      <c r="N316" s="48"/>
      <c r="O316" s="47"/>
      <c r="P316" s="50"/>
      <c r="Q316" s="47"/>
      <c r="R316" s="47"/>
    </row>
    <row r="317" spans="1:18" x14ac:dyDescent="0.25">
      <c r="A317" s="47">
        <f t="shared" si="16"/>
        <v>316</v>
      </c>
      <c r="B317" s="47" t="s">
        <v>7869</v>
      </c>
      <c r="C317" s="47" t="s">
        <v>7870</v>
      </c>
      <c r="D317" s="47" t="s">
        <v>7871</v>
      </c>
      <c r="E317" s="47" t="s">
        <v>7872</v>
      </c>
      <c r="F317" s="47" t="s">
        <v>119</v>
      </c>
      <c r="G317" s="47" t="s">
        <v>174</v>
      </c>
      <c r="H317" s="47" t="str">
        <f t="shared" si="19"/>
        <v>BUDGAM</v>
      </c>
      <c r="I317" s="55" t="s">
        <v>7880</v>
      </c>
      <c r="J317" s="48">
        <v>46023</v>
      </c>
      <c r="K317" s="47">
        <v>9596167274</v>
      </c>
      <c r="L317" s="47" t="s">
        <v>7873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6"/>
        <v>317</v>
      </c>
      <c r="B318" s="47" t="s">
        <v>7874</v>
      </c>
      <c r="C318" s="47" t="s">
        <v>7884</v>
      </c>
      <c r="D318" s="47" t="s">
        <v>7885</v>
      </c>
      <c r="E318" s="47" t="s">
        <v>7886</v>
      </c>
      <c r="F318" s="47" t="s">
        <v>31</v>
      </c>
      <c r="G318" s="47" t="s">
        <v>199</v>
      </c>
      <c r="H318" s="47" t="str">
        <f t="shared" ref="H318:H325" si="20">IF(LEFT(I318,4)="JK13","PULWAMA",IF(LEFT(I318,4)="JK01","SRINAGAR",IF(LEFT(I318,4)="JK04","BUDGAM",IF(LEFT(I318,4)="JK03","ANANTNAG",IF(LEFT(I318,4)="JK05","BARAMULLA",IF(LEFT(I318,4)="25BH","BHARAT",IF(LEFT(I318,4)="JK12","POONCH",IF(LEFT(I318,4)="JK18","KULGAM",IF(LEFT(I318,4)="JK22","SHOPIAN",IF(LEFT(I318,4)="T102","TEMP",IF(LEFT(I318,4)="JK09","KUPWARA",IF(LEFT(I318,4)="JK15","BANDIPORA",IF(LEFT(I318,4)="T112","KARGIL","NEW")))))))))))))</f>
        <v>BUDGAM</v>
      </c>
      <c r="I318" s="47" t="s">
        <v>7879</v>
      </c>
      <c r="J318" s="48">
        <v>46023</v>
      </c>
      <c r="K318" s="47">
        <v>8082623899</v>
      </c>
      <c r="L318" s="47" t="s">
        <v>48</v>
      </c>
      <c r="M318" s="49"/>
      <c r="N318" s="48"/>
      <c r="O318" s="47"/>
      <c r="P318" s="50"/>
      <c r="Q318" s="47"/>
      <c r="R318" s="47"/>
    </row>
    <row r="319" spans="1:18" x14ac:dyDescent="0.25">
      <c r="A319" s="47">
        <f t="shared" si="16"/>
        <v>318</v>
      </c>
      <c r="B319" s="47" t="s">
        <v>7875</v>
      </c>
      <c r="C319" s="47" t="s">
        <v>7876</v>
      </c>
      <c r="D319" s="47" t="s">
        <v>7877</v>
      </c>
      <c r="E319" s="47" t="s">
        <v>7878</v>
      </c>
      <c r="F319" s="47" t="s">
        <v>12</v>
      </c>
      <c r="G319" s="47" t="s">
        <v>181</v>
      </c>
      <c r="H319" s="47" t="str">
        <f t="shared" si="20"/>
        <v>SRINAGAR</v>
      </c>
      <c r="I319" s="47" t="s">
        <v>7892</v>
      </c>
      <c r="J319" s="48">
        <v>46023</v>
      </c>
      <c r="K319" s="47">
        <v>7889588496</v>
      </c>
      <c r="L319" s="47" t="s">
        <v>7015</v>
      </c>
      <c r="M319" s="49"/>
      <c r="N319" s="48"/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6"/>
        <v>319</v>
      </c>
      <c r="B320" s="47" t="s">
        <v>7888</v>
      </c>
      <c r="C320" s="47" t="s">
        <v>7881</v>
      </c>
      <c r="D320" s="47" t="s">
        <v>7882</v>
      </c>
      <c r="E320" s="47" t="s">
        <v>7883</v>
      </c>
      <c r="F320" s="47" t="s">
        <v>290</v>
      </c>
      <c r="G320" s="47" t="s">
        <v>200</v>
      </c>
      <c r="H320" s="47" t="str">
        <f t="shared" si="20"/>
        <v>SRINAGAR</v>
      </c>
      <c r="I320" s="47" t="s">
        <v>7893</v>
      </c>
      <c r="J320" s="48">
        <v>46023</v>
      </c>
      <c r="K320" s="47">
        <v>7006759527</v>
      </c>
      <c r="L320" s="47" t="s">
        <v>7015</v>
      </c>
      <c r="M320" s="49"/>
      <c r="N320" s="48"/>
      <c r="O320" s="47"/>
      <c r="P320" s="50"/>
      <c r="Q320" s="47"/>
      <c r="R320" s="47" t="s">
        <v>7942</v>
      </c>
    </row>
    <row r="321" spans="1:18" x14ac:dyDescent="0.25">
      <c r="A321" s="47">
        <f t="shared" si="16"/>
        <v>320</v>
      </c>
      <c r="B321" s="47" t="s">
        <v>7887</v>
      </c>
      <c r="C321" s="47" t="s">
        <v>7889</v>
      </c>
      <c r="D321" s="47" t="s">
        <v>7890</v>
      </c>
      <c r="E321" s="47" t="s">
        <v>7891</v>
      </c>
      <c r="F321" s="47" t="s">
        <v>633</v>
      </c>
      <c r="G321" s="47" t="s">
        <v>199</v>
      </c>
      <c r="H321" s="47" t="str">
        <f t="shared" si="20"/>
        <v>SRINAGAR</v>
      </c>
      <c r="I321" s="47" t="s">
        <v>7894</v>
      </c>
      <c r="J321" s="48">
        <v>46023</v>
      </c>
      <c r="K321" s="47">
        <v>7006616090</v>
      </c>
      <c r="L321" s="47" t="s">
        <v>2248</v>
      </c>
      <c r="M321" s="49"/>
      <c r="N321" s="48"/>
      <c r="O321" s="47"/>
      <c r="P321" s="50"/>
      <c r="Q321" s="47"/>
      <c r="R321" s="47"/>
    </row>
    <row r="322" spans="1:18" x14ac:dyDescent="0.25">
      <c r="A322" s="47">
        <f t="shared" si="16"/>
        <v>321</v>
      </c>
      <c r="B322" s="47" t="s">
        <v>7898</v>
      </c>
      <c r="C322" s="47" t="s">
        <v>7896</v>
      </c>
      <c r="D322" s="47" t="s">
        <v>7897</v>
      </c>
      <c r="E322" s="47" t="s">
        <v>658</v>
      </c>
      <c r="F322" s="47" t="s">
        <v>119</v>
      </c>
      <c r="G322" s="47" t="s">
        <v>174</v>
      </c>
      <c r="H322" s="47" t="str">
        <f t="shared" si="20"/>
        <v>BARAMULLA</v>
      </c>
      <c r="I322" s="47" t="s">
        <v>7927</v>
      </c>
      <c r="J322" s="48">
        <v>46024</v>
      </c>
      <c r="K322" s="47">
        <v>7006898324</v>
      </c>
      <c r="L322" s="47" t="s">
        <v>2172</v>
      </c>
      <c r="M322" s="49"/>
      <c r="N322" s="48"/>
      <c r="O322" s="47"/>
      <c r="P322" s="50"/>
      <c r="Q322" s="47"/>
      <c r="R322" s="47"/>
    </row>
    <row r="323" spans="1:18" x14ac:dyDescent="0.25">
      <c r="A323" s="47">
        <f t="shared" si="16"/>
        <v>322</v>
      </c>
      <c r="B323" s="47" t="s">
        <v>7902</v>
      </c>
      <c r="C323" s="47" t="s">
        <v>7899</v>
      </c>
      <c r="D323" s="47" t="s">
        <v>7900</v>
      </c>
      <c r="E323" s="47" t="s">
        <v>7901</v>
      </c>
      <c r="F323" s="47" t="s">
        <v>119</v>
      </c>
      <c r="G323" s="47" t="s">
        <v>200</v>
      </c>
      <c r="H323" s="47" t="str">
        <f t="shared" si="20"/>
        <v>SRINAGAR</v>
      </c>
      <c r="I323" s="47" t="s">
        <v>7924</v>
      </c>
      <c r="J323" s="48">
        <v>46024</v>
      </c>
      <c r="K323" s="47">
        <v>9149638830</v>
      </c>
      <c r="L323" s="47" t="s">
        <v>2248</v>
      </c>
      <c r="M323" s="49"/>
      <c r="N323" s="48"/>
      <c r="O323" s="47"/>
      <c r="P323" s="50"/>
      <c r="Q323" s="47"/>
      <c r="R323" s="47"/>
    </row>
    <row r="324" spans="1:18" x14ac:dyDescent="0.25">
      <c r="A324" s="47">
        <f t="shared" si="16"/>
        <v>323</v>
      </c>
      <c r="B324" s="47" t="s">
        <v>7903</v>
      </c>
      <c r="C324" s="47" t="s">
        <v>7920</v>
      </c>
      <c r="D324" s="47" t="s">
        <v>7921</v>
      </c>
      <c r="E324" s="47" t="s">
        <v>7922</v>
      </c>
      <c r="F324" s="47" t="s">
        <v>5</v>
      </c>
      <c r="G324" s="47" t="s">
        <v>199</v>
      </c>
      <c r="H324" s="47" t="str">
        <f t="shared" si="20"/>
        <v>BANDIPORA</v>
      </c>
      <c r="I324" s="47" t="s">
        <v>7923</v>
      </c>
      <c r="J324" s="48">
        <v>46024</v>
      </c>
      <c r="K324" s="47">
        <v>9906605048</v>
      </c>
      <c r="L324" s="47" t="s">
        <v>307</v>
      </c>
      <c r="M324" s="49"/>
      <c r="N324" s="48"/>
      <c r="O324" s="47"/>
      <c r="P324" s="50"/>
      <c r="Q324" s="47"/>
      <c r="R324" s="47"/>
    </row>
    <row r="325" spans="1:18" x14ac:dyDescent="0.25">
      <c r="A325" s="47">
        <f t="shared" si="16"/>
        <v>324</v>
      </c>
      <c r="B325" s="47" t="s">
        <v>7904</v>
      </c>
      <c r="C325" s="47" t="s">
        <v>7905</v>
      </c>
      <c r="D325" s="47" t="s">
        <v>7906</v>
      </c>
      <c r="E325" s="47" t="s">
        <v>7907</v>
      </c>
      <c r="F325" s="47" t="s">
        <v>100</v>
      </c>
      <c r="G325" s="47" t="s">
        <v>200</v>
      </c>
      <c r="H325" s="47" t="str">
        <f t="shared" si="20"/>
        <v>SRINAGAR</v>
      </c>
      <c r="I325" s="47" t="s">
        <v>7926</v>
      </c>
      <c r="J325" s="48">
        <v>46024</v>
      </c>
      <c r="K325" s="47">
        <v>9906473272</v>
      </c>
      <c r="L325" s="47" t="s">
        <v>70</v>
      </c>
      <c r="M325" s="49"/>
      <c r="N325" s="48"/>
      <c r="O325" s="47"/>
      <c r="P325" s="50"/>
      <c r="Q325" s="47"/>
      <c r="R325" s="47"/>
    </row>
    <row r="326" spans="1:18" x14ac:dyDescent="0.25">
      <c r="A326" s="47">
        <f t="shared" si="16"/>
        <v>325</v>
      </c>
      <c r="B326" s="47" t="s">
        <v>7908</v>
      </c>
      <c r="C326" s="47" t="s">
        <v>7909</v>
      </c>
      <c r="D326" s="47" t="s">
        <v>7910</v>
      </c>
      <c r="E326" s="47" t="s">
        <v>7911</v>
      </c>
      <c r="F326" s="47" t="s">
        <v>119</v>
      </c>
      <c r="G326" s="47" t="s">
        <v>200</v>
      </c>
      <c r="H326" s="47" t="str">
        <f t="shared" ref="H326:H357" si="21">IF(LEFT(I326,4)="JK13","PULWAMA",IF(LEFT(I326,4)="JK01","SRINAGAR",IF(LEFT(I326,4)="JK04","BUDGAM",IF(LEFT(I326,4)="JK03","ANANTNAG",IF(LEFT(I326,4)="JK05","BARAMULLA",IF(LEFT(I326,4)="25BH","BHARAT",IF(LEFT(I326,4)="JK12","POONCH",IF(LEFT(I326,4)="JK18","KULGAM",IF(LEFT(I326,4)="JK22","SHOPIAN",IF(LEFT(I326,4)="T102","TEMP",IF(LEFT(I326,4)="JK09","KUPWARA",IF(LEFT(I326,4)="JK15","BANDIPORA",IF(LEFT(I326,4)="T112","KARGIL","NEW")))))))))))))</f>
        <v>SRINAGAR</v>
      </c>
      <c r="I326" s="47" t="s">
        <v>7925</v>
      </c>
      <c r="J326" s="48">
        <v>46024</v>
      </c>
      <c r="K326" s="47">
        <v>9906786675</v>
      </c>
      <c r="L326" s="47" t="s">
        <v>70</v>
      </c>
      <c r="M326" s="49"/>
      <c r="N326" s="48"/>
      <c r="O326" s="47"/>
      <c r="P326" s="50"/>
      <c r="Q326" s="47"/>
      <c r="R326" s="47"/>
    </row>
    <row r="327" spans="1:18" x14ac:dyDescent="0.25">
      <c r="A327" s="47">
        <f t="shared" si="16"/>
        <v>326</v>
      </c>
      <c r="B327" s="47" t="s">
        <v>7912</v>
      </c>
      <c r="C327" s="47" t="s">
        <v>7913</v>
      </c>
      <c r="D327" s="47" t="s">
        <v>7914</v>
      </c>
      <c r="E327" s="47" t="s">
        <v>7915</v>
      </c>
      <c r="F327" s="47" t="s">
        <v>486</v>
      </c>
      <c r="G327" s="47" t="s">
        <v>199</v>
      </c>
      <c r="H327" s="47" t="str">
        <f t="shared" si="21"/>
        <v>SHOPIAN</v>
      </c>
      <c r="I327" s="47" t="s">
        <v>7956</v>
      </c>
      <c r="J327" s="48">
        <v>46024</v>
      </c>
      <c r="K327" s="47">
        <v>7780943149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6"/>
        <v>327</v>
      </c>
      <c r="B328" s="47" t="s">
        <v>7916</v>
      </c>
      <c r="C328" s="47" t="s">
        <v>7917</v>
      </c>
      <c r="D328" s="47" t="s">
        <v>7918</v>
      </c>
      <c r="E328" s="47" t="s">
        <v>7919</v>
      </c>
      <c r="F328" s="47" t="s">
        <v>119</v>
      </c>
      <c r="G328" s="47" t="s">
        <v>200</v>
      </c>
      <c r="H328" s="47" t="str">
        <f t="shared" si="21"/>
        <v>ANANTNAG</v>
      </c>
      <c r="I328" s="47" t="s">
        <v>8015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6"/>
        <v>328</v>
      </c>
      <c r="B329" s="47" t="s">
        <v>7936</v>
      </c>
      <c r="C329" s="47" t="s">
        <v>7928</v>
      </c>
      <c r="D329" s="47" t="s">
        <v>7929</v>
      </c>
      <c r="E329" s="47" t="s">
        <v>7930</v>
      </c>
      <c r="F329" s="47" t="s">
        <v>31</v>
      </c>
      <c r="G329" s="47" t="s">
        <v>199</v>
      </c>
      <c r="H329" s="47" t="str">
        <f t="shared" si="21"/>
        <v>SRINAGAR</v>
      </c>
      <c r="I329" s="47" t="s">
        <v>7937</v>
      </c>
      <c r="J329" s="48">
        <v>46024</v>
      </c>
      <c r="K329" s="47">
        <v>9149695812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6"/>
        <v>329</v>
      </c>
      <c r="B330" s="47" t="s">
        <v>7935</v>
      </c>
      <c r="C330" s="47" t="s">
        <v>7931</v>
      </c>
      <c r="D330" s="47" t="s">
        <v>7932</v>
      </c>
      <c r="E330" s="47" t="s">
        <v>7933</v>
      </c>
      <c r="F330" s="47" t="s">
        <v>5</v>
      </c>
      <c r="G330" s="47" t="s">
        <v>200</v>
      </c>
      <c r="H330" s="47" t="str">
        <f t="shared" si="21"/>
        <v>SRINAGAR</v>
      </c>
      <c r="I330" s="47" t="s">
        <v>7934</v>
      </c>
      <c r="J330" s="48">
        <v>46024</v>
      </c>
      <c r="K330" s="47">
        <v>7006197341</v>
      </c>
      <c r="L330" s="47" t="s">
        <v>1126</v>
      </c>
      <c r="M330" s="49"/>
      <c r="N330" s="48"/>
      <c r="O330" s="47"/>
      <c r="P330" s="50"/>
      <c r="Q330" s="47"/>
      <c r="R330" s="47"/>
    </row>
    <row r="331" spans="1:18" x14ac:dyDescent="0.25">
      <c r="A331" s="47">
        <f t="shared" si="16"/>
        <v>330</v>
      </c>
      <c r="B331" s="47" t="s">
        <v>7943</v>
      </c>
      <c r="C331" s="47" t="s">
        <v>7944</v>
      </c>
      <c r="D331" s="47" t="s">
        <v>7945</v>
      </c>
      <c r="E331" s="47" t="s">
        <v>7946</v>
      </c>
      <c r="F331" s="47" t="s">
        <v>12</v>
      </c>
      <c r="G331" s="47" t="s">
        <v>181</v>
      </c>
      <c r="H331" s="47" t="str">
        <f t="shared" si="21"/>
        <v>SRINAGAR</v>
      </c>
      <c r="I331" s="47" t="s">
        <v>7999</v>
      </c>
      <c r="J331" s="48">
        <v>46024</v>
      </c>
      <c r="K331" s="47">
        <v>9906730950</v>
      </c>
      <c r="L331" s="47" t="s">
        <v>194</v>
      </c>
      <c r="M331" s="49"/>
      <c r="N331" s="48"/>
      <c r="O331" s="47"/>
      <c r="P331" s="50"/>
      <c r="Q331" s="47"/>
      <c r="R331" s="47"/>
    </row>
    <row r="332" spans="1:18" x14ac:dyDescent="0.25">
      <c r="A332" s="47">
        <f t="shared" si="16"/>
        <v>331</v>
      </c>
      <c r="B332" s="47" t="s">
        <v>7947</v>
      </c>
      <c r="C332" s="47" t="s">
        <v>7948</v>
      </c>
      <c r="D332" s="47" t="s">
        <v>7949</v>
      </c>
      <c r="E332" s="47" t="s">
        <v>7950</v>
      </c>
      <c r="F332" s="47" t="s">
        <v>31</v>
      </c>
      <c r="G332" s="47" t="s">
        <v>200</v>
      </c>
      <c r="H332" s="47" t="str">
        <f t="shared" si="21"/>
        <v>SRINAGAR</v>
      </c>
      <c r="I332" s="47" t="s">
        <v>8016</v>
      </c>
      <c r="J332" s="48">
        <v>46024</v>
      </c>
      <c r="K332" s="47">
        <v>9419004025</v>
      </c>
      <c r="L332" s="47" t="s">
        <v>6833</v>
      </c>
      <c r="M332" s="49"/>
      <c r="N332" s="48"/>
      <c r="O332" s="47"/>
      <c r="P332" s="50"/>
      <c r="Q332" s="47"/>
      <c r="R332" s="47"/>
    </row>
    <row r="333" spans="1:18" x14ac:dyDescent="0.25">
      <c r="A333" s="47">
        <f t="shared" si="16"/>
        <v>332</v>
      </c>
      <c r="B333" s="47" t="s">
        <v>7951</v>
      </c>
      <c r="C333" s="47" t="s">
        <v>7952</v>
      </c>
      <c r="D333" s="47" t="s">
        <v>7953</v>
      </c>
      <c r="E333" s="47" t="s">
        <v>7954</v>
      </c>
      <c r="F333" s="47" t="s">
        <v>5</v>
      </c>
      <c r="G333" s="47" t="s">
        <v>199</v>
      </c>
      <c r="H333" s="47" t="str">
        <f t="shared" si="21"/>
        <v>SHOPIAN</v>
      </c>
      <c r="I333" s="48" t="s">
        <v>8014</v>
      </c>
      <c r="J333" s="48">
        <v>46025</v>
      </c>
      <c r="K333" s="47">
        <v>7006820710</v>
      </c>
      <c r="L333" s="47" t="s">
        <v>6570</v>
      </c>
      <c r="M333" s="49"/>
      <c r="N333" s="48"/>
      <c r="O333" s="47"/>
      <c r="P333" s="50"/>
      <c r="Q333" s="47"/>
      <c r="R333" s="47"/>
    </row>
    <row r="334" spans="1:18" x14ac:dyDescent="0.25">
      <c r="A334" s="47">
        <f t="shared" si="16"/>
        <v>333</v>
      </c>
      <c r="B334" s="47" t="s">
        <v>7962</v>
      </c>
      <c r="C334" s="47" t="s">
        <v>7957</v>
      </c>
      <c r="D334" s="47" t="s">
        <v>7958</v>
      </c>
      <c r="E334" s="47" t="s">
        <v>7959</v>
      </c>
      <c r="F334" s="47" t="s">
        <v>119</v>
      </c>
      <c r="G334" s="47" t="s">
        <v>200</v>
      </c>
      <c r="H334" s="47" t="str">
        <f t="shared" si="21"/>
        <v>PULWAMA</v>
      </c>
      <c r="I334" s="47" t="s">
        <v>7961</v>
      </c>
      <c r="J334" s="48">
        <v>46025</v>
      </c>
      <c r="K334" s="47">
        <v>9682505719</v>
      </c>
      <c r="L334" s="47" t="s">
        <v>7960</v>
      </c>
      <c r="M334" s="49"/>
      <c r="N334" s="48"/>
      <c r="O334" s="47"/>
      <c r="P334" s="50"/>
      <c r="Q334" s="47"/>
      <c r="R334" s="47"/>
    </row>
    <row r="335" spans="1:18" x14ac:dyDescent="0.25">
      <c r="A335" s="47">
        <f t="shared" si="16"/>
        <v>334</v>
      </c>
      <c r="B335" s="47" t="s">
        <v>7966</v>
      </c>
      <c r="C335" s="47" t="s">
        <v>7963</v>
      </c>
      <c r="D335" s="47" t="s">
        <v>7964</v>
      </c>
      <c r="E335" s="47" t="s">
        <v>7965</v>
      </c>
      <c r="F335" s="47" t="s">
        <v>119</v>
      </c>
      <c r="G335" s="47" t="s">
        <v>200</v>
      </c>
      <c r="H335" s="47" t="str">
        <f t="shared" si="21"/>
        <v>PULWAMA</v>
      </c>
      <c r="I335" s="47" t="s">
        <v>7967</v>
      </c>
      <c r="J335" s="48">
        <v>46025</v>
      </c>
      <c r="K335" s="47">
        <v>7006861153</v>
      </c>
      <c r="L335" s="47" t="s">
        <v>6521</v>
      </c>
      <c r="M335" s="49"/>
      <c r="N335" s="48"/>
      <c r="O335" s="47"/>
      <c r="P335" s="50"/>
      <c r="Q335" s="47"/>
      <c r="R335" s="47"/>
    </row>
    <row r="336" spans="1:18" x14ac:dyDescent="0.25">
      <c r="A336" s="47">
        <f t="shared" si="16"/>
        <v>335</v>
      </c>
      <c r="B336" s="47" t="s">
        <v>7971</v>
      </c>
      <c r="C336" s="47" t="s">
        <v>7968</v>
      </c>
      <c r="D336" s="47" t="s">
        <v>7969</v>
      </c>
      <c r="E336" s="47" t="s">
        <v>7970</v>
      </c>
      <c r="F336" s="47" t="s">
        <v>5</v>
      </c>
      <c r="G336" s="47" t="s">
        <v>199</v>
      </c>
      <c r="H336" s="47" t="str">
        <f t="shared" si="21"/>
        <v>SHOPIAN</v>
      </c>
      <c r="I336" s="47" t="s">
        <v>7977</v>
      </c>
      <c r="J336" s="48">
        <v>46025</v>
      </c>
      <c r="K336" s="47">
        <v>9103275011</v>
      </c>
      <c r="L336" s="47" t="s">
        <v>6570</v>
      </c>
      <c r="M336" s="49"/>
      <c r="N336" s="48"/>
      <c r="O336" s="47"/>
      <c r="P336" s="50"/>
      <c r="Q336" s="47"/>
      <c r="R336" s="47"/>
    </row>
    <row r="337" spans="1:18" x14ac:dyDescent="0.25">
      <c r="A337" s="47">
        <f t="shared" si="16"/>
        <v>336</v>
      </c>
      <c r="B337" s="47" t="s">
        <v>7978</v>
      </c>
      <c r="C337" s="47" t="s">
        <v>7972</v>
      </c>
      <c r="D337" s="47" t="s">
        <v>7973</v>
      </c>
      <c r="E337" s="47" t="s">
        <v>7974</v>
      </c>
      <c r="F337" s="47" t="s">
        <v>7975</v>
      </c>
      <c r="G337" s="47" t="s">
        <v>200</v>
      </c>
      <c r="H337" s="47" t="str">
        <f t="shared" si="21"/>
        <v>SRINAGAR</v>
      </c>
      <c r="I337" s="47" t="s">
        <v>7976</v>
      </c>
      <c r="J337" s="48">
        <v>46025</v>
      </c>
      <c r="K337" s="47">
        <v>9149592772</v>
      </c>
      <c r="L337" s="47" t="s">
        <v>194</v>
      </c>
      <c r="M337" s="49"/>
      <c r="N337" s="48"/>
      <c r="O337" s="47"/>
      <c r="P337" s="50"/>
      <c r="Q337" s="47"/>
      <c r="R337" s="47"/>
    </row>
    <row r="338" spans="1:18" x14ac:dyDescent="0.25">
      <c r="A338" s="47">
        <f t="shared" si="16"/>
        <v>337</v>
      </c>
      <c r="B338" s="47" t="s">
        <v>7982</v>
      </c>
      <c r="C338" s="47" t="s">
        <v>7979</v>
      </c>
      <c r="D338" s="47" t="s">
        <v>7980</v>
      </c>
      <c r="E338" s="47" t="s">
        <v>7981</v>
      </c>
      <c r="F338" s="47" t="s">
        <v>290</v>
      </c>
      <c r="G338" s="47" t="s">
        <v>200</v>
      </c>
      <c r="H338" s="47" t="str">
        <f t="shared" si="21"/>
        <v>SRINAGAR</v>
      </c>
      <c r="I338" s="47" t="s">
        <v>7983</v>
      </c>
      <c r="J338" s="48">
        <v>46025</v>
      </c>
      <c r="K338" s="47">
        <v>9149592772</v>
      </c>
      <c r="L338" s="47" t="s">
        <v>48</v>
      </c>
      <c r="M338" s="49"/>
      <c r="N338" s="48"/>
      <c r="O338" s="47"/>
      <c r="P338" s="50"/>
      <c r="Q338" s="47"/>
      <c r="R338" s="47"/>
    </row>
    <row r="339" spans="1:18" x14ac:dyDescent="0.25">
      <c r="A339" s="47">
        <f t="shared" si="16"/>
        <v>338</v>
      </c>
      <c r="B339" s="47" t="s">
        <v>7986</v>
      </c>
      <c r="C339" s="47" t="s">
        <v>7984</v>
      </c>
      <c r="D339" s="47" t="s">
        <v>7985</v>
      </c>
      <c r="E339" s="47" t="s">
        <v>4284</v>
      </c>
      <c r="F339" s="47" t="s">
        <v>193</v>
      </c>
      <c r="G339" s="47" t="s">
        <v>199</v>
      </c>
      <c r="H339" s="47" t="str">
        <f t="shared" si="21"/>
        <v>SRINAGAR</v>
      </c>
      <c r="I339" s="47" t="s">
        <v>7987</v>
      </c>
      <c r="J339" s="48">
        <v>46025</v>
      </c>
      <c r="K339" s="47">
        <v>8899926488</v>
      </c>
      <c r="L339" s="47" t="s">
        <v>106</v>
      </c>
      <c r="M339" s="49"/>
      <c r="N339" s="48"/>
      <c r="O339" s="47"/>
      <c r="P339" s="50"/>
      <c r="Q339" s="47"/>
      <c r="R339" s="47"/>
    </row>
    <row r="340" spans="1:18" x14ac:dyDescent="0.25">
      <c r="A340" s="47">
        <f t="shared" si="16"/>
        <v>339</v>
      </c>
      <c r="B340" s="47" t="s">
        <v>7991</v>
      </c>
      <c r="C340" s="47" t="s">
        <v>7988</v>
      </c>
      <c r="D340" s="47" t="s">
        <v>7989</v>
      </c>
      <c r="E340" s="47" t="s">
        <v>7990</v>
      </c>
      <c r="F340" s="47" t="s">
        <v>31</v>
      </c>
      <c r="G340" s="47" t="s">
        <v>175</v>
      </c>
      <c r="H340" s="47" t="str">
        <f t="shared" si="21"/>
        <v>SRINAGAR</v>
      </c>
      <c r="I340" s="47" t="s">
        <v>7992</v>
      </c>
      <c r="J340" s="48">
        <v>46025</v>
      </c>
      <c r="K340" s="47">
        <v>9596382727</v>
      </c>
      <c r="L340" s="47" t="s">
        <v>106</v>
      </c>
      <c r="M340" s="49"/>
      <c r="N340" s="48"/>
      <c r="O340" s="47"/>
      <c r="P340" s="50"/>
      <c r="Q340" s="47"/>
      <c r="R340" s="47"/>
    </row>
    <row r="341" spans="1:18" x14ac:dyDescent="0.25">
      <c r="A341" s="47">
        <f t="shared" si="16"/>
        <v>340</v>
      </c>
      <c r="B341" s="47" t="s">
        <v>7997</v>
      </c>
      <c r="C341" s="47" t="s">
        <v>7993</v>
      </c>
      <c r="D341" s="47" t="s">
        <v>7994</v>
      </c>
      <c r="E341" s="47" t="s">
        <v>7995</v>
      </c>
      <c r="F341" s="47" t="s">
        <v>31</v>
      </c>
      <c r="G341" s="47" t="s">
        <v>175</v>
      </c>
      <c r="H341" s="47" t="str">
        <f t="shared" si="21"/>
        <v>SRINAGAR</v>
      </c>
      <c r="I341" s="47" t="s">
        <v>7996</v>
      </c>
      <c r="J341" s="48">
        <v>46025</v>
      </c>
      <c r="K341" s="47">
        <v>9906863125</v>
      </c>
      <c r="L341" s="47" t="s">
        <v>2172</v>
      </c>
      <c r="M341" s="49"/>
      <c r="N341" s="48"/>
      <c r="O341" s="47"/>
      <c r="P341" s="50"/>
      <c r="Q341" s="47"/>
      <c r="R341" s="47"/>
    </row>
    <row r="342" spans="1:18" x14ac:dyDescent="0.25">
      <c r="A342" s="47">
        <f t="shared" si="16"/>
        <v>341</v>
      </c>
      <c r="B342" s="47" t="s">
        <v>7998</v>
      </c>
      <c r="C342" s="47" t="s">
        <v>8000</v>
      </c>
      <c r="D342" s="47" t="s">
        <v>8001</v>
      </c>
      <c r="E342" s="47" t="s">
        <v>8002</v>
      </c>
      <c r="F342" s="47" t="s">
        <v>125</v>
      </c>
      <c r="G342" s="47" t="s">
        <v>174</v>
      </c>
      <c r="H342" s="47" t="str">
        <f t="shared" si="21"/>
        <v>SRINAGAR</v>
      </c>
      <c r="I342" s="47" t="s">
        <v>8003</v>
      </c>
      <c r="J342" s="48">
        <v>46025</v>
      </c>
      <c r="K342" s="47">
        <v>9419004044</v>
      </c>
      <c r="L342" s="47" t="s">
        <v>48</v>
      </c>
      <c r="M342" s="49"/>
      <c r="N342" s="48"/>
      <c r="O342" s="47"/>
      <c r="P342" s="50"/>
      <c r="Q342" s="47"/>
      <c r="R342" s="47"/>
    </row>
    <row r="343" spans="1:18" x14ac:dyDescent="0.25">
      <c r="A343" s="47">
        <f t="shared" si="16"/>
        <v>342</v>
      </c>
      <c r="B343" s="47" t="s">
        <v>8004</v>
      </c>
      <c r="C343" s="47" t="s">
        <v>8005</v>
      </c>
      <c r="D343" s="47" t="s">
        <v>8006</v>
      </c>
      <c r="E343" s="47" t="s">
        <v>8007</v>
      </c>
      <c r="F343" s="47" t="s">
        <v>31</v>
      </c>
      <c r="G343" s="47" t="s">
        <v>199</v>
      </c>
      <c r="H343" s="47" t="str">
        <f t="shared" si="21"/>
        <v>SRINAGAR</v>
      </c>
      <c r="I343" s="47" t="s">
        <v>8008</v>
      </c>
      <c r="J343" s="48">
        <v>46025</v>
      </c>
      <c r="K343" s="47">
        <v>7889441591</v>
      </c>
      <c r="L343" s="47" t="s">
        <v>110</v>
      </c>
      <c r="M343" s="49"/>
      <c r="N343" s="48"/>
      <c r="O343" s="47"/>
      <c r="P343" s="50"/>
      <c r="Q343" s="47"/>
      <c r="R343" s="47"/>
    </row>
    <row r="344" spans="1:18" x14ac:dyDescent="0.25">
      <c r="A344" s="47">
        <f t="shared" si="16"/>
        <v>343</v>
      </c>
      <c r="B344" s="47" t="s">
        <v>8009</v>
      </c>
      <c r="C344" s="47" t="s">
        <v>8010</v>
      </c>
      <c r="D344" s="47" t="s">
        <v>8012</v>
      </c>
      <c r="E344" s="47" t="s">
        <v>8011</v>
      </c>
      <c r="F344" s="47" t="s">
        <v>119</v>
      </c>
      <c r="G344" s="47" t="s">
        <v>174</v>
      </c>
      <c r="H344" s="47" t="str">
        <f t="shared" si="21"/>
        <v>SRINAGAR</v>
      </c>
      <c r="I344" s="47" t="s">
        <v>8013</v>
      </c>
      <c r="J344" s="48">
        <v>46025</v>
      </c>
      <c r="K344" s="47">
        <v>7006441266</v>
      </c>
      <c r="L344" s="47" t="s">
        <v>43</v>
      </c>
      <c r="M344" s="49"/>
      <c r="N344" s="48"/>
      <c r="O344" s="47"/>
      <c r="P344" s="50"/>
      <c r="Q344" s="47"/>
      <c r="R344" s="47"/>
    </row>
    <row r="345" spans="1:18" x14ac:dyDescent="0.25">
      <c r="A345" s="47">
        <f t="shared" si="16"/>
        <v>344</v>
      </c>
      <c r="B345" s="47" t="s">
        <v>8019</v>
      </c>
      <c r="C345" s="47" t="s">
        <v>8020</v>
      </c>
      <c r="D345" s="47" t="s">
        <v>8021</v>
      </c>
      <c r="E345" s="47" t="s">
        <v>5417</v>
      </c>
      <c r="F345" s="47" t="s">
        <v>12</v>
      </c>
      <c r="G345" s="47" t="s">
        <v>181</v>
      </c>
      <c r="H345" s="47" t="str">
        <f t="shared" si="21"/>
        <v>ANANTNAG</v>
      </c>
      <c r="I345" s="47" t="s">
        <v>8031</v>
      </c>
      <c r="J345" s="48">
        <v>46025</v>
      </c>
      <c r="K345" s="47">
        <v>7889730611</v>
      </c>
      <c r="L345" s="47" t="s">
        <v>6540</v>
      </c>
      <c r="M345" s="49"/>
      <c r="N345" s="48"/>
      <c r="O345" s="47"/>
      <c r="P345" s="50"/>
      <c r="Q345" s="47"/>
      <c r="R345" s="47"/>
    </row>
    <row r="346" spans="1:18" x14ac:dyDescent="0.25">
      <c r="A346" s="47">
        <f t="shared" si="16"/>
        <v>345</v>
      </c>
      <c r="B346" s="47" t="s">
        <v>8025</v>
      </c>
      <c r="C346" s="47" t="s">
        <v>8022</v>
      </c>
      <c r="D346" s="47" t="s">
        <v>8023</v>
      </c>
      <c r="E346" s="47" t="s">
        <v>8024</v>
      </c>
      <c r="F346" s="47" t="s">
        <v>12</v>
      </c>
      <c r="G346" s="47" t="s">
        <v>200</v>
      </c>
      <c r="H346" s="47" t="str">
        <f t="shared" si="21"/>
        <v>KUPWARA</v>
      </c>
      <c r="I346" s="47" t="s">
        <v>8026</v>
      </c>
      <c r="J346" s="48">
        <v>46025</v>
      </c>
      <c r="K346" s="47">
        <v>6005210447</v>
      </c>
      <c r="L346" s="47" t="s">
        <v>2248</v>
      </c>
      <c r="M346" s="49"/>
      <c r="N346" s="48"/>
      <c r="O346" s="47"/>
      <c r="P346" s="50"/>
      <c r="Q346" s="47"/>
      <c r="R346" s="47"/>
    </row>
    <row r="347" spans="1:18" x14ac:dyDescent="0.25">
      <c r="A347" s="47">
        <f t="shared" si="16"/>
        <v>346</v>
      </c>
      <c r="B347" s="47" t="s">
        <v>8027</v>
      </c>
      <c r="C347" s="47" t="s">
        <v>8028</v>
      </c>
      <c r="D347" s="47" t="s">
        <v>8029</v>
      </c>
      <c r="E347" s="47" t="s">
        <v>8030</v>
      </c>
      <c r="F347" s="47" t="s">
        <v>1686</v>
      </c>
      <c r="G347" s="47" t="s">
        <v>199</v>
      </c>
      <c r="H347" s="47" t="str">
        <f t="shared" si="21"/>
        <v>SRINAGAR</v>
      </c>
      <c r="I347" s="47" t="s">
        <v>8032</v>
      </c>
      <c r="J347" s="48">
        <v>46025</v>
      </c>
      <c r="K347" s="47">
        <v>7051417712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6"/>
        <v>347</v>
      </c>
      <c r="B348" s="47"/>
      <c r="C348" s="47"/>
      <c r="D348" s="47"/>
      <c r="E348" s="47"/>
      <c r="F348" s="47"/>
      <c r="G348" s="47"/>
      <c r="H348" s="47" t="str">
        <f t="shared" si="21"/>
        <v>NEW</v>
      </c>
      <c r="I348" s="47"/>
      <c r="J348" s="48"/>
      <c r="K348" s="47"/>
      <c r="L348" s="47"/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6"/>
        <v>348</v>
      </c>
      <c r="B349" s="47"/>
      <c r="C349" s="47"/>
      <c r="D349" s="47"/>
      <c r="E349" s="47"/>
      <c r="F349" s="47"/>
      <c r="G349" s="47"/>
      <c r="H349" s="47" t="str">
        <f t="shared" si="21"/>
        <v>NEW</v>
      </c>
      <c r="I349" s="47"/>
      <c r="J349" s="48"/>
      <c r="K349" s="47"/>
      <c r="L349" s="47"/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6"/>
        <v>349</v>
      </c>
      <c r="B350" s="47"/>
      <c r="C350" s="47"/>
      <c r="D350" s="47"/>
      <c r="E350" s="47"/>
      <c r="F350" s="47"/>
      <c r="G350" s="47"/>
      <c r="H350" s="47" t="str">
        <f t="shared" si="21"/>
        <v>NEW</v>
      </c>
      <c r="I350" s="47"/>
      <c r="J350" s="48"/>
      <c r="K350" s="47"/>
      <c r="L350" s="47"/>
      <c r="M350" s="49"/>
      <c r="N350" s="48"/>
      <c r="O350" s="47"/>
      <c r="P350" s="50"/>
      <c r="Q350" s="47"/>
      <c r="R350" s="47"/>
    </row>
    <row r="351" spans="1:18" x14ac:dyDescent="0.25">
      <c r="A351" s="47">
        <f t="shared" si="16"/>
        <v>350</v>
      </c>
      <c r="B351" s="47"/>
      <c r="C351" s="47"/>
      <c r="D351" s="47"/>
      <c r="E351" s="47"/>
      <c r="F351" s="47"/>
      <c r="G351" s="47"/>
      <c r="H351" s="47" t="str">
        <f t="shared" si="21"/>
        <v>NEW</v>
      </c>
      <c r="I351" s="47"/>
      <c r="J351" s="48"/>
      <c r="K351" s="47"/>
      <c r="L351" s="47"/>
      <c r="M351" s="49"/>
      <c r="N351" s="48"/>
      <c r="O351" s="47"/>
      <c r="P351" s="50"/>
      <c r="Q351" s="47"/>
      <c r="R351" s="47"/>
    </row>
    <row r="352" spans="1:18" x14ac:dyDescent="0.25">
      <c r="A352" s="47">
        <f t="shared" si="16"/>
        <v>351</v>
      </c>
      <c r="B352" s="47"/>
      <c r="C352" s="47"/>
      <c r="D352" s="47"/>
      <c r="E352" s="47"/>
      <c r="F352" s="47"/>
      <c r="G352" s="47"/>
      <c r="H352" s="47" t="str">
        <f t="shared" si="21"/>
        <v>NEW</v>
      </c>
      <c r="I352" s="47"/>
      <c r="J352" s="48"/>
      <c r="K352" s="47"/>
      <c r="L352" s="47"/>
      <c r="M352" s="49"/>
      <c r="N352" s="48"/>
      <c r="O352" s="47"/>
      <c r="P352" s="50"/>
      <c r="Q352" s="47"/>
      <c r="R352" s="47"/>
    </row>
    <row r="353" spans="1:18" x14ac:dyDescent="0.25">
      <c r="A353" s="47">
        <f t="shared" si="16"/>
        <v>352</v>
      </c>
      <c r="B353" s="47"/>
      <c r="C353" s="47"/>
      <c r="D353" s="47"/>
      <c r="E353" s="47"/>
      <c r="F353" s="47"/>
      <c r="G353" s="47"/>
      <c r="H353" s="47" t="str">
        <f t="shared" si="21"/>
        <v>NEW</v>
      </c>
      <c r="I353" s="47"/>
      <c r="J353" s="48"/>
      <c r="K353" s="47"/>
      <c r="L353" s="47"/>
      <c r="M353" s="49"/>
      <c r="N353" s="48"/>
      <c r="O353" s="47"/>
      <c r="P353" s="50"/>
      <c r="Q353" s="47"/>
      <c r="R353" s="47"/>
    </row>
    <row r="354" spans="1:18" x14ac:dyDescent="0.25">
      <c r="A354" s="47">
        <f t="shared" si="16"/>
        <v>353</v>
      </c>
      <c r="B354" s="47"/>
      <c r="C354" s="47"/>
      <c r="D354" s="47"/>
      <c r="E354" s="47"/>
      <c r="F354" s="47"/>
      <c r="G354" s="47"/>
      <c r="H354" s="47" t="str">
        <f t="shared" si="21"/>
        <v>NEW</v>
      </c>
      <c r="I354" s="47"/>
      <c r="J354" s="48"/>
      <c r="K354" s="47"/>
      <c r="L354" s="47"/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6"/>
        <v>354</v>
      </c>
      <c r="B355" s="47"/>
      <c r="C355" s="47"/>
      <c r="D355" s="47"/>
      <c r="E355" s="47"/>
      <c r="F355" s="47"/>
      <c r="G355" s="47"/>
      <c r="H355" s="47" t="str">
        <f t="shared" si="21"/>
        <v>NEW</v>
      </c>
      <c r="I355" s="47"/>
      <c r="J355" s="48"/>
      <c r="K355" s="47"/>
      <c r="L355" s="47"/>
      <c r="M355" s="49"/>
      <c r="N355" s="48"/>
      <c r="O355" s="47"/>
      <c r="P355" s="50"/>
      <c r="Q355" s="47"/>
      <c r="R355" s="47"/>
    </row>
    <row r="356" spans="1:18" x14ac:dyDescent="0.25">
      <c r="A356" s="47">
        <f t="shared" si="16"/>
        <v>355</v>
      </c>
      <c r="B356" s="47"/>
      <c r="C356" s="47"/>
      <c r="D356" s="47"/>
      <c r="E356" s="47"/>
      <c r="F356" s="47"/>
      <c r="G356" s="47"/>
      <c r="H356" s="47" t="str">
        <f t="shared" si="21"/>
        <v>NEW</v>
      </c>
      <c r="I356" s="47"/>
      <c r="J356" s="48"/>
      <c r="K356" s="47"/>
      <c r="L356" s="47"/>
      <c r="M356" s="49"/>
      <c r="N356" s="48"/>
      <c r="O356" s="47"/>
      <c r="P356" s="50"/>
      <c r="Q356" s="47"/>
      <c r="R356" s="47"/>
    </row>
    <row r="357" spans="1:18" x14ac:dyDescent="0.25">
      <c r="A357" s="47">
        <f t="shared" si="16"/>
        <v>356</v>
      </c>
      <c r="B357" s="47"/>
      <c r="C357" s="47"/>
      <c r="D357" s="47"/>
      <c r="E357" s="47"/>
      <c r="F357" s="47"/>
      <c r="G357" s="47"/>
      <c r="H357" s="47" t="str">
        <f t="shared" si="21"/>
        <v>NEW</v>
      </c>
      <c r="I357" s="47"/>
      <c r="J357" s="48"/>
      <c r="K357" s="47"/>
      <c r="L357" s="47"/>
      <c r="M357" s="49"/>
      <c r="N357" s="48"/>
      <c r="O357" s="47"/>
      <c r="P357" s="50"/>
      <c r="Q357" s="47"/>
      <c r="R357" s="47"/>
    </row>
    <row r="358" spans="1:18" x14ac:dyDescent="0.25">
      <c r="A358" s="47">
        <f t="shared" si="16"/>
        <v>357</v>
      </c>
      <c r="B358" s="47"/>
      <c r="C358" s="47"/>
      <c r="D358" s="47"/>
      <c r="E358" s="47"/>
      <c r="F358" s="47"/>
      <c r="G358" s="47"/>
      <c r="H358" s="47" t="str">
        <f t="shared" ref="H358:H374" si="22">IF(LEFT(I358,4)="JK13","PULWAMA",IF(LEFT(I358,4)="JK01","SRINAGAR",IF(LEFT(I358,4)="JK04","BUDGAM",IF(LEFT(I358,4)="JK03","ANANTNAG",IF(LEFT(I358,4)="JK05","BARAMULLA",IF(LEFT(I358,4)="25BH","BHARAT",IF(LEFT(I358,4)="JK12","POONCH",IF(LEFT(I358,4)="JK18","KULGAM",IF(LEFT(I358,4)="JK22","SHOPIAN",IF(LEFT(I358,4)="T102","TEMP",IF(LEFT(I358,4)="JK09","KUPWARA",IF(LEFT(I358,4)="JK15","BANDIPORA",IF(LEFT(I358,4)="T112","KARGIL","NEW")))))))))))))</f>
        <v>NEW</v>
      </c>
      <c r="I358" s="47"/>
      <c r="J358" s="48"/>
      <c r="K358" s="47"/>
      <c r="L358" s="47"/>
      <c r="M358" s="49"/>
      <c r="N358" s="48"/>
      <c r="O358" s="47"/>
      <c r="P358" s="50"/>
      <c r="Q358" s="47"/>
      <c r="R358" s="47"/>
    </row>
    <row r="359" spans="1:18" x14ac:dyDescent="0.25">
      <c r="A359" s="47">
        <f t="shared" si="16"/>
        <v>358</v>
      </c>
      <c r="B359" s="47"/>
      <c r="C359" s="47"/>
      <c r="D359" s="47"/>
      <c r="E359" s="47"/>
      <c r="F359" s="47"/>
      <c r="G359" s="47"/>
      <c r="H359" s="47" t="str">
        <f t="shared" si="22"/>
        <v>NEW</v>
      </c>
      <c r="I359" s="47"/>
      <c r="J359" s="48"/>
      <c r="K359" s="47"/>
      <c r="L359" s="47"/>
      <c r="M359" s="49"/>
      <c r="N359" s="48"/>
      <c r="O359" s="47"/>
      <c r="P359" s="50"/>
      <c r="Q359" s="47"/>
      <c r="R359" s="47"/>
    </row>
    <row r="360" spans="1:18" x14ac:dyDescent="0.25">
      <c r="A360" s="47">
        <f t="shared" si="16"/>
        <v>359</v>
      </c>
      <c r="B360" s="47"/>
      <c r="C360" s="47"/>
      <c r="D360" s="47"/>
      <c r="E360" s="47"/>
      <c r="F360" s="47"/>
      <c r="G360" s="47"/>
      <c r="H360" s="47" t="str">
        <f t="shared" si="22"/>
        <v>NEW</v>
      </c>
      <c r="I360" s="47"/>
      <c r="J360" s="48"/>
      <c r="K360" s="47"/>
      <c r="L360" s="47"/>
      <c r="M360" s="49"/>
      <c r="N360" s="48"/>
      <c r="O360" s="47"/>
      <c r="P360" s="50"/>
      <c r="Q360" s="47"/>
      <c r="R360" s="47"/>
    </row>
    <row r="361" spans="1:18" x14ac:dyDescent="0.25">
      <c r="A361" s="47">
        <f t="shared" si="16"/>
        <v>360</v>
      </c>
      <c r="B361" s="47"/>
      <c r="C361" s="47"/>
      <c r="D361" s="47"/>
      <c r="E361" s="47"/>
      <c r="F361" s="47"/>
      <c r="G361" s="47"/>
      <c r="H361" s="47" t="str">
        <f t="shared" si="22"/>
        <v>NEW</v>
      </c>
      <c r="I361" s="47"/>
      <c r="J361" s="48"/>
      <c r="K361" s="47"/>
      <c r="L361" s="47"/>
      <c r="M361" s="49"/>
      <c r="N361" s="48"/>
      <c r="O361" s="47"/>
      <c r="P361" s="50"/>
      <c r="Q361" s="47"/>
      <c r="R361" s="47"/>
    </row>
    <row r="362" spans="1:18" x14ac:dyDescent="0.25">
      <c r="A362" s="47">
        <f t="shared" si="16"/>
        <v>361</v>
      </c>
      <c r="B362" s="47"/>
      <c r="C362" s="47"/>
      <c r="D362" s="47"/>
      <c r="E362" s="47"/>
      <c r="F362" s="47"/>
      <c r="G362" s="47"/>
      <c r="H362" s="47" t="str">
        <f t="shared" si="22"/>
        <v>NEW</v>
      </c>
      <c r="I362" s="47"/>
      <c r="J362" s="48"/>
      <c r="K362" s="47"/>
      <c r="L362" s="47"/>
      <c r="M362" s="49"/>
      <c r="N362" s="48"/>
      <c r="O362" s="47"/>
      <c r="P362" s="50"/>
      <c r="Q362" s="47"/>
      <c r="R362" s="47"/>
    </row>
    <row r="363" spans="1:18" x14ac:dyDescent="0.25">
      <c r="A363" s="47">
        <f t="shared" si="16"/>
        <v>362</v>
      </c>
      <c r="B363" s="47"/>
      <c r="C363" s="47"/>
      <c r="D363" s="47"/>
      <c r="E363" s="47"/>
      <c r="F363" s="47"/>
      <c r="G363" s="47"/>
      <c r="H363" s="47" t="str">
        <f t="shared" si="22"/>
        <v>NEW</v>
      </c>
      <c r="I363" s="47"/>
      <c r="J363" s="48"/>
      <c r="K363" s="47"/>
      <c r="L363" s="47"/>
      <c r="M363" s="49"/>
      <c r="N363" s="48"/>
      <c r="O363" s="47"/>
      <c r="P363" s="50"/>
      <c r="Q363" s="47"/>
      <c r="R363" s="47"/>
    </row>
    <row r="364" spans="1:18" x14ac:dyDescent="0.25">
      <c r="A364" s="47">
        <f t="shared" ref="A364:A374" si="23">ROW()-1</f>
        <v>363</v>
      </c>
      <c r="B364" s="47"/>
      <c r="C364" s="47"/>
      <c r="D364" s="47"/>
      <c r="E364" s="47"/>
      <c r="F364" s="47"/>
      <c r="G364" s="47"/>
      <c r="H364" s="47" t="str">
        <f t="shared" si="22"/>
        <v>NEW</v>
      </c>
      <c r="I364" s="47"/>
      <c r="J364" s="48"/>
      <c r="K364" s="47"/>
      <c r="L364" s="47"/>
      <c r="M364" s="49"/>
      <c r="N364" s="48"/>
      <c r="O364" s="47"/>
      <c r="P364" s="50"/>
      <c r="Q364" s="47"/>
      <c r="R364" s="47"/>
    </row>
    <row r="365" spans="1:18" x14ac:dyDescent="0.25">
      <c r="A365" s="47">
        <f t="shared" si="23"/>
        <v>364</v>
      </c>
      <c r="B365" s="47"/>
      <c r="C365" s="47"/>
      <c r="D365" s="47"/>
      <c r="E365" s="47"/>
      <c r="F365" s="47"/>
      <c r="G365" s="47"/>
      <c r="H365" s="47" t="str">
        <f t="shared" si="22"/>
        <v>NEW</v>
      </c>
      <c r="I365" s="47"/>
      <c r="J365" s="48"/>
      <c r="K365" s="47"/>
      <c r="L365" s="47"/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23"/>
        <v>365</v>
      </c>
      <c r="B366" s="47"/>
      <c r="C366" s="47"/>
      <c r="D366" s="47"/>
      <c r="E366" s="47"/>
      <c r="F366" s="47"/>
      <c r="G366" s="47"/>
      <c r="H366" s="47" t="str">
        <f t="shared" si="22"/>
        <v>NEW</v>
      </c>
      <c r="I366" s="47"/>
      <c r="J366" s="48"/>
      <c r="K366" s="47"/>
      <c r="L366" s="47"/>
      <c r="M366" s="49"/>
      <c r="N366" s="48"/>
      <c r="O366" s="47"/>
      <c r="P366" s="50"/>
      <c r="Q366" s="47"/>
      <c r="R366" s="47"/>
    </row>
    <row r="367" spans="1:18" x14ac:dyDescent="0.25">
      <c r="A367" s="47">
        <f t="shared" si="23"/>
        <v>366</v>
      </c>
      <c r="B367" s="47"/>
      <c r="C367" s="47"/>
      <c r="D367" s="47"/>
      <c r="E367" s="47"/>
      <c r="F367" s="47"/>
      <c r="G367" s="47"/>
      <c r="H367" s="47" t="str">
        <f t="shared" si="22"/>
        <v>NEW</v>
      </c>
      <c r="I367" s="47"/>
      <c r="J367" s="48"/>
      <c r="K367" s="47"/>
      <c r="L367" s="47"/>
      <c r="M367" s="49"/>
      <c r="N367" s="48"/>
      <c r="O367" s="47"/>
      <c r="P367" s="50"/>
      <c r="Q367" s="47"/>
      <c r="R367" s="47"/>
    </row>
    <row r="368" spans="1:18" x14ac:dyDescent="0.25">
      <c r="A368" s="47">
        <f t="shared" si="23"/>
        <v>367</v>
      </c>
      <c r="B368" s="47"/>
      <c r="C368" s="47"/>
      <c r="D368" s="47"/>
      <c r="E368" s="47"/>
      <c r="F368" s="47"/>
      <c r="G368" s="47"/>
      <c r="H368" s="47" t="str">
        <f t="shared" si="22"/>
        <v>NEW</v>
      </c>
      <c r="I368" s="47"/>
      <c r="J368" s="48"/>
      <c r="K368" s="47"/>
      <c r="L368" s="47"/>
      <c r="M368" s="49"/>
      <c r="N368" s="48"/>
      <c r="O368" s="47"/>
      <c r="P368" s="50"/>
      <c r="Q368" s="47"/>
      <c r="R368" s="47"/>
    </row>
    <row r="369" spans="1:18" x14ac:dyDescent="0.25">
      <c r="A369" s="47">
        <f t="shared" si="23"/>
        <v>368</v>
      </c>
      <c r="B369" s="47"/>
      <c r="C369" s="47"/>
      <c r="D369" s="47"/>
      <c r="E369" s="47"/>
      <c r="F369" s="47"/>
      <c r="G369" s="47"/>
      <c r="H369" s="47" t="str">
        <f t="shared" si="22"/>
        <v>NEW</v>
      </c>
      <c r="I369" s="47"/>
      <c r="J369" s="48"/>
      <c r="K369" s="47"/>
      <c r="L369" s="47"/>
      <c r="M369" s="49"/>
      <c r="N369" s="48"/>
      <c r="O369" s="47"/>
      <c r="P369" s="50"/>
      <c r="Q369" s="47"/>
      <c r="R369" s="47"/>
    </row>
    <row r="370" spans="1:18" x14ac:dyDescent="0.25">
      <c r="A370" s="47">
        <f t="shared" si="23"/>
        <v>369</v>
      </c>
      <c r="B370" s="47"/>
      <c r="C370" s="47"/>
      <c r="D370" s="47"/>
      <c r="E370" s="47"/>
      <c r="F370" s="47"/>
      <c r="G370" s="47"/>
      <c r="H370" s="47" t="str">
        <f t="shared" si="22"/>
        <v>NEW</v>
      </c>
      <c r="I370" s="47"/>
      <c r="J370" s="48"/>
      <c r="K370" s="47"/>
      <c r="L370" s="47"/>
      <c r="M370" s="49"/>
      <c r="N370" s="48"/>
      <c r="O370" s="47"/>
      <c r="P370" s="50"/>
      <c r="Q370" s="47"/>
      <c r="R370" s="47"/>
    </row>
    <row r="371" spans="1:18" x14ac:dyDescent="0.25">
      <c r="A371" s="47">
        <f t="shared" si="23"/>
        <v>370</v>
      </c>
      <c r="B371" s="47"/>
      <c r="C371" s="47"/>
      <c r="D371" s="47"/>
      <c r="E371" s="47"/>
      <c r="F371" s="47"/>
      <c r="G371" s="47"/>
      <c r="H371" s="47" t="str">
        <f t="shared" si="22"/>
        <v>NEW</v>
      </c>
      <c r="I371" s="47"/>
      <c r="J371" s="48"/>
      <c r="K371" s="47"/>
      <c r="L371" s="47"/>
      <c r="M371" s="49"/>
      <c r="N371" s="48"/>
      <c r="O371" s="47"/>
      <c r="P371" s="50"/>
      <c r="Q371" s="47"/>
      <c r="R371" s="47"/>
    </row>
    <row r="372" spans="1:18" x14ac:dyDescent="0.25">
      <c r="A372" s="47">
        <f t="shared" si="23"/>
        <v>371</v>
      </c>
      <c r="B372" s="47"/>
      <c r="C372" s="47"/>
      <c r="D372" s="47"/>
      <c r="E372" s="47"/>
      <c r="F372" s="47"/>
      <c r="G372" s="47"/>
      <c r="H372" s="47" t="str">
        <f t="shared" si="22"/>
        <v>NEW</v>
      </c>
      <c r="I372" s="47"/>
      <c r="J372" s="48"/>
      <c r="K372" s="47"/>
      <c r="L372" s="47"/>
      <c r="M372" s="49"/>
      <c r="N372" s="48"/>
      <c r="O372" s="47"/>
      <c r="P372" s="50"/>
      <c r="Q372" s="47"/>
      <c r="R372" s="47"/>
    </row>
    <row r="373" spans="1:18" x14ac:dyDescent="0.25">
      <c r="A373" s="47">
        <f t="shared" si="23"/>
        <v>372</v>
      </c>
      <c r="B373" s="47"/>
      <c r="C373" s="47"/>
      <c r="D373" s="47"/>
      <c r="E373" s="47"/>
      <c r="F373" s="47"/>
      <c r="G373" s="47"/>
      <c r="H373" s="47" t="str">
        <f t="shared" si="22"/>
        <v>NEW</v>
      </c>
      <c r="I373" s="47"/>
      <c r="J373" s="48"/>
      <c r="K373" s="47"/>
      <c r="L373" s="47"/>
      <c r="M373" s="49"/>
      <c r="N373" s="48"/>
      <c r="O373" s="47"/>
      <c r="P373" s="50"/>
      <c r="Q373" s="47"/>
      <c r="R373" s="47"/>
    </row>
    <row r="374" spans="1:18" x14ac:dyDescent="0.25">
      <c r="A374" s="47">
        <f t="shared" si="23"/>
        <v>373</v>
      </c>
      <c r="B374" s="47"/>
      <c r="C374" s="47"/>
      <c r="D374" s="47"/>
      <c r="E374" s="47"/>
      <c r="F374" s="47"/>
      <c r="G374" s="47"/>
      <c r="H374" s="47" t="str">
        <f t="shared" si="22"/>
        <v>NEW</v>
      </c>
      <c r="I374" s="47"/>
      <c r="J374" s="48"/>
      <c r="K374" s="47"/>
      <c r="L374" s="47"/>
      <c r="M374" s="49"/>
      <c r="N374" s="48"/>
      <c r="O374" s="47"/>
      <c r="P374" s="50"/>
      <c r="Q374" s="47"/>
      <c r="R374" s="47"/>
    </row>
    <row r="375" spans="1:18" ht="15.75" x14ac:dyDescent="0.25">
      <c r="F375" s="1"/>
      <c r="G375" s="1"/>
      <c r="H375" s="1"/>
      <c r="I375" s="55"/>
      <c r="J375" s="19"/>
      <c r="K375" s="47"/>
      <c r="M375" t="s">
        <v>44</v>
      </c>
    </row>
    <row r="376" spans="1:18" ht="15.75" x14ac:dyDescent="0.25">
      <c r="F376" s="1"/>
      <c r="G376" s="1"/>
      <c r="H376" s="1"/>
      <c r="I376" s="20"/>
      <c r="K376" s="47"/>
    </row>
    <row r="377" spans="1:18" ht="15.75" x14ac:dyDescent="0.25">
      <c r="F377" s="1"/>
      <c r="G377" s="1"/>
      <c r="H377" s="1"/>
      <c r="I377" s="20"/>
      <c r="K377" s="47"/>
    </row>
    <row r="378" spans="1:18" ht="15.75" x14ac:dyDescent="0.25">
      <c r="F378" s="1"/>
      <c r="G378" s="1"/>
      <c r="H378" s="1"/>
      <c r="I378" s="20"/>
      <c r="K378" s="47"/>
    </row>
    <row r="379" spans="1:18" ht="15.75" x14ac:dyDescent="0.25">
      <c r="C379" s="1"/>
      <c r="D379" s="1"/>
      <c r="E379" s="1"/>
      <c r="F379" s="1"/>
      <c r="G379" s="1"/>
      <c r="H379" s="1"/>
      <c r="I379" s="20"/>
      <c r="K379" s="47"/>
    </row>
    <row r="380" spans="1:18" x14ac:dyDescent="0.25">
      <c r="A380" s="5"/>
      <c r="B380" s="6"/>
      <c r="C380" s="7"/>
      <c r="D380" s="7"/>
      <c r="E380" s="7"/>
      <c r="F380" s="7"/>
      <c r="G380" s="7"/>
      <c r="H380" s="7"/>
      <c r="I380" s="7"/>
      <c r="J380" s="7"/>
      <c r="K380" s="47"/>
      <c r="L380" s="7"/>
      <c r="M380" s="7"/>
      <c r="N380" s="7"/>
      <c r="O380" s="7"/>
      <c r="P380" s="7"/>
      <c r="Q380" s="7"/>
    </row>
    <row r="381" spans="1:18" x14ac:dyDescent="0.25">
      <c r="A381" s="5"/>
      <c r="B381" s="6"/>
      <c r="C381" s="7"/>
      <c r="D381" s="7"/>
      <c r="E381" s="7"/>
      <c r="F381" s="7"/>
      <c r="G381" s="7"/>
      <c r="H381" s="7"/>
      <c r="I381" s="7"/>
      <c r="J381" s="7"/>
      <c r="K381" s="47"/>
      <c r="L381" s="7"/>
      <c r="M381" s="7"/>
      <c r="N381" s="7"/>
      <c r="O381" s="7"/>
      <c r="P381" s="7"/>
      <c r="Q381" s="7"/>
    </row>
    <row r="382" spans="1:18" x14ac:dyDescent="0.25">
      <c r="K382" s="47"/>
    </row>
    <row r="383" spans="1:18" x14ac:dyDescent="0.25">
      <c r="K383" s="47"/>
    </row>
    <row r="384" spans="1:18" x14ac:dyDescent="0.25">
      <c r="K384" s="47"/>
    </row>
    <row r="385" spans="11:11" x14ac:dyDescent="0.25">
      <c r="K385" s="47"/>
    </row>
    <row r="386" spans="11:11" x14ac:dyDescent="0.25">
      <c r="K386" s="47"/>
    </row>
    <row r="387" spans="11:11" x14ac:dyDescent="0.25">
      <c r="K387" s="47"/>
    </row>
    <row r="388" spans="11:11" x14ac:dyDescent="0.25">
      <c r="K388" s="47"/>
    </row>
    <row r="389" spans="11:11" x14ac:dyDescent="0.25">
      <c r="K389" s="47"/>
    </row>
    <row r="390" spans="11:11" x14ac:dyDescent="0.25">
      <c r="K390" s="47"/>
    </row>
    <row r="391" spans="11:11" x14ac:dyDescent="0.25">
      <c r="K391" s="47"/>
    </row>
    <row r="392" spans="11:11" x14ac:dyDescent="0.25">
      <c r="K392" s="47"/>
    </row>
    <row r="393" spans="11:11" x14ac:dyDescent="0.25">
      <c r="K393" s="47"/>
    </row>
    <row r="394" spans="11:11" x14ac:dyDescent="0.25">
      <c r="K394" s="47"/>
    </row>
    <row r="395" spans="11:11" x14ac:dyDescent="0.25">
      <c r="K395" s="47"/>
    </row>
    <row r="396" spans="11:11" x14ac:dyDescent="0.25">
      <c r="K396" s="47"/>
    </row>
    <row r="397" spans="11:11" x14ac:dyDescent="0.25">
      <c r="K397" s="47"/>
    </row>
    <row r="398" spans="11:11" x14ac:dyDescent="0.25">
      <c r="K398" s="47"/>
    </row>
    <row r="399" spans="11:11" x14ac:dyDescent="0.25">
      <c r="K399" s="47"/>
    </row>
    <row r="400" spans="11:11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ht="15.75" x14ac:dyDescent="0.25">
      <c r="K465" s="19"/>
    </row>
    <row r="466" spans="11:11" ht="15.75" x14ac:dyDescent="0.25">
      <c r="K466" s="19"/>
    </row>
    <row r="467" spans="11:11" ht="15.75" x14ac:dyDescent="0.25">
      <c r="K467" s="19"/>
    </row>
    <row r="468" spans="11:11" ht="15.75" x14ac:dyDescent="0.25">
      <c r="K468" s="19"/>
    </row>
    <row r="469" spans="11:11" ht="15.75" x14ac:dyDescent="0.25">
      <c r="K469" s="19"/>
    </row>
    <row r="470" spans="11:11" ht="15.75" x14ac:dyDescent="0.25">
      <c r="K470" s="19"/>
    </row>
    <row r="471" spans="11:11" ht="15.75" x14ac:dyDescent="0.25">
      <c r="K471" s="19"/>
    </row>
    <row r="472" spans="11:11" ht="15.75" x14ac:dyDescent="0.25">
      <c r="K472" s="19"/>
    </row>
    <row r="473" spans="11:11" ht="15.75" x14ac:dyDescent="0.25">
      <c r="K473" s="19"/>
    </row>
    <row r="474" spans="11:11" ht="15.75" x14ac:dyDescent="0.25">
      <c r="K474" s="19"/>
    </row>
    <row r="475" spans="11:11" ht="15.75" x14ac:dyDescent="0.25">
      <c r="K475" s="19"/>
    </row>
    <row r="476" spans="11:11" ht="15.75" x14ac:dyDescent="0.25">
      <c r="K476" s="19"/>
    </row>
    <row r="477" spans="11:11" ht="15.75" x14ac:dyDescent="0.25">
      <c r="K477" s="19"/>
    </row>
    <row r="478" spans="11:11" ht="15.75" x14ac:dyDescent="0.25">
      <c r="K478" s="19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x14ac:dyDescent="0.25">
      <c r="K514" s="44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K220:K297 G221:J222 I221:I224 A222:A231 L222:R244 H223:J223 H224 J224 H225:J226 H227:H229 I227:J238 F230:H230 H231 A232:H232 A233 H233:H234 A234:B234 A235:H237 H238 A238:A241 G239:J244 A242:B242 A243 A244:B244 H245:R245 A245:A296 B246:J249 L246:R254 D247:D251 G247:G251 D248:F253 H250:J250 B250:C256 E250:F256 G251:J252 H253:J253 D254:D256 G254:J256 G254:G258 K255:R255 L255:L263 L256:R260 H257:J257 J258:J262 H258:I264 M261:R261 L262:R262 J263:R263 J264:J265 I264:I273 L264:R297 H265:J269 H270:H273 J270:J273 H274:J274 H275:H282 J275:J282 I276:I282 H283:J290 I285:I293 H291 J291 H292:J312 A297:B297 A298:A300 K298:R300 K299:K325 A301:B301 L301:R325 A302:A374 I308:I317 H313:H314 J313:J314 H315:J328 I325:I332 K326:R330 H329:H330 J329:J333 H331:J332 K331:K348 L331:R374 H333 H334:J374 I375 K375:K464">
    <cfRule type="expression" dxfId="13" priority="6">
      <formula>CELL("row")=ROW()</formula>
    </cfRule>
  </conditionalFormatting>
  <conditionalFormatting sqref="B257:G290 B291:B300 C291:G301">
    <cfRule type="expression" dxfId="12" priority="4">
      <formula>CELL("row")=ROW()</formula>
    </cfRule>
  </conditionalFormatting>
  <conditionalFormatting sqref="B297:G350">
    <cfRule type="expression" dxfId="11" priority="2">
      <formula>CELL("row")=ROW()</formula>
    </cfRule>
  </conditionalFormatting>
  <conditionalFormatting sqref="F326:G326">
    <cfRule type="expression" dxfId="10" priority="1">
      <formula>CELL("row")=ROW()</formula>
    </cfRule>
  </conditionalFormatting>
  <conditionalFormatting sqref="G266">
    <cfRule type="expression" dxfId="9" priority="3">
      <formula>CELL("row")=ROW()</formula>
    </cfRule>
  </conditionalFormatting>
  <conditionalFormatting sqref="K376:O386 L375:O375">
    <cfRule type="expression" dxfId="8" priority="15">
      <formula>ROW(M93)=HighlightRow</formula>
    </cfRule>
  </conditionalFormatting>
  <conditionalFormatting sqref="P375:Q386">
    <cfRule type="expression" dxfId="7" priority="19">
      <formula>ROW(S93)=HighlightRow</formula>
    </cfRule>
  </conditionalFormatting>
  <conditionalFormatting sqref="S105:XFD105">
    <cfRule type="expression" dxfId="6" priority="20">
      <formula>ROW(T94)=HighlightRow</formula>
    </cfRule>
  </conditionalFormatting>
  <conditionalFormatting sqref="S106:XFD114">
    <cfRule type="expression" dxfId="5" priority="17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825" zoomScaleNormal="100" workbookViewId="0">
      <selection activeCell="C838" sqref="C83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38"/>
  <sheetViews>
    <sheetView topLeftCell="A124" zoomScale="85" zoomScaleNormal="85" workbookViewId="0">
      <selection activeCell="G144" sqref="G144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9149776065</v>
      </c>
      <c r="D3" s="19" t="s">
        <v>6666</v>
      </c>
      <c r="E3" s="19" t="s">
        <v>6646</v>
      </c>
      <c r="F3" s="21">
        <v>45988</v>
      </c>
      <c r="G3" s="21" t="s">
        <v>341</v>
      </c>
      <c r="H3" s="19" t="s">
        <v>6665</v>
      </c>
    </row>
    <row r="4" spans="1:8" ht="15.75" x14ac:dyDescent="0.25">
      <c r="A4" s="19">
        <f t="shared" si="0"/>
        <v>2</v>
      </c>
      <c r="B4" s="19" t="s">
        <v>6678</v>
      </c>
      <c r="C4" s="19">
        <v>9541678338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6677</v>
      </c>
      <c r="C5" s="19">
        <v>7889419489</v>
      </c>
      <c r="D5" s="19" t="s">
        <v>6672</v>
      </c>
      <c r="E5" s="19" t="s">
        <v>6635</v>
      </c>
      <c r="F5" s="21">
        <v>45988</v>
      </c>
      <c r="G5" s="21" t="s">
        <v>341</v>
      </c>
      <c r="H5" s="19" t="s">
        <v>6665</v>
      </c>
    </row>
    <row r="6" spans="1:8" ht="15.75" x14ac:dyDescent="0.25">
      <c r="A6" s="19">
        <f t="shared" si="0"/>
        <v>4</v>
      </c>
      <c r="B6" s="19" t="s">
        <v>6673</v>
      </c>
      <c r="C6" s="19">
        <v>8492026116</v>
      </c>
      <c r="D6" s="19" t="s">
        <v>6674</v>
      </c>
      <c r="E6" s="19" t="s">
        <v>6648</v>
      </c>
      <c r="F6" s="21">
        <v>45988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6675</v>
      </c>
      <c r="C7" s="19">
        <v>6005348991</v>
      </c>
      <c r="D7" s="19" t="s">
        <v>6663</v>
      </c>
      <c r="E7" s="19" t="s">
        <v>6664</v>
      </c>
      <c r="F7" s="21">
        <v>45988.500694444447</v>
      </c>
      <c r="G7" s="19" t="s">
        <v>398</v>
      </c>
      <c r="H7" s="19" t="s">
        <v>6665</v>
      </c>
    </row>
    <row r="8" spans="1:8" ht="15.75" x14ac:dyDescent="0.25">
      <c r="A8" s="19">
        <f t="shared" si="0"/>
        <v>6</v>
      </c>
      <c r="B8" s="19" t="s">
        <v>6612</v>
      </c>
      <c r="C8" s="19">
        <v>9906619090</v>
      </c>
      <c r="D8" s="19" t="s">
        <v>6693</v>
      </c>
      <c r="E8" s="19" t="s">
        <v>6613</v>
      </c>
      <c r="F8" s="21">
        <v>45989</v>
      </c>
      <c r="G8" s="21" t="s">
        <v>341</v>
      </c>
      <c r="H8" s="19" t="s">
        <v>6665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6700</v>
      </c>
      <c r="E9" s="19" t="s">
        <v>6699</v>
      </c>
      <c r="F9" s="21">
        <v>45990</v>
      </c>
      <c r="G9" s="21" t="s">
        <v>341</v>
      </c>
      <c r="H9" s="19" t="s">
        <v>6665</v>
      </c>
    </row>
    <row r="10" spans="1:8" ht="15.75" x14ac:dyDescent="0.25">
      <c r="A10" s="19">
        <f t="shared" si="0"/>
        <v>8</v>
      </c>
      <c r="B10" s="19" t="s">
        <v>6595</v>
      </c>
      <c r="C10" s="19">
        <v>7006164327</v>
      </c>
      <c r="D10" s="19" t="s">
        <v>6706</v>
      </c>
      <c r="E10" s="19" t="s">
        <v>6601</v>
      </c>
      <c r="F10" s="21">
        <v>45990</v>
      </c>
      <c r="G10" s="21" t="s">
        <v>342</v>
      </c>
      <c r="H10" s="19" t="s">
        <v>6665</v>
      </c>
    </row>
    <row r="11" spans="1:8" ht="15.75" x14ac:dyDescent="0.25">
      <c r="A11" s="19">
        <f t="shared" si="0"/>
        <v>9</v>
      </c>
      <c r="B11" s="19" t="s">
        <v>6705</v>
      </c>
      <c r="C11" s="19">
        <v>8825050044</v>
      </c>
      <c r="D11" s="19" t="s">
        <v>6707</v>
      </c>
      <c r="E11" s="19" t="s">
        <v>6602</v>
      </c>
      <c r="F11" s="21">
        <v>45990</v>
      </c>
      <c r="G11" s="21" t="s">
        <v>342</v>
      </c>
      <c r="H11" s="21" t="s">
        <v>6665</v>
      </c>
    </row>
    <row r="12" spans="1:8" ht="15.75" x14ac:dyDescent="0.25">
      <c r="A12" s="19">
        <f t="shared" si="0"/>
        <v>10</v>
      </c>
      <c r="B12" s="19" t="s">
        <v>6563</v>
      </c>
      <c r="C12" s="19">
        <v>9906463872</v>
      </c>
      <c r="D12" s="19" t="s">
        <v>6708</v>
      </c>
      <c r="E12" s="19" t="s">
        <v>6566</v>
      </c>
      <c r="F12" s="21">
        <v>45990</v>
      </c>
      <c r="G12" s="21" t="s">
        <v>342</v>
      </c>
      <c r="H12" s="21" t="s">
        <v>6665</v>
      </c>
    </row>
    <row r="13" spans="1:8" ht="15.75" x14ac:dyDescent="0.25">
      <c r="A13" s="19">
        <f t="shared" si="0"/>
        <v>11</v>
      </c>
      <c r="B13" s="19" t="s">
        <v>6579</v>
      </c>
      <c r="C13" s="19">
        <v>8825052137</v>
      </c>
      <c r="D13" s="19" t="s">
        <v>6709</v>
      </c>
      <c r="E13" s="19" t="s">
        <v>6583</v>
      </c>
      <c r="F13" s="21">
        <v>45992</v>
      </c>
      <c r="G13" s="21" t="s">
        <v>342</v>
      </c>
      <c r="H13" s="21" t="s">
        <v>6665</v>
      </c>
    </row>
    <row r="14" spans="1:8" ht="15.75" x14ac:dyDescent="0.25">
      <c r="A14" s="19">
        <f t="shared" si="0"/>
        <v>12</v>
      </c>
      <c r="B14" s="19" t="s">
        <v>6703</v>
      </c>
      <c r="C14" s="19">
        <v>9682522876</v>
      </c>
      <c r="D14" s="19" t="s">
        <v>6714</v>
      </c>
      <c r="E14" s="19" t="s">
        <v>6715</v>
      </c>
      <c r="F14" s="21">
        <v>45992</v>
      </c>
      <c r="G14" s="21" t="s">
        <v>341</v>
      </c>
      <c r="H14" s="21" t="s">
        <v>6665</v>
      </c>
    </row>
    <row r="15" spans="1:8" ht="15.75" x14ac:dyDescent="0.25">
      <c r="A15" s="19">
        <f t="shared" si="0"/>
        <v>13</v>
      </c>
      <c r="B15" s="19" t="s">
        <v>6712</v>
      </c>
      <c r="C15" s="19">
        <v>9796997678</v>
      </c>
      <c r="D15" s="19" t="s">
        <v>6713</v>
      </c>
      <c r="E15" s="19" t="s">
        <v>4845</v>
      </c>
      <c r="F15" s="21">
        <v>45994</v>
      </c>
      <c r="G15" s="21" t="s">
        <v>341</v>
      </c>
      <c r="H15" s="21" t="s">
        <v>6665</v>
      </c>
    </row>
    <row r="16" spans="1:8" ht="15.75" x14ac:dyDescent="0.25">
      <c r="A16" s="19">
        <f t="shared" si="0"/>
        <v>14</v>
      </c>
      <c r="B16" s="19" t="s">
        <v>6725</v>
      </c>
      <c r="C16" s="19">
        <v>6005447751</v>
      </c>
      <c r="D16" s="19" t="s">
        <v>6726</v>
      </c>
      <c r="E16" s="19" t="s">
        <v>6455</v>
      </c>
      <c r="F16" s="21">
        <v>45994</v>
      </c>
      <c r="G16" s="21" t="s">
        <v>342</v>
      </c>
      <c r="H16" s="21" t="s">
        <v>6665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6748</v>
      </c>
      <c r="E17" s="19" t="s">
        <v>6728</v>
      </c>
      <c r="F17" s="21">
        <v>45994</v>
      </c>
      <c r="G17" s="21" t="s">
        <v>341</v>
      </c>
      <c r="H17" s="21" t="s">
        <v>6665</v>
      </c>
    </row>
    <row r="18" spans="1:13" ht="15.75" x14ac:dyDescent="0.25">
      <c r="A18" s="19">
        <f t="shared" si="0"/>
        <v>16</v>
      </c>
      <c r="B18" s="19" t="s">
        <v>6737</v>
      </c>
      <c r="C18" s="19">
        <v>9906892680</v>
      </c>
      <c r="D18" s="19" t="s">
        <v>6746</v>
      </c>
      <c r="E18" s="19" t="s">
        <v>6734</v>
      </c>
      <c r="F18" s="21">
        <v>45994</v>
      </c>
      <c r="G18" s="21" t="s">
        <v>341</v>
      </c>
      <c r="H18" s="21" t="s">
        <v>6665</v>
      </c>
    </row>
    <row r="19" spans="1:13" ht="15.75" x14ac:dyDescent="0.25">
      <c r="A19" s="19">
        <f t="shared" si="0"/>
        <v>17</v>
      </c>
      <c r="B19" s="19" t="s">
        <v>6730</v>
      </c>
      <c r="C19" s="19">
        <v>9622839355</v>
      </c>
      <c r="D19" s="19" t="s">
        <v>6745</v>
      </c>
      <c r="E19" s="19" t="s">
        <v>6741</v>
      </c>
      <c r="F19" s="21">
        <v>45994</v>
      </c>
      <c r="G19" s="21" t="s">
        <v>341</v>
      </c>
      <c r="H19" s="21" t="s">
        <v>6665</v>
      </c>
    </row>
    <row r="20" spans="1:13" ht="15.75" x14ac:dyDescent="0.25">
      <c r="A20" s="19">
        <f t="shared" si="0"/>
        <v>18</v>
      </c>
      <c r="B20" s="19" t="s">
        <v>6626</v>
      </c>
      <c r="C20" s="19">
        <v>9906454751</v>
      </c>
      <c r="D20" s="19" t="s">
        <v>6747</v>
      </c>
      <c r="E20" s="19" t="s">
        <v>6740</v>
      </c>
      <c r="F20" s="21">
        <v>45994</v>
      </c>
      <c r="G20" s="21" t="s">
        <v>341</v>
      </c>
      <c r="H20" s="21" t="s">
        <v>6665</v>
      </c>
    </row>
    <row r="21" spans="1:13" ht="15.75" x14ac:dyDescent="0.25">
      <c r="A21" s="19">
        <f t="shared" si="0"/>
        <v>19</v>
      </c>
      <c r="B21" s="19" t="s">
        <v>6777</v>
      </c>
      <c r="C21" s="19">
        <v>7780824558</v>
      </c>
      <c r="D21" s="19" t="s">
        <v>6778</v>
      </c>
      <c r="E21" s="19" t="s">
        <v>6764</v>
      </c>
      <c r="F21" s="21">
        <v>45995</v>
      </c>
      <c r="G21" s="21" t="s">
        <v>342</v>
      </c>
      <c r="H21" s="19" t="s">
        <v>6665</v>
      </c>
    </row>
    <row r="22" spans="1:13" ht="15.75" x14ac:dyDescent="0.25">
      <c r="A22" s="19">
        <f t="shared" si="0"/>
        <v>20</v>
      </c>
      <c r="B22" s="19" t="s">
        <v>6756</v>
      </c>
      <c r="C22" s="19">
        <v>8899778092</v>
      </c>
      <c r="D22" s="19" t="s">
        <v>6776</v>
      </c>
      <c r="E22" s="19" t="s">
        <v>6763</v>
      </c>
      <c r="F22" s="21">
        <v>45995</v>
      </c>
      <c r="G22" s="21" t="s">
        <v>358</v>
      </c>
      <c r="H22" s="19" t="s">
        <v>6665</v>
      </c>
    </row>
    <row r="23" spans="1:13" ht="15.75" x14ac:dyDescent="0.25">
      <c r="A23" s="19">
        <f t="shared" si="0"/>
        <v>21</v>
      </c>
      <c r="B23" s="19" t="s">
        <v>6779</v>
      </c>
      <c r="C23" s="19">
        <v>9906337730</v>
      </c>
      <c r="D23" s="19" t="s">
        <v>6780</v>
      </c>
      <c r="E23" s="19" t="s">
        <v>6765</v>
      </c>
      <c r="F23" s="21">
        <v>45995</v>
      </c>
      <c r="G23" s="21" t="s">
        <v>341</v>
      </c>
      <c r="H23" s="19" t="s">
        <v>6665</v>
      </c>
      <c r="L23" s="34"/>
      <c r="M23" s="34"/>
    </row>
    <row r="24" spans="1:13" ht="15.75" x14ac:dyDescent="0.25">
      <c r="A24" s="19">
        <f t="shared" si="0"/>
        <v>22</v>
      </c>
      <c r="B24" s="19" t="s">
        <v>6769</v>
      </c>
      <c r="C24" s="19">
        <v>9606595001</v>
      </c>
      <c r="D24" s="19" t="s">
        <v>6781</v>
      </c>
      <c r="E24" s="19" t="s">
        <v>6770</v>
      </c>
      <c r="F24" s="21">
        <v>45995</v>
      </c>
      <c r="G24" s="21" t="s">
        <v>341</v>
      </c>
      <c r="H24" s="19" t="s">
        <v>6665</v>
      </c>
      <c r="L24" s="33"/>
      <c r="M24" s="33"/>
    </row>
    <row r="25" spans="1:13" ht="15.75" x14ac:dyDescent="0.25">
      <c r="A25" s="19">
        <f t="shared" si="0"/>
        <v>23</v>
      </c>
      <c r="B25" s="43" t="s">
        <v>6792</v>
      </c>
      <c r="C25" s="43">
        <v>7006748463</v>
      </c>
      <c r="D25" s="43" t="s">
        <v>6796</v>
      </c>
      <c r="E25" s="43" t="s">
        <v>6795</v>
      </c>
      <c r="F25" s="21">
        <v>45996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6797</v>
      </c>
      <c r="E26" s="43" t="s">
        <v>6789</v>
      </c>
      <c r="F26" s="21">
        <v>45996</v>
      </c>
      <c r="G26" s="21" t="s">
        <v>341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6804</v>
      </c>
      <c r="C27" s="43">
        <v>7006009589</v>
      </c>
      <c r="D27" s="43" t="s">
        <v>6837</v>
      </c>
      <c r="E27" s="43" t="s">
        <v>6821</v>
      </c>
      <c r="F27" s="21">
        <v>45999</v>
      </c>
      <c r="G27" s="21" t="s">
        <v>341</v>
      </c>
      <c r="H27" s="19" t="s">
        <v>6665</v>
      </c>
    </row>
    <row r="28" spans="1:13" ht="15.75" x14ac:dyDescent="0.25">
      <c r="A28" s="19">
        <f t="shared" si="0"/>
        <v>26</v>
      </c>
      <c r="B28" s="43" t="s">
        <v>6829</v>
      </c>
      <c r="C28" s="43">
        <v>7006154383</v>
      </c>
      <c r="D28" s="43" t="s">
        <v>6880</v>
      </c>
      <c r="E28" s="43" t="s">
        <v>6842</v>
      </c>
      <c r="F28" s="21">
        <v>45999</v>
      </c>
      <c r="G28" s="21" t="s">
        <v>341</v>
      </c>
      <c r="H28" s="19" t="s">
        <v>6665</v>
      </c>
    </row>
    <row r="29" spans="1:13" ht="15.75" x14ac:dyDescent="0.25">
      <c r="A29" s="19">
        <f t="shared" si="0"/>
        <v>27</v>
      </c>
      <c r="B29" s="43" t="s">
        <v>6817</v>
      </c>
      <c r="C29" s="43">
        <v>8493043123</v>
      </c>
      <c r="D29" s="43" t="s">
        <v>6879</v>
      </c>
      <c r="E29" s="43" t="s">
        <v>6822</v>
      </c>
      <c r="F29" s="21">
        <v>45999</v>
      </c>
      <c r="G29" s="21" t="s">
        <v>341</v>
      </c>
      <c r="H29" s="19" t="s">
        <v>6665</v>
      </c>
    </row>
    <row r="30" spans="1:13" ht="15.75" x14ac:dyDescent="0.25">
      <c r="A30" s="19">
        <f t="shared" si="0"/>
        <v>28</v>
      </c>
      <c r="B30" s="43" t="s">
        <v>6887</v>
      </c>
      <c r="C30" s="43">
        <v>9149984428</v>
      </c>
      <c r="D30" s="43" t="s">
        <v>6888</v>
      </c>
      <c r="E30" s="43" t="s">
        <v>6889</v>
      </c>
      <c r="F30" s="21">
        <v>45999</v>
      </c>
      <c r="G30" s="21" t="s">
        <v>341</v>
      </c>
      <c r="H30" s="19" t="s">
        <v>6665</v>
      </c>
    </row>
    <row r="31" spans="1:13" ht="15.75" x14ac:dyDescent="0.25">
      <c r="A31" s="19">
        <f t="shared" si="0"/>
        <v>29</v>
      </c>
      <c r="B31" s="43" t="s">
        <v>6832</v>
      </c>
      <c r="C31" s="43">
        <v>9797004941</v>
      </c>
      <c r="D31" s="43" t="s">
        <v>6890</v>
      </c>
      <c r="E31" s="43" t="s">
        <v>6849</v>
      </c>
      <c r="F31" s="21">
        <v>45999</v>
      </c>
      <c r="G31" s="21" t="s">
        <v>341</v>
      </c>
      <c r="H31" s="19" t="s">
        <v>6665</v>
      </c>
    </row>
    <row r="32" spans="1:13" ht="15.75" x14ac:dyDescent="0.25">
      <c r="A32" s="19">
        <f t="shared" si="0"/>
        <v>30</v>
      </c>
      <c r="B32" s="43" t="s">
        <v>6528</v>
      </c>
      <c r="C32" s="43">
        <v>7006565560</v>
      </c>
      <c r="D32" s="43" t="s">
        <v>6936</v>
      </c>
      <c r="E32" s="43" t="s">
        <v>6533</v>
      </c>
      <c r="F32" s="21">
        <v>46000</v>
      </c>
      <c r="G32" s="21" t="s">
        <v>341</v>
      </c>
      <c r="H32" s="19" t="s">
        <v>6665</v>
      </c>
    </row>
    <row r="33" spans="1:14" ht="15.75" x14ac:dyDescent="0.25">
      <c r="A33" s="19">
        <f t="shared" si="0"/>
        <v>31</v>
      </c>
      <c r="B33" s="43" t="s">
        <v>6898</v>
      </c>
      <c r="C33" s="43">
        <v>9906488569</v>
      </c>
      <c r="D33" s="43" t="s">
        <v>6947</v>
      </c>
      <c r="E33" s="43" t="s">
        <v>6899</v>
      </c>
      <c r="F33" s="21">
        <v>46000</v>
      </c>
      <c r="G33" s="21" t="s">
        <v>341</v>
      </c>
      <c r="H33" s="19" t="s">
        <v>6665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6949</v>
      </c>
      <c r="E34" s="43" t="s">
        <v>6941</v>
      </c>
      <c r="F34" s="21">
        <v>46000</v>
      </c>
      <c r="G34" s="21" t="s">
        <v>341</v>
      </c>
      <c r="H34" s="19" t="s">
        <v>6665</v>
      </c>
    </row>
    <row r="35" spans="1:14" ht="15.75" x14ac:dyDescent="0.25">
      <c r="A35" s="19">
        <f t="shared" ref="A35:A66" si="1">ROW()-2</f>
        <v>33</v>
      </c>
      <c r="B35" s="43" t="s">
        <v>6932</v>
      </c>
      <c r="C35" s="43">
        <v>9419052455</v>
      </c>
      <c r="D35" s="43" t="s">
        <v>6950</v>
      </c>
      <c r="E35" s="43" t="s">
        <v>6937</v>
      </c>
      <c r="F35" s="21">
        <v>46000</v>
      </c>
      <c r="G35" s="21" t="s">
        <v>341</v>
      </c>
      <c r="H35" s="19" t="s">
        <v>6665</v>
      </c>
    </row>
    <row r="36" spans="1:14" ht="15.75" x14ac:dyDescent="0.25">
      <c r="A36" s="19">
        <f t="shared" si="1"/>
        <v>34</v>
      </c>
      <c r="B36" s="43" t="s">
        <v>6840</v>
      </c>
      <c r="C36" s="43">
        <v>9682362746</v>
      </c>
      <c r="D36" s="43" t="s">
        <v>6957</v>
      </c>
      <c r="E36" s="43" t="s">
        <v>6848</v>
      </c>
      <c r="F36" s="21">
        <v>46001</v>
      </c>
      <c r="G36" s="21" t="s">
        <v>341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6958</v>
      </c>
      <c r="C37" s="43">
        <v>7889471670</v>
      </c>
      <c r="D37" s="43" t="s">
        <v>6959</v>
      </c>
      <c r="E37" s="43" t="s">
        <v>6946</v>
      </c>
      <c r="F37" s="21">
        <v>46001</v>
      </c>
      <c r="G37" s="21" t="s">
        <v>341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6966</v>
      </c>
      <c r="C38" s="43">
        <v>7889467793</v>
      </c>
      <c r="D38" s="43" t="s">
        <v>6978</v>
      </c>
      <c r="E38" s="43" t="s">
        <v>6974</v>
      </c>
      <c r="F38" s="21">
        <v>46001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6977</v>
      </c>
      <c r="E39" s="43" t="s">
        <v>6973</v>
      </c>
      <c r="F39" s="21">
        <v>46001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6962</v>
      </c>
      <c r="C40" s="43">
        <v>9103172002</v>
      </c>
      <c r="D40" s="43" t="s">
        <v>6976</v>
      </c>
      <c r="E40" s="43" t="s">
        <v>6972</v>
      </c>
      <c r="F40" s="21">
        <v>46001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6981</v>
      </c>
      <c r="C41" s="43">
        <v>9797126573</v>
      </c>
      <c r="D41" s="43" t="s">
        <v>6991</v>
      </c>
      <c r="E41" s="43" t="s">
        <v>6985</v>
      </c>
      <c r="F41" s="21">
        <v>46001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7030</v>
      </c>
      <c r="C42" s="43">
        <v>8082636745</v>
      </c>
      <c r="D42" s="43" t="s">
        <v>7034</v>
      </c>
      <c r="E42" s="43" t="s">
        <v>7028</v>
      </c>
      <c r="F42" s="21">
        <v>46003</v>
      </c>
      <c r="G42" s="21" t="s">
        <v>341</v>
      </c>
      <c r="H42" s="19" t="s">
        <v>6665</v>
      </c>
    </row>
    <row r="43" spans="1:14" ht="15.75" x14ac:dyDescent="0.25">
      <c r="A43" s="19">
        <f t="shared" si="1"/>
        <v>41</v>
      </c>
      <c r="B43" s="43" t="s">
        <v>7029</v>
      </c>
      <c r="C43" s="43">
        <v>9541537572</v>
      </c>
      <c r="D43" s="43" t="s">
        <v>7033</v>
      </c>
      <c r="E43" s="43" t="s">
        <v>7009</v>
      </c>
      <c r="F43" s="21">
        <v>46003</v>
      </c>
      <c r="G43" s="21" t="s">
        <v>341</v>
      </c>
      <c r="H43" s="19" t="s">
        <v>6665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7032</v>
      </c>
      <c r="E44" s="43" t="s">
        <v>7026</v>
      </c>
      <c r="F44" s="21">
        <v>46003</v>
      </c>
      <c r="G44" s="21" t="s">
        <v>341</v>
      </c>
      <c r="H44" s="19" t="s">
        <v>6665</v>
      </c>
    </row>
    <row r="45" spans="1:14" ht="15.75" x14ac:dyDescent="0.25">
      <c r="A45" s="19">
        <f t="shared" si="1"/>
        <v>43</v>
      </c>
      <c r="B45" s="43" t="s">
        <v>7004</v>
      </c>
      <c r="C45" s="43">
        <v>9149852485</v>
      </c>
      <c r="D45" s="43" t="s">
        <v>7031</v>
      </c>
      <c r="E45" s="43" t="s">
        <v>7027</v>
      </c>
      <c r="F45" s="21">
        <v>46003</v>
      </c>
      <c r="G45" s="21" t="s">
        <v>341</v>
      </c>
      <c r="H45" s="19" t="s">
        <v>6665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7036</v>
      </c>
      <c r="C46" s="43">
        <v>9469001234</v>
      </c>
      <c r="D46" s="43" t="s">
        <v>7037</v>
      </c>
      <c r="E46" s="43" t="s">
        <v>7038</v>
      </c>
      <c r="F46" s="21">
        <v>46003</v>
      </c>
      <c r="G46" s="21" t="s">
        <v>341</v>
      </c>
      <c r="H46" s="19" t="s">
        <v>6665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7047</v>
      </c>
      <c r="C47" s="43">
        <v>9622901567</v>
      </c>
      <c r="D47" s="43" t="s">
        <v>7078</v>
      </c>
      <c r="E47" s="43" t="s">
        <v>7065</v>
      </c>
      <c r="F47" s="21">
        <v>46003</v>
      </c>
      <c r="G47" s="21" t="s">
        <v>341</v>
      </c>
      <c r="H47" s="19" t="s">
        <v>6665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7079</v>
      </c>
      <c r="C48" s="43">
        <v>9419015767</v>
      </c>
      <c r="D48" s="43" t="s">
        <v>7080</v>
      </c>
      <c r="E48" s="43" t="s">
        <v>7063</v>
      </c>
      <c r="F48" s="21">
        <v>46003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7081</v>
      </c>
      <c r="C49" s="43">
        <v>9419705595</v>
      </c>
      <c r="D49" s="43" t="s">
        <v>7082</v>
      </c>
      <c r="E49" s="43" t="s">
        <v>7075</v>
      </c>
      <c r="F49" s="21">
        <v>46003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7061</v>
      </c>
      <c r="C50" s="43">
        <v>9682101195</v>
      </c>
      <c r="D50" s="43" t="s">
        <v>7083</v>
      </c>
      <c r="E50" s="43" t="s">
        <v>7076</v>
      </c>
      <c r="F50" s="21">
        <v>46003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7087</v>
      </c>
      <c r="E51" s="43" t="s">
        <v>178</v>
      </c>
      <c r="F51" s="21">
        <v>46004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7088</v>
      </c>
      <c r="E52" s="43" t="s">
        <v>1972</v>
      </c>
      <c r="F52" s="21">
        <v>46004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7093</v>
      </c>
      <c r="C53" s="43">
        <v>7006296665</v>
      </c>
      <c r="D53" s="43" t="s">
        <v>7111</v>
      </c>
      <c r="E53" s="43" t="s">
        <v>7094</v>
      </c>
      <c r="F53" s="21">
        <v>46004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7102</v>
      </c>
      <c r="C54" s="43">
        <v>7006224132</v>
      </c>
      <c r="D54" s="43" t="s">
        <v>7110</v>
      </c>
      <c r="E54" s="43" t="s">
        <v>7109</v>
      </c>
      <c r="F54" s="21">
        <v>46004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6096</v>
      </c>
      <c r="C55" s="43">
        <v>7006205953</v>
      </c>
      <c r="D55" s="43" t="s">
        <v>7116</v>
      </c>
      <c r="E55" s="43" t="s">
        <v>6983</v>
      </c>
      <c r="F55" s="21">
        <v>46006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7119</v>
      </c>
      <c r="C56" s="43">
        <v>7006159140</v>
      </c>
      <c r="D56" s="43" t="s">
        <v>7137</v>
      </c>
      <c r="E56" s="43" t="s">
        <v>7121</v>
      </c>
      <c r="F56" s="21">
        <v>46006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7125</v>
      </c>
      <c r="C57" s="43">
        <v>7006417231</v>
      </c>
      <c r="D57" s="43" t="s">
        <v>7138</v>
      </c>
      <c r="E57" s="43" t="s">
        <v>7127</v>
      </c>
      <c r="F57" s="21">
        <v>46006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7134</v>
      </c>
      <c r="C58" s="43">
        <v>9419007332</v>
      </c>
      <c r="D58" s="43" t="s">
        <v>7139</v>
      </c>
      <c r="E58" s="43" t="s">
        <v>7135</v>
      </c>
      <c r="F58" s="21">
        <v>46006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7130</v>
      </c>
      <c r="C59" s="43">
        <v>6006807265</v>
      </c>
      <c r="D59" s="43" t="s">
        <v>7140</v>
      </c>
      <c r="E59" s="43" t="s">
        <v>7136</v>
      </c>
      <c r="F59" s="21">
        <v>46006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7163</v>
      </c>
      <c r="C60" s="43">
        <v>8493000467</v>
      </c>
      <c r="D60" s="43" t="s">
        <v>7176</v>
      </c>
      <c r="E60" s="43" t="s">
        <v>7170</v>
      </c>
      <c r="F60" s="21">
        <v>46007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7148</v>
      </c>
      <c r="C61" s="43">
        <v>7889821425</v>
      </c>
      <c r="D61" s="43" t="s">
        <v>7175</v>
      </c>
      <c r="E61" s="43" t="s">
        <v>7173</v>
      </c>
      <c r="F61" s="21">
        <v>46007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7180</v>
      </c>
      <c r="C62" s="43">
        <v>8825095120</v>
      </c>
      <c r="D62" s="43" t="s">
        <v>7191</v>
      </c>
      <c r="E62" s="43" t="s">
        <v>7189</v>
      </c>
      <c r="F62" s="21">
        <v>46008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7190</v>
      </c>
      <c r="C63" s="43">
        <v>9622347307</v>
      </c>
      <c r="D63" s="43" t="s">
        <v>7192</v>
      </c>
      <c r="E63" s="43" t="s">
        <v>7188</v>
      </c>
      <c r="F63" s="21">
        <v>46008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7169</v>
      </c>
      <c r="C64" s="43">
        <v>9797255546</v>
      </c>
      <c r="D64" s="43" t="s">
        <v>7193</v>
      </c>
      <c r="E64" s="43" t="s">
        <v>7187</v>
      </c>
      <c r="F64" s="21">
        <v>46008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7185</v>
      </c>
      <c r="C65" s="43">
        <v>6005890836</v>
      </c>
      <c r="D65" s="43" t="s">
        <v>7194</v>
      </c>
      <c r="E65" s="43" t="s">
        <v>7186</v>
      </c>
      <c r="F65" s="21">
        <v>46008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7256</v>
      </c>
      <c r="C66" s="43">
        <v>6005634614</v>
      </c>
      <c r="D66" s="43" t="s">
        <v>7257</v>
      </c>
      <c r="E66" s="43" t="s">
        <v>7209</v>
      </c>
      <c r="F66" s="21">
        <v>46009</v>
      </c>
      <c r="G66" s="21" t="s">
        <v>341</v>
      </c>
      <c r="H66" s="19" t="s">
        <v>6665</v>
      </c>
    </row>
    <row r="67" spans="1:8" ht="15.75" x14ac:dyDescent="0.25">
      <c r="A67" s="19">
        <f t="shared" ref="A67:A130" si="2">ROW()-2</f>
        <v>65</v>
      </c>
      <c r="B67" s="43" t="s">
        <v>7254</v>
      </c>
      <c r="C67" s="43">
        <v>9419273796</v>
      </c>
      <c r="D67" s="43" t="s">
        <v>7255</v>
      </c>
      <c r="E67" s="43" t="s">
        <v>7232</v>
      </c>
      <c r="F67" s="21">
        <v>46009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7220</v>
      </c>
      <c r="C68" s="43">
        <v>6005112387</v>
      </c>
      <c r="D68" s="43" t="s">
        <v>7252</v>
      </c>
      <c r="E68" s="43" t="s">
        <v>7230</v>
      </c>
      <c r="F68" s="21">
        <v>46009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5115</v>
      </c>
      <c r="C69" s="43">
        <v>9797187246</v>
      </c>
      <c r="D69" s="43" t="s">
        <v>7253</v>
      </c>
      <c r="E69" s="43" t="s">
        <v>7235</v>
      </c>
      <c r="F69" s="21">
        <v>46009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7204</v>
      </c>
      <c r="C70" s="43">
        <v>7006565352</v>
      </c>
      <c r="D70" s="43" t="s">
        <v>7262</v>
      </c>
      <c r="E70" s="43" t="s">
        <v>7210</v>
      </c>
      <c r="F70" s="21">
        <v>46009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7264</v>
      </c>
      <c r="C71" s="43">
        <v>7006646319</v>
      </c>
      <c r="D71" s="43" t="s">
        <v>7265</v>
      </c>
      <c r="E71" s="43" t="s">
        <v>7062</v>
      </c>
      <c r="F71" s="21">
        <v>46009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7199</v>
      </c>
      <c r="C72" s="43">
        <v>9906946331</v>
      </c>
      <c r="D72" s="43" t="s">
        <v>7272</v>
      </c>
      <c r="E72" s="43" t="s">
        <v>7231</v>
      </c>
      <c r="F72" s="21">
        <v>46009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7273</v>
      </c>
      <c r="E73" s="43" t="s">
        <v>7258</v>
      </c>
      <c r="F73" s="21">
        <v>46009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7229</v>
      </c>
      <c r="C74" s="43">
        <v>8825002572</v>
      </c>
      <c r="D74" s="43" t="s">
        <v>7279</v>
      </c>
      <c r="E74" s="43" t="s">
        <v>7234</v>
      </c>
      <c r="F74" s="21">
        <v>46010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7298</v>
      </c>
      <c r="C75" s="43">
        <v>9797150382</v>
      </c>
      <c r="D75" s="43" t="s">
        <v>7319</v>
      </c>
      <c r="E75" s="43" t="s">
        <v>7299</v>
      </c>
      <c r="F75" s="21">
        <v>46011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7310</v>
      </c>
      <c r="C76" s="43">
        <v>9797913220</v>
      </c>
      <c r="D76" s="43" t="s">
        <v>7333</v>
      </c>
      <c r="E76" s="43" t="s">
        <v>7322</v>
      </c>
      <c r="F76" s="21">
        <v>46011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7328</v>
      </c>
      <c r="C77" s="43">
        <v>9622755213</v>
      </c>
      <c r="D77" s="43" t="s">
        <v>7334</v>
      </c>
      <c r="E77" s="43" t="s">
        <v>7329</v>
      </c>
      <c r="F77" s="21">
        <v>46011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7331</v>
      </c>
      <c r="C78" s="43">
        <v>9596209114</v>
      </c>
      <c r="D78" s="43" t="s">
        <v>7335</v>
      </c>
      <c r="E78" s="43" t="s">
        <v>7332</v>
      </c>
      <c r="F78" s="21">
        <v>46011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7313</v>
      </c>
      <c r="C79" s="43">
        <v>7006878734</v>
      </c>
      <c r="D79" s="43" t="s">
        <v>7336</v>
      </c>
      <c r="E79" s="43" t="s">
        <v>7321</v>
      </c>
      <c r="F79" s="21">
        <v>46011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7338</v>
      </c>
      <c r="C80" s="43">
        <v>8899903781</v>
      </c>
      <c r="D80" s="43" t="s">
        <v>7337</v>
      </c>
      <c r="E80" s="43" t="s">
        <v>1001</v>
      </c>
      <c r="F80" s="21">
        <v>46011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7291</v>
      </c>
      <c r="C81" s="43">
        <v>9018112121</v>
      </c>
      <c r="D81" s="43" t="s">
        <v>7349</v>
      </c>
      <c r="E81" s="43" t="s">
        <v>7293</v>
      </c>
      <c r="F81" s="21">
        <v>46011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6571</v>
      </c>
      <c r="C82" s="43">
        <v>9797300880</v>
      </c>
      <c r="D82" s="43" t="s">
        <v>7350</v>
      </c>
      <c r="E82" s="43" t="s">
        <v>6574</v>
      </c>
      <c r="F82" s="21">
        <v>46011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7366</v>
      </c>
      <c r="C83" s="43">
        <v>7780927793</v>
      </c>
      <c r="D83" s="43" t="s">
        <v>7388</v>
      </c>
      <c r="E83" s="43" t="s">
        <v>7377</v>
      </c>
      <c r="F83" s="21">
        <v>46013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7354</v>
      </c>
      <c r="C84" s="43">
        <v>7006028890</v>
      </c>
      <c r="D84" s="43" t="s">
        <v>7389</v>
      </c>
      <c r="E84" s="43" t="s">
        <v>7375</v>
      </c>
      <c r="F84" s="21">
        <v>46013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7417</v>
      </c>
      <c r="C85" s="43">
        <v>8491813907</v>
      </c>
      <c r="D85" s="43" t="s">
        <v>7418</v>
      </c>
      <c r="E85" s="43" t="s">
        <v>6513</v>
      </c>
      <c r="F85" s="21">
        <v>46013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7396</v>
      </c>
      <c r="C86" s="43">
        <v>7006740143</v>
      </c>
      <c r="D86" s="43" t="s">
        <v>7423</v>
      </c>
      <c r="E86" s="43" t="s">
        <v>7397</v>
      </c>
      <c r="F86" s="21">
        <v>46014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7401</v>
      </c>
      <c r="C87" s="43">
        <v>9906387311</v>
      </c>
      <c r="D87" s="43" t="s">
        <v>7422</v>
      </c>
      <c r="E87" s="43" t="s">
        <v>7405</v>
      </c>
      <c r="F87" s="21">
        <v>46014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7411</v>
      </c>
      <c r="C88" s="43">
        <v>8899080830</v>
      </c>
      <c r="D88" s="43" t="s">
        <v>7424</v>
      </c>
      <c r="E88" s="43" t="s">
        <v>7420</v>
      </c>
      <c r="F88" s="21">
        <v>46014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357</v>
      </c>
      <c r="C89" s="43">
        <v>7006804594</v>
      </c>
      <c r="D89" s="43" t="s">
        <v>7425</v>
      </c>
      <c r="E89" s="43" t="s">
        <v>7419</v>
      </c>
      <c r="F89" s="21">
        <v>46014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7437</v>
      </c>
      <c r="C90" s="43">
        <v>9906998728</v>
      </c>
      <c r="D90" s="43" t="s">
        <v>7442</v>
      </c>
      <c r="E90" s="43" t="s">
        <v>7441</v>
      </c>
      <c r="F90" s="21">
        <v>46014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7393</v>
      </c>
      <c r="C91" s="43">
        <v>9622737390</v>
      </c>
      <c r="D91" s="43" t="s">
        <v>7440</v>
      </c>
      <c r="E91" s="43" t="s">
        <v>7404</v>
      </c>
      <c r="F91" s="21">
        <v>46014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7415</v>
      </c>
      <c r="C92" s="43">
        <v>7780857793</v>
      </c>
      <c r="D92" s="43" t="s">
        <v>7439</v>
      </c>
      <c r="E92" s="43" t="s">
        <v>7421</v>
      </c>
      <c r="F92" s="21">
        <v>46014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7546</v>
      </c>
      <c r="C93" s="43">
        <v>7889605207</v>
      </c>
      <c r="D93" s="43" t="s">
        <v>7547</v>
      </c>
      <c r="E93" s="43" t="s">
        <v>7347</v>
      </c>
      <c r="F93" s="21">
        <v>46016</v>
      </c>
      <c r="G93" s="21" t="s">
        <v>341</v>
      </c>
      <c r="H93" s="19" t="s">
        <v>6665</v>
      </c>
    </row>
    <row r="94" spans="1:13" ht="15.75" x14ac:dyDescent="0.25">
      <c r="A94" s="19">
        <f t="shared" si="2"/>
        <v>92</v>
      </c>
      <c r="B94" s="43" t="s">
        <v>7346</v>
      </c>
      <c r="C94" s="43">
        <v>7006565342</v>
      </c>
      <c r="D94" s="43" t="s">
        <v>7548</v>
      </c>
      <c r="E94" s="43" t="s">
        <v>7348</v>
      </c>
      <c r="F94" s="21">
        <v>46016</v>
      </c>
      <c r="G94" s="21" t="s">
        <v>341</v>
      </c>
      <c r="H94" s="19" t="s">
        <v>6665</v>
      </c>
    </row>
    <row r="95" spans="1:13" ht="15.75" x14ac:dyDescent="0.25">
      <c r="A95" s="19">
        <f t="shared" si="2"/>
        <v>93</v>
      </c>
      <c r="B95" s="43" t="s">
        <v>7463</v>
      </c>
      <c r="C95" s="43">
        <v>9018754974</v>
      </c>
      <c r="D95" s="43" t="s">
        <v>7549</v>
      </c>
      <c r="E95" s="43" t="s">
        <v>7489</v>
      </c>
      <c r="F95" s="21">
        <v>46016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7468</v>
      </c>
      <c r="C96" s="43">
        <v>9541622336</v>
      </c>
      <c r="D96" s="43" t="s">
        <v>7550</v>
      </c>
      <c r="E96" s="43" t="s">
        <v>7494</v>
      </c>
      <c r="F96" s="21">
        <v>46016</v>
      </c>
      <c r="G96" s="21" t="s">
        <v>341</v>
      </c>
      <c r="H96" s="19" t="s">
        <v>6665</v>
      </c>
      <c r="I96" s="34"/>
      <c r="J96" s="34"/>
      <c r="K96" s="34"/>
      <c r="L96" s="34"/>
      <c r="M96" s="34"/>
    </row>
    <row r="97" spans="1:13" ht="15.75" x14ac:dyDescent="0.25">
      <c r="A97" s="19">
        <f t="shared" si="2"/>
        <v>95</v>
      </c>
      <c r="B97" s="43" t="s">
        <v>7464</v>
      </c>
      <c r="C97" s="43">
        <v>7889383674</v>
      </c>
      <c r="D97" s="43" t="s">
        <v>7551</v>
      </c>
      <c r="E97" s="43" t="s">
        <v>7490</v>
      </c>
      <c r="F97" s="21">
        <v>46016</v>
      </c>
      <c r="G97" s="21" t="s">
        <v>341</v>
      </c>
      <c r="H97" s="19" t="s">
        <v>6665</v>
      </c>
      <c r="I97" s="33"/>
      <c r="J97" s="33"/>
      <c r="K97" s="33"/>
      <c r="L97" s="33"/>
      <c r="M97" s="33"/>
    </row>
    <row r="98" spans="1:13" ht="15.75" x14ac:dyDescent="0.25">
      <c r="A98" s="19">
        <f t="shared" si="2"/>
        <v>96</v>
      </c>
      <c r="B98" s="43" t="s">
        <v>7503</v>
      </c>
      <c r="C98" s="43">
        <v>6005068829</v>
      </c>
      <c r="D98" s="43" t="s">
        <v>7552</v>
      </c>
      <c r="E98" s="43" t="s">
        <v>7517</v>
      </c>
      <c r="F98" s="21">
        <v>46016</v>
      </c>
      <c r="G98" s="21" t="s">
        <v>341</v>
      </c>
      <c r="H98" s="19" t="s">
        <v>6665</v>
      </c>
    </row>
    <row r="99" spans="1:13" ht="15.75" x14ac:dyDescent="0.25">
      <c r="A99" s="19">
        <f t="shared" si="2"/>
        <v>97</v>
      </c>
      <c r="B99" s="43" t="s">
        <v>7247</v>
      </c>
      <c r="C99" s="43">
        <v>7889801873</v>
      </c>
      <c r="D99" s="43" t="s">
        <v>7553</v>
      </c>
      <c r="E99" s="43" t="s">
        <v>7261</v>
      </c>
      <c r="F99" s="21">
        <v>46016</v>
      </c>
      <c r="G99" s="21" t="s">
        <v>341</v>
      </c>
      <c r="H99" s="19" t="s">
        <v>6665</v>
      </c>
    </row>
    <row r="100" spans="1:13" ht="15.75" x14ac:dyDescent="0.25">
      <c r="A100" s="19">
        <f t="shared" si="2"/>
        <v>98</v>
      </c>
      <c r="B100" s="43" t="s">
        <v>7432</v>
      </c>
      <c r="C100" s="43">
        <v>7889474847</v>
      </c>
      <c r="D100" s="43" t="s">
        <v>7452</v>
      </c>
      <c r="E100" s="43" t="s">
        <v>7376</v>
      </c>
      <c r="F100" s="21">
        <v>46015</v>
      </c>
      <c r="G100" s="21" t="s">
        <v>341</v>
      </c>
      <c r="H100" s="19" t="s">
        <v>6665</v>
      </c>
    </row>
    <row r="101" spans="1:13" ht="15.75" x14ac:dyDescent="0.25">
      <c r="A101" s="19">
        <f t="shared" si="2"/>
        <v>99</v>
      </c>
      <c r="B101" s="43" t="s">
        <v>7357</v>
      </c>
      <c r="C101" s="43">
        <v>8491929306</v>
      </c>
      <c r="D101" s="43" t="s">
        <v>7453</v>
      </c>
      <c r="E101" s="43" t="s">
        <v>7438</v>
      </c>
      <c r="F101" s="21">
        <v>46015</v>
      </c>
      <c r="G101" s="21" t="s">
        <v>341</v>
      </c>
      <c r="H101" s="19" t="s">
        <v>6665</v>
      </c>
    </row>
    <row r="102" spans="1:13" ht="15.75" x14ac:dyDescent="0.25">
      <c r="A102" s="19">
        <f t="shared" si="2"/>
        <v>100</v>
      </c>
      <c r="B102" s="43" t="s">
        <v>7451</v>
      </c>
      <c r="C102" s="43">
        <v>7298772174</v>
      </c>
      <c r="D102" s="43" t="s">
        <v>7567</v>
      </c>
      <c r="E102" s="43" t="s">
        <v>7458</v>
      </c>
      <c r="F102" s="21">
        <v>46017</v>
      </c>
      <c r="G102" s="21" t="s">
        <v>341</v>
      </c>
      <c r="H102" s="19" t="s">
        <v>6665</v>
      </c>
    </row>
    <row r="103" spans="1:13" ht="15.75" x14ac:dyDescent="0.25">
      <c r="A103" s="19">
        <f t="shared" si="2"/>
        <v>101</v>
      </c>
      <c r="B103" s="43" t="s">
        <v>7462</v>
      </c>
      <c r="C103" s="43">
        <v>9906539681</v>
      </c>
      <c r="D103" s="43" t="s">
        <v>7568</v>
      </c>
      <c r="E103" s="43" t="s">
        <v>7488</v>
      </c>
      <c r="F103" s="21">
        <v>46017</v>
      </c>
      <c r="G103" s="21" t="s">
        <v>341</v>
      </c>
      <c r="H103" s="19" t="s">
        <v>6665</v>
      </c>
    </row>
    <row r="104" spans="1:13" ht="15.75" x14ac:dyDescent="0.25">
      <c r="A104" s="19">
        <f t="shared" si="2"/>
        <v>102</v>
      </c>
      <c r="B104" s="43" t="s">
        <v>6433</v>
      </c>
      <c r="C104" s="43">
        <v>9858321757</v>
      </c>
      <c r="D104" s="43" t="s">
        <v>7569</v>
      </c>
      <c r="E104" s="43" t="s">
        <v>7555</v>
      </c>
      <c r="F104" s="21">
        <v>46017</v>
      </c>
      <c r="G104" s="21" t="s">
        <v>341</v>
      </c>
      <c r="H104" s="19" t="s">
        <v>6665</v>
      </c>
    </row>
    <row r="105" spans="1:13" ht="15.75" x14ac:dyDescent="0.25">
      <c r="A105" s="19">
        <f t="shared" si="2"/>
        <v>103</v>
      </c>
      <c r="B105" s="43" t="s">
        <v>7570</v>
      </c>
      <c r="C105" s="43">
        <v>7889559968</v>
      </c>
      <c r="D105" s="43" t="s">
        <v>7571</v>
      </c>
      <c r="E105" s="43" t="s">
        <v>7554</v>
      </c>
      <c r="F105" s="21">
        <v>46017</v>
      </c>
      <c r="G105" s="21" t="s">
        <v>341</v>
      </c>
      <c r="H105" s="19" t="s">
        <v>6665</v>
      </c>
    </row>
    <row r="106" spans="1:13" ht="15.75" x14ac:dyDescent="0.25">
      <c r="A106" s="19">
        <f t="shared" si="2"/>
        <v>104</v>
      </c>
      <c r="B106" s="43" t="s">
        <v>6499</v>
      </c>
      <c r="C106" s="43">
        <v>7006084104</v>
      </c>
      <c r="D106" s="43" t="s">
        <v>7572</v>
      </c>
      <c r="E106" s="43" t="s">
        <v>6500</v>
      </c>
      <c r="F106" s="21"/>
      <c r="G106" s="21"/>
      <c r="H106" s="19" t="s">
        <v>7573</v>
      </c>
    </row>
    <row r="107" spans="1:13" ht="15.75" x14ac:dyDescent="0.25">
      <c r="A107" s="19">
        <f t="shared" si="2"/>
        <v>105</v>
      </c>
      <c r="B107" s="43" t="s">
        <v>7575</v>
      </c>
      <c r="C107" s="43">
        <v>9419002237</v>
      </c>
      <c r="D107" s="43" t="s">
        <v>7614</v>
      </c>
      <c r="E107" s="43" t="s">
        <v>7592</v>
      </c>
      <c r="F107" s="21">
        <v>46017</v>
      </c>
      <c r="G107" s="21" t="s">
        <v>341</v>
      </c>
      <c r="H107" s="19" t="s">
        <v>6665</v>
      </c>
    </row>
    <row r="108" spans="1:13" ht="15.75" x14ac:dyDescent="0.25">
      <c r="A108" s="19">
        <f t="shared" si="2"/>
        <v>106</v>
      </c>
      <c r="B108" s="43" t="s">
        <v>6865</v>
      </c>
      <c r="C108" s="43">
        <v>9596341802</v>
      </c>
      <c r="D108" s="43" t="s">
        <v>7619</v>
      </c>
      <c r="E108" s="43" t="s">
        <v>6873</v>
      </c>
      <c r="F108" s="21">
        <v>46017</v>
      </c>
      <c r="G108" s="21" t="s">
        <v>341</v>
      </c>
      <c r="H108" s="19" t="s">
        <v>6665</v>
      </c>
    </row>
    <row r="109" spans="1:13" ht="15.75" x14ac:dyDescent="0.25">
      <c r="A109" s="19">
        <f t="shared" si="2"/>
        <v>107</v>
      </c>
      <c r="B109" s="43" t="s">
        <v>7565</v>
      </c>
      <c r="C109" s="43">
        <v>9906918176</v>
      </c>
      <c r="D109" s="43" t="s">
        <v>7620</v>
      </c>
      <c r="E109" s="43" t="s">
        <v>7591</v>
      </c>
      <c r="F109" s="21">
        <v>46017</v>
      </c>
      <c r="G109" s="21" t="s">
        <v>341</v>
      </c>
      <c r="H109" s="19" t="s">
        <v>6665</v>
      </c>
    </row>
    <row r="110" spans="1:13" ht="15.75" x14ac:dyDescent="0.25">
      <c r="A110" s="19">
        <f t="shared" si="2"/>
        <v>108</v>
      </c>
      <c r="B110" s="43" t="s">
        <v>7609</v>
      </c>
      <c r="C110" s="43">
        <v>9149416177</v>
      </c>
      <c r="D110" s="43" t="s">
        <v>7621</v>
      </c>
      <c r="E110" s="43" t="s">
        <v>7610</v>
      </c>
      <c r="F110" s="21">
        <v>46017</v>
      </c>
      <c r="G110" s="21" t="s">
        <v>341</v>
      </c>
      <c r="H110" s="19" t="s">
        <v>6665</v>
      </c>
    </row>
    <row r="111" spans="1:13" ht="15.75" x14ac:dyDescent="0.25">
      <c r="A111" s="19">
        <f t="shared" si="2"/>
        <v>109</v>
      </c>
      <c r="B111" s="43" t="s">
        <v>7622</v>
      </c>
      <c r="C111" s="43">
        <v>7889773670</v>
      </c>
      <c r="D111" s="43" t="s">
        <v>7623</v>
      </c>
      <c r="E111" s="43" t="s">
        <v>7594</v>
      </c>
      <c r="F111" s="21">
        <v>46017</v>
      </c>
      <c r="G111" s="21" t="s">
        <v>341</v>
      </c>
      <c r="H111" s="19" t="s">
        <v>6665</v>
      </c>
    </row>
    <row r="112" spans="1:13" ht="15.75" x14ac:dyDescent="0.25">
      <c r="A112" s="19">
        <f t="shared" si="2"/>
        <v>110</v>
      </c>
      <c r="B112" s="43" t="s">
        <v>7544</v>
      </c>
      <c r="C112" s="43">
        <v>8825061187</v>
      </c>
      <c r="D112" s="43" t="s">
        <v>7624</v>
      </c>
      <c r="E112" s="43" t="s">
        <v>7556</v>
      </c>
      <c r="F112" s="21">
        <v>46017</v>
      </c>
      <c r="G112" s="21" t="s">
        <v>341</v>
      </c>
      <c r="H112" s="19" t="s">
        <v>6665</v>
      </c>
    </row>
    <row r="113" spans="1:8" ht="15.75" x14ac:dyDescent="0.25">
      <c r="A113" s="19">
        <f t="shared" si="2"/>
        <v>111</v>
      </c>
      <c r="B113" s="43" t="s">
        <v>6517</v>
      </c>
      <c r="C113" s="43">
        <v>7006812581</v>
      </c>
      <c r="D113" s="43" t="s">
        <v>7633</v>
      </c>
      <c r="E113" s="43" t="s">
        <v>6522</v>
      </c>
      <c r="F113" s="21">
        <v>46018</v>
      </c>
      <c r="G113" s="21" t="s">
        <v>341</v>
      </c>
      <c r="H113" s="19" t="s">
        <v>6665</v>
      </c>
    </row>
    <row r="114" spans="1:8" ht="15.75" x14ac:dyDescent="0.25">
      <c r="A114" s="19">
        <f t="shared" si="2"/>
        <v>112</v>
      </c>
      <c r="B114" s="43" t="s">
        <v>6486</v>
      </c>
      <c r="C114" s="43">
        <v>7051606206</v>
      </c>
      <c r="D114" s="43" t="s">
        <v>7635</v>
      </c>
      <c r="E114" s="43" t="s">
        <v>6495</v>
      </c>
      <c r="F114" s="21">
        <v>46018</v>
      </c>
      <c r="G114" s="21" t="s">
        <v>341</v>
      </c>
      <c r="H114" s="19" t="s">
        <v>6665</v>
      </c>
    </row>
    <row r="115" spans="1:8" ht="15.75" x14ac:dyDescent="0.25">
      <c r="A115" s="19">
        <f t="shared" si="2"/>
        <v>113</v>
      </c>
      <c r="B115" s="43" t="s">
        <v>7582</v>
      </c>
      <c r="C115" s="43">
        <v>7006907205</v>
      </c>
      <c r="D115" s="43" t="s">
        <v>7638</v>
      </c>
      <c r="E115" s="43" t="s">
        <v>7593</v>
      </c>
      <c r="F115" s="21">
        <v>46018</v>
      </c>
      <c r="G115" s="21" t="s">
        <v>341</v>
      </c>
      <c r="H115" s="19" t="s">
        <v>6665</v>
      </c>
    </row>
    <row r="116" spans="1:8" ht="15.75" x14ac:dyDescent="0.25">
      <c r="A116" s="19">
        <f t="shared" si="2"/>
        <v>114</v>
      </c>
      <c r="B116" s="43" t="s">
        <v>7467</v>
      </c>
      <c r="C116" s="43">
        <v>9205000009</v>
      </c>
      <c r="D116" s="43" t="s">
        <v>7674</v>
      </c>
      <c r="E116" s="43" t="s">
        <v>7493</v>
      </c>
      <c r="F116" s="21">
        <v>46019</v>
      </c>
      <c r="G116" s="21" t="s">
        <v>341</v>
      </c>
      <c r="H116" s="19" t="s">
        <v>6665</v>
      </c>
    </row>
    <row r="117" spans="1:8" ht="15.75" x14ac:dyDescent="0.25">
      <c r="A117" s="19">
        <f t="shared" si="2"/>
        <v>115</v>
      </c>
      <c r="B117" s="43" t="s">
        <v>7507</v>
      </c>
      <c r="C117" s="43">
        <v>9858727429</v>
      </c>
      <c r="D117" s="43" t="s">
        <v>7675</v>
      </c>
      <c r="E117" s="43" t="s">
        <v>7518</v>
      </c>
      <c r="F117" s="21">
        <v>46019</v>
      </c>
      <c r="G117" s="21" t="s">
        <v>341</v>
      </c>
      <c r="H117" s="19" t="s">
        <v>6665</v>
      </c>
    </row>
    <row r="118" spans="1:8" ht="15.75" x14ac:dyDescent="0.25">
      <c r="A118" s="19">
        <f t="shared" si="2"/>
        <v>116</v>
      </c>
      <c r="B118" s="43" t="s">
        <v>7429</v>
      </c>
      <c r="C118" s="43">
        <v>9797999350</v>
      </c>
      <c r="D118" s="43" t="s">
        <v>7676</v>
      </c>
      <c r="E118" s="43" t="s">
        <v>7443</v>
      </c>
      <c r="F118" s="21">
        <v>46019</v>
      </c>
      <c r="G118" s="21" t="s">
        <v>341</v>
      </c>
      <c r="H118" s="19" t="s">
        <v>6665</v>
      </c>
    </row>
    <row r="119" spans="1:8" ht="15.75" x14ac:dyDescent="0.25">
      <c r="A119" s="19">
        <f t="shared" si="2"/>
        <v>117</v>
      </c>
      <c r="B119" s="43" t="s">
        <v>7362</v>
      </c>
      <c r="C119" s="43">
        <v>6005579912</v>
      </c>
      <c r="D119" s="43" t="s">
        <v>7677</v>
      </c>
      <c r="E119" s="43" t="s">
        <v>7380</v>
      </c>
      <c r="F119" s="21">
        <v>46019</v>
      </c>
      <c r="G119" s="21" t="s">
        <v>341</v>
      </c>
      <c r="H119" s="19" t="s">
        <v>6665</v>
      </c>
    </row>
    <row r="120" spans="1:8" ht="15.75" x14ac:dyDescent="0.25">
      <c r="A120" s="19">
        <f t="shared" si="2"/>
        <v>118</v>
      </c>
      <c r="B120" s="43" t="s">
        <v>7642</v>
      </c>
      <c r="C120" s="43">
        <v>7006141977</v>
      </c>
      <c r="D120" s="43" t="s">
        <v>7678</v>
      </c>
      <c r="E120" s="43" t="s">
        <v>7652</v>
      </c>
      <c r="F120" s="21">
        <v>46019</v>
      </c>
      <c r="G120" s="21" t="s">
        <v>341</v>
      </c>
      <c r="H120" s="19" t="s">
        <v>6665</v>
      </c>
    </row>
    <row r="121" spans="1:8" ht="15.75" x14ac:dyDescent="0.25">
      <c r="A121" s="19">
        <f t="shared" si="2"/>
        <v>119</v>
      </c>
      <c r="B121" s="43" t="s">
        <v>7628</v>
      </c>
      <c r="C121" s="43">
        <v>9596366782</v>
      </c>
      <c r="D121" s="43" t="s">
        <v>7679</v>
      </c>
      <c r="E121" s="43" t="s">
        <v>7636</v>
      </c>
      <c r="F121" s="21">
        <v>46019</v>
      </c>
      <c r="G121" s="21" t="s">
        <v>341</v>
      </c>
      <c r="H121" s="19" t="s">
        <v>6665</v>
      </c>
    </row>
    <row r="122" spans="1:8" ht="15.75" x14ac:dyDescent="0.25">
      <c r="A122" s="19">
        <f t="shared" si="2"/>
        <v>120</v>
      </c>
      <c r="B122" s="43" t="s">
        <v>7680</v>
      </c>
      <c r="C122" s="43">
        <v>9906687592</v>
      </c>
      <c r="D122" s="43" t="s">
        <v>7681</v>
      </c>
      <c r="E122" s="43" t="s">
        <v>7637</v>
      </c>
      <c r="F122" s="21">
        <v>46019</v>
      </c>
      <c r="G122" s="21" t="s">
        <v>341</v>
      </c>
      <c r="H122" s="19" t="s">
        <v>6665</v>
      </c>
    </row>
    <row r="123" spans="1:8" ht="15.75" x14ac:dyDescent="0.25">
      <c r="A123" s="19">
        <f t="shared" si="2"/>
        <v>121</v>
      </c>
      <c r="B123" s="43" t="s">
        <v>7682</v>
      </c>
      <c r="C123" s="43">
        <v>9622531795</v>
      </c>
      <c r="D123" s="43" t="s">
        <v>7683</v>
      </c>
      <c r="E123" s="43" t="s">
        <v>7662</v>
      </c>
      <c r="F123" s="21">
        <v>46019</v>
      </c>
      <c r="G123" s="21" t="s">
        <v>341</v>
      </c>
      <c r="H123" s="19" t="s">
        <v>6665</v>
      </c>
    </row>
    <row r="124" spans="1:8" ht="15.75" x14ac:dyDescent="0.25">
      <c r="A124" s="19">
        <f t="shared" si="2"/>
        <v>122</v>
      </c>
      <c r="B124" s="43" t="s">
        <v>3775</v>
      </c>
      <c r="C124" s="43"/>
      <c r="D124" s="43" t="s">
        <v>7685</v>
      </c>
      <c r="E124" s="43" t="s">
        <v>3776</v>
      </c>
      <c r="F124" s="21"/>
      <c r="G124" s="21" t="s">
        <v>341</v>
      </c>
      <c r="H124" s="19" t="s">
        <v>7573</v>
      </c>
    </row>
    <row r="125" spans="1:8" ht="15.75" x14ac:dyDescent="0.25">
      <c r="A125" s="19">
        <f t="shared" si="2"/>
        <v>123</v>
      </c>
      <c r="B125" s="43" t="s">
        <v>7601</v>
      </c>
      <c r="C125" s="43">
        <v>9797222635</v>
      </c>
      <c r="D125" s="43" t="s">
        <v>7686</v>
      </c>
      <c r="E125" s="43" t="s">
        <v>7612</v>
      </c>
      <c r="F125" s="21"/>
      <c r="G125" s="21" t="s">
        <v>341</v>
      </c>
      <c r="H125" s="19" t="s">
        <v>7778</v>
      </c>
    </row>
    <row r="126" spans="1:8" ht="15.75" x14ac:dyDescent="0.25">
      <c r="A126" s="19">
        <f t="shared" si="2"/>
        <v>124</v>
      </c>
      <c r="B126" s="43" t="s">
        <v>7693</v>
      </c>
      <c r="C126" s="43">
        <v>9622716592</v>
      </c>
      <c r="D126" s="43" t="s">
        <v>7707</v>
      </c>
      <c r="E126" s="43" t="s">
        <v>7704</v>
      </c>
      <c r="F126" s="21">
        <v>46020</v>
      </c>
      <c r="G126" s="21" t="s">
        <v>341</v>
      </c>
      <c r="H126" s="19" t="s">
        <v>6665</v>
      </c>
    </row>
    <row r="127" spans="1:8" ht="15.75" x14ac:dyDescent="0.25">
      <c r="A127" s="19">
        <f t="shared" si="2"/>
        <v>125</v>
      </c>
      <c r="B127" s="43" t="s">
        <v>7656</v>
      </c>
      <c r="C127" s="43">
        <v>8715929114</v>
      </c>
      <c r="D127" s="43" t="s">
        <v>7708</v>
      </c>
      <c r="E127" s="43" t="s">
        <v>7658</v>
      </c>
      <c r="F127" s="21">
        <v>46020</v>
      </c>
      <c r="G127" s="21" t="s">
        <v>341</v>
      </c>
      <c r="H127" s="19" t="s">
        <v>6665</v>
      </c>
    </row>
    <row r="128" spans="1:8" ht="15.75" x14ac:dyDescent="0.25">
      <c r="A128" s="19">
        <f t="shared" si="2"/>
        <v>126</v>
      </c>
      <c r="B128" s="43" t="s">
        <v>7743</v>
      </c>
      <c r="C128" s="43">
        <v>7006409005</v>
      </c>
      <c r="D128" s="43" t="s">
        <v>7785</v>
      </c>
      <c r="E128" s="43" t="s">
        <v>7751</v>
      </c>
      <c r="F128" s="21">
        <v>46021</v>
      </c>
      <c r="G128" s="21" t="s">
        <v>341</v>
      </c>
      <c r="H128" s="19" t="s">
        <v>6665</v>
      </c>
    </row>
    <row r="129" spans="1:8" ht="15.75" x14ac:dyDescent="0.25">
      <c r="A129" s="19">
        <f t="shared" si="2"/>
        <v>127</v>
      </c>
      <c r="B129" s="43" t="s">
        <v>7729</v>
      </c>
      <c r="C129" s="43">
        <v>9541083744</v>
      </c>
      <c r="D129" s="43" t="s">
        <v>7786</v>
      </c>
      <c r="E129" s="43" t="s">
        <v>7748</v>
      </c>
      <c r="F129" s="21">
        <v>46022</v>
      </c>
      <c r="G129" s="21" t="s">
        <v>341</v>
      </c>
      <c r="H129" s="19" t="s">
        <v>6665</v>
      </c>
    </row>
    <row r="130" spans="1:8" ht="15.75" x14ac:dyDescent="0.25">
      <c r="A130" s="19">
        <f t="shared" si="2"/>
        <v>128</v>
      </c>
      <c r="B130" s="43" t="s">
        <v>6391</v>
      </c>
      <c r="C130" s="43">
        <v>8493055195</v>
      </c>
      <c r="D130" s="43" t="s">
        <v>7813</v>
      </c>
      <c r="E130" s="43" t="s">
        <v>6393</v>
      </c>
      <c r="F130" s="21">
        <v>46022</v>
      </c>
      <c r="G130" s="21" t="s">
        <v>341</v>
      </c>
      <c r="H130" s="19" t="s">
        <v>6665</v>
      </c>
    </row>
    <row r="131" spans="1:8" ht="15.75" x14ac:dyDescent="0.25">
      <c r="A131" s="19">
        <f t="shared" ref="A131:A138" si="3">ROW()-2</f>
        <v>129</v>
      </c>
      <c r="B131" s="43" t="s">
        <v>7790</v>
      </c>
      <c r="C131" s="43">
        <v>9419070393</v>
      </c>
      <c r="D131" s="43" t="s">
        <v>7814</v>
      </c>
      <c r="E131" s="43" t="s">
        <v>7795</v>
      </c>
      <c r="F131" s="21">
        <v>46022</v>
      </c>
      <c r="G131" s="21" t="s">
        <v>341</v>
      </c>
      <c r="H131" s="19" t="s">
        <v>6665</v>
      </c>
    </row>
    <row r="132" spans="1:8" ht="15.75" x14ac:dyDescent="0.25">
      <c r="A132" s="19">
        <f t="shared" si="3"/>
        <v>130</v>
      </c>
      <c r="B132" s="43" t="s">
        <v>7806</v>
      </c>
      <c r="C132" s="43">
        <v>7889324122</v>
      </c>
      <c r="D132" s="43" t="s">
        <v>7815</v>
      </c>
      <c r="E132" s="43" t="s">
        <v>7812</v>
      </c>
      <c r="F132" s="21">
        <v>46022</v>
      </c>
      <c r="G132" s="21" t="s">
        <v>341</v>
      </c>
      <c r="H132" s="19" t="s">
        <v>6665</v>
      </c>
    </row>
    <row r="133" spans="1:8" ht="15.75" x14ac:dyDescent="0.25">
      <c r="A133" s="19">
        <f t="shared" si="3"/>
        <v>131</v>
      </c>
      <c r="B133" s="43" t="s">
        <v>7766</v>
      </c>
      <c r="C133" s="43">
        <v>9622775800</v>
      </c>
      <c r="D133" s="43" t="s">
        <v>7816</v>
      </c>
      <c r="E133" s="43" t="s">
        <v>7768</v>
      </c>
      <c r="F133" s="21">
        <v>46022</v>
      </c>
      <c r="G133" s="21" t="s">
        <v>341</v>
      </c>
      <c r="H133" s="19" t="s">
        <v>6665</v>
      </c>
    </row>
    <row r="134" spans="1:8" ht="15.75" x14ac:dyDescent="0.25">
      <c r="A134" s="19">
        <f t="shared" si="3"/>
        <v>132</v>
      </c>
      <c r="B134" s="43" t="s">
        <v>2915</v>
      </c>
      <c r="C134" s="43">
        <v>9906625047</v>
      </c>
      <c r="D134" s="43" t="s">
        <v>7817</v>
      </c>
      <c r="E134" s="43" t="s">
        <v>7749</v>
      </c>
      <c r="F134" s="21">
        <v>46022</v>
      </c>
      <c r="G134" s="21" t="s">
        <v>341</v>
      </c>
      <c r="H134" s="19" t="s">
        <v>6665</v>
      </c>
    </row>
    <row r="135" spans="1:8" ht="15.75" x14ac:dyDescent="0.25">
      <c r="A135" s="19">
        <f t="shared" si="3"/>
        <v>133</v>
      </c>
      <c r="B135" s="43" t="s">
        <v>7878</v>
      </c>
      <c r="C135" s="43">
        <v>7889588496</v>
      </c>
      <c r="D135" s="43" t="s">
        <v>7938</v>
      </c>
      <c r="E135" s="43" t="s">
        <v>7892</v>
      </c>
      <c r="F135" s="21">
        <v>46024</v>
      </c>
      <c r="G135" s="21" t="s">
        <v>341</v>
      </c>
      <c r="H135" s="19"/>
    </row>
    <row r="136" spans="1:8" ht="15.75" x14ac:dyDescent="0.25">
      <c r="A136" s="19">
        <f t="shared" si="3"/>
        <v>134</v>
      </c>
      <c r="B136" s="43" t="s">
        <v>7939</v>
      </c>
      <c r="C136" s="43">
        <v>7006955275</v>
      </c>
      <c r="D136" s="43" t="s">
        <v>7940</v>
      </c>
      <c r="E136" s="43" t="s">
        <v>7941</v>
      </c>
      <c r="F136" s="21">
        <v>46023</v>
      </c>
      <c r="G136" s="21" t="s">
        <v>398</v>
      </c>
      <c r="H136" s="19" t="s">
        <v>6665</v>
      </c>
    </row>
    <row r="137" spans="1:8" ht="15.75" x14ac:dyDescent="0.25">
      <c r="A137" s="19">
        <f t="shared" si="3"/>
        <v>135</v>
      </c>
      <c r="B137" s="43"/>
      <c r="C137" s="43"/>
      <c r="D137" s="43"/>
      <c r="E137" s="43"/>
      <c r="F137" s="21"/>
      <c r="G137" s="21"/>
      <c r="H137" s="19"/>
    </row>
    <row r="138" spans="1:8" ht="15.75" x14ac:dyDescent="0.25">
      <c r="A138" s="19">
        <f t="shared" si="3"/>
        <v>136</v>
      </c>
      <c r="B138" s="19"/>
      <c r="C138" s="19"/>
      <c r="D138" s="19"/>
      <c r="E138" s="19"/>
      <c r="F138" s="21"/>
      <c r="G138" s="21"/>
      <c r="H138" s="19"/>
    </row>
  </sheetData>
  <mergeCells count="1">
    <mergeCell ref="A1:H1"/>
  </mergeCells>
  <conditionalFormatting sqref="B106 E106">
    <cfRule type="expression" dxfId="4" priority="5">
      <formula>CELL("row")=ROW()</formula>
    </cfRule>
  </conditionalFormatting>
  <conditionalFormatting sqref="B124:E137">
    <cfRule type="expression" dxfId="3" priority="3">
      <formula>CELL("row")=ROW()</formula>
    </cfRule>
  </conditionalFormatting>
  <conditionalFormatting sqref="C106">
    <cfRule type="expression" dxfId="2" priority="4">
      <formula>CELL("row")=ROW()</formula>
    </cfRule>
  </conditionalFormatting>
  <conditionalFormatting sqref="C125">
    <cfRule type="expression" dxfId="1" priority="1">
      <formula>CELL("row")=ROW()</formula>
    </cfRule>
  </conditionalFormatting>
  <conditionalFormatting sqref="E12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2026-01-03T12:37:46Z</dcterms:modified>
</cp:coreProperties>
</file>