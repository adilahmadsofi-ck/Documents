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2D4C1D3-66AF-455E-B5C8-4AB14A528C38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29" i="4" l="1"/>
  <c r="H730" i="4"/>
  <c r="H731" i="4"/>
  <c r="H732" i="4"/>
  <c r="A729" i="4"/>
  <c r="A730" i="4"/>
  <c r="A731" i="4"/>
  <c r="A732" i="4"/>
  <c r="A464" i="7"/>
  <c r="A465" i="7"/>
  <c r="A466" i="7"/>
  <c r="A467" i="7"/>
  <c r="H718" i="4"/>
  <c r="H719" i="4"/>
  <c r="H720" i="4"/>
  <c r="H722" i="4"/>
  <c r="H724" i="4"/>
  <c r="H723" i="4"/>
  <c r="H725" i="4"/>
  <c r="H726" i="4"/>
  <c r="H727" i="4"/>
  <c r="H728" i="4"/>
  <c r="A718" i="4"/>
  <c r="A719" i="4"/>
  <c r="A720" i="4"/>
  <c r="A722" i="4"/>
  <c r="A724" i="4"/>
  <c r="A723" i="4"/>
  <c r="A725" i="4"/>
  <c r="A726" i="4"/>
  <c r="A727" i="4"/>
  <c r="A728" i="4"/>
  <c r="H708" i="4"/>
  <c r="H709" i="4"/>
  <c r="H710" i="4"/>
  <c r="H711" i="4"/>
  <c r="H712" i="4"/>
  <c r="H713" i="4"/>
  <c r="H714" i="4"/>
  <c r="H715" i="4"/>
  <c r="H716" i="4"/>
  <c r="H721" i="4"/>
  <c r="H717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<sst xmlns="http://schemas.openxmlformats.org/spreadsheetml/2006/main" count="26174" uniqueCount="10456">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</sst>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32" totalsRowShown="0" headerRowDxfId="81" dataDxfId="80">
  <autoFilter ref="A1:R732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67" totalsRowShown="0" headerRowDxfId="91" dataDxfId="90">
  <autoFilter ref="A2:H46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89"/>
    <tableColumn id="11" xr3:uid="{7AA66E15-5D81-45A6-A480-BC2F7EFDEB4C}" name="Name" dataDxfId="88"/>
    <tableColumn id="10" xr3:uid="{DA1D923C-25B3-4F76-823C-435E6464FF55}" name="Contact" dataDxfId="87"/>
    <tableColumn id="2" xr3:uid="{5FEBD558-5EB7-4421-BA25-DCAC1134B168}" name="Barcode No." dataDxfId="86"/>
    <tableColumn id="12" xr3:uid="{77758C8B-F2C8-47C0-B104-570729F9693B}" name="Reg Num" dataDxfId="85"/>
    <tableColumn id="5" xr3:uid="{9AC97A3F-3009-4A59-ACCF-A178780E6F61}" name="Date" dataDxfId="84"/>
    <tableColumn id="7" xr3:uid="{82C8F4C5-8489-4228-83CC-0B9666328CDD}" name="CHANNEL" dataDxfId="83"/>
    <tableColumn id="8" xr3:uid="{DDF1FC61-A0D6-46E9-9515-6DDC5AB1E932}" name="Status" dataDxfId="8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6" dataDxfId="35">
  <autoFilter ref="A2:I9" xr:uid="{74ED0DA7-B29F-4043-B63E-2DC322D6021E}"/>
  <tableColumns count="9">
    <tableColumn id="1" xr3:uid="{245016D5-DEB3-4F3E-B449-3096C2EF947B}" name="S.No." dataDxfId="34">
      <calculatedColumnFormula>ROW()-2</calculatedColumnFormula>
    </tableColumn>
    <tableColumn id="2" xr3:uid="{77ED4F47-8FDC-4F18-AB35-3830D899313B}" name="Dated" dataDxfId="33"/>
    <tableColumn id="3" xr3:uid="{67393A8B-58A2-4A4E-AA68-362B9B4F4E28}" name="Vehicle Num." dataDxfId="32"/>
    <tableColumn id="4" xr3:uid="{2C031EFD-E44B-468B-BEF0-3C97412F5E2E}" name="Name" dataDxfId="31"/>
    <tableColumn id="5" xr3:uid="{73873638-799E-44F5-B857-93DAE5E0F2FF}" name="Payment Mode" dataDxfId="30"/>
    <tableColumn id="6" xr3:uid="{BFB6E8F7-43C7-4B39-8FF0-E41A5EA5B2D3}" name="Trans Id." dataDxfId="29"/>
    <tableColumn id="8" xr3:uid="{3B1BF0B9-13BC-4A4E-B215-A3056576D199}" name="Trans. Date" dataDxfId="28"/>
    <tableColumn id="9" xr3:uid="{F64CF3FC-8352-46AE-80D1-01DDCE0247AC}" name="Amount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900"/>
  <sheetViews>
    <sheetView tabSelected="1" topLeftCell="A706" zoomScaleNormal="100" workbookViewId="0">
      <selection activeCell="M725" sqref="M72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 t="s">
        <v>10435</v>
      </c>
      <c r="N683" s="27">
        <v>46146</v>
      </c>
      <c r="O683" s="26" t="s">
        <v>23</v>
      </c>
      <c r="P683" s="29">
        <v>46146</v>
      </c>
      <c r="Q683" s="26" t="s">
        <v>6454</v>
      </c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 t="s">
        <v>6436</v>
      </c>
      <c r="N697" s="27">
        <v>46146</v>
      </c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/>
      <c r="N698" s="27"/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/>
      <c r="N702" s="27"/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/>
      <c r="N703" s="27"/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32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7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 t="s">
        <v>8081</v>
      </c>
      <c r="N709" s="27">
        <v>46146</v>
      </c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 t="s">
        <v>23</v>
      </c>
      <c r="P710" s="29">
        <v>46146</v>
      </c>
      <c r="Q710" s="26" t="s">
        <v>6454</v>
      </c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6436</v>
      </c>
      <c r="N711" s="27"/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/>
      <c r="N713" s="27"/>
      <c r="O713" s="26" t="s">
        <v>23</v>
      </c>
      <c r="P713" s="29">
        <v>46146</v>
      </c>
      <c r="Q713" s="26" t="s">
        <v>6454</v>
      </c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/>
      <c r="N716" s="27"/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31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 t="s">
        <v>7706</v>
      </c>
      <c r="N717" s="27">
        <v>46146</v>
      </c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30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26" t="str">
        <f t="shared" ref="H718:H728" si="32">IF(LEFT(I718,4)="JK13","PULWAMA",IF(LEFT(I718,4)="JK01","SRINAGAR",IF(LEFT(I718,4)="JK04","BUDGAM",IF(LEFT(I718,4)="JK03","ANANTNAG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</f>
        <v>SHOPIAN</v>
      </c>
      <c r="I718" s="26" t="s">
        <v>10411</v>
      </c>
      <c r="J718" s="27">
        <v>46144</v>
      </c>
      <c r="K718" s="26">
        <v>7006898249</v>
      </c>
      <c r="L718" s="26" t="s">
        <v>6515</v>
      </c>
      <c r="M718" s="28"/>
      <c r="N718" s="27"/>
      <c r="O718" s="26"/>
      <c r="P718" s="29"/>
      <c r="Q718" s="26"/>
      <c r="R718" s="26"/>
    </row>
    <row r="719" spans="1:18" x14ac:dyDescent="0.25">
      <c r="A719" s="26">
        <f t="shared" si="30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26" t="str">
        <f t="shared" si="32"/>
        <v>PULWAMA</v>
      </c>
      <c r="I719" s="26" t="s">
        <v>10410</v>
      </c>
      <c r="J719" s="27">
        <v>46144</v>
      </c>
      <c r="K719" s="26">
        <v>7006873615</v>
      </c>
      <c r="L719" s="26" t="s">
        <v>6515</v>
      </c>
      <c r="M719" s="28"/>
      <c r="N719" s="27"/>
      <c r="O719" s="26"/>
      <c r="P719" s="29"/>
      <c r="Q719" s="26"/>
      <c r="R719" s="26"/>
    </row>
    <row r="720" spans="1:18" x14ac:dyDescent="0.25">
      <c r="A720" s="26">
        <f t="shared" si="30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26" t="str">
        <f t="shared" si="32"/>
        <v>BUDGAM</v>
      </c>
      <c r="I720" s="26" t="s">
        <v>10408</v>
      </c>
      <c r="J720" s="27">
        <v>46144</v>
      </c>
      <c r="K720" s="26">
        <v>9103841614</v>
      </c>
      <c r="L720" s="26" t="s">
        <v>26</v>
      </c>
      <c r="M720" s="28"/>
      <c r="N720" s="27"/>
      <c r="O720" s="26" t="s">
        <v>23</v>
      </c>
      <c r="P720" s="29">
        <v>46144</v>
      </c>
      <c r="Q720" s="26" t="s">
        <v>6454</v>
      </c>
      <c r="R720" s="26"/>
    </row>
    <row r="721" spans="1:18" x14ac:dyDescent="0.25">
      <c r="A721" s="26">
        <f t="shared" si="30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>IF(LEFT(I721,4)="JK13","PULWAMA",IF(LEFT(I721,4)="JK01","SRINAGAR",IF(LEFT(I721,4)="JK04","BUDGAM",IF(LEFT(I721,4)="JK03","ANANTNAG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</f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 t="s">
        <v>6436</v>
      </c>
      <c r="N721" s="27">
        <v>46146</v>
      </c>
      <c r="O721" s="26" t="s">
        <v>23</v>
      </c>
      <c r="P721" s="29">
        <v>46144</v>
      </c>
      <c r="Q721" s="26" t="s">
        <v>6454</v>
      </c>
      <c r="R721" s="26"/>
    </row>
    <row r="722" spans="1:18" x14ac:dyDescent="0.25">
      <c r="A722" s="26">
        <f t="shared" si="30"/>
        <v>721</v>
      </c>
      <c r="B722" s="26" t="s">
        <v>10420</v>
      </c>
      <c r="C722" s="26" t="s">
        <v>10417</v>
      </c>
      <c r="D722" s="26" t="s">
        <v>10418</v>
      </c>
      <c r="E722" s="26" t="s">
        <v>10419</v>
      </c>
      <c r="F722" s="26" t="s">
        <v>98</v>
      </c>
      <c r="G722" s="26" t="s">
        <v>197</v>
      </c>
      <c r="H722" s="26" t="str">
        <f t="shared" si="32"/>
        <v>BARAMULLA</v>
      </c>
      <c r="I722" s="26" t="s">
        <v>10429</v>
      </c>
      <c r="J722" s="27">
        <v>46146</v>
      </c>
      <c r="K722" s="26">
        <v>9682376321</v>
      </c>
      <c r="L722" s="26" t="s">
        <v>2244</v>
      </c>
      <c r="M722" s="28" t="s">
        <v>8152</v>
      </c>
      <c r="N722" s="27">
        <v>46146</v>
      </c>
      <c r="O722" s="26" t="s">
        <v>23</v>
      </c>
      <c r="P722" s="29">
        <v>46146</v>
      </c>
      <c r="Q722" s="26" t="s">
        <v>6454</v>
      </c>
      <c r="R722" s="26"/>
    </row>
    <row r="723" spans="1:18" x14ac:dyDescent="0.25">
      <c r="A723" s="26">
        <f t="shared" si="30"/>
        <v>722</v>
      </c>
      <c r="B723" s="26" t="s">
        <v>10425</v>
      </c>
      <c r="C723" s="26" t="s">
        <v>10426</v>
      </c>
      <c r="D723" s="26" t="s">
        <v>10427</v>
      </c>
      <c r="E723" s="26" t="s">
        <v>10428</v>
      </c>
      <c r="F723" s="26" t="s">
        <v>8401</v>
      </c>
      <c r="G723" s="26" t="s">
        <v>172</v>
      </c>
      <c r="H723" s="26" t="str">
        <f t="shared" si="32"/>
        <v>SRINAGAR</v>
      </c>
      <c r="I723" s="26" t="s">
        <v>10430</v>
      </c>
      <c r="J723" s="27">
        <v>46146</v>
      </c>
      <c r="K723" s="26">
        <v>9596000703</v>
      </c>
      <c r="L723" s="26" t="s">
        <v>1122</v>
      </c>
      <c r="M723" s="28"/>
      <c r="N723" s="27"/>
      <c r="O723" s="26" t="s">
        <v>23</v>
      </c>
      <c r="P723" s="29">
        <v>46146</v>
      </c>
      <c r="Q723" s="26" t="s">
        <v>6454</v>
      </c>
      <c r="R723" s="26"/>
    </row>
    <row r="724" spans="1:18" x14ac:dyDescent="0.25">
      <c r="A724" s="26">
        <f t="shared" si="30"/>
        <v>723</v>
      </c>
      <c r="B724" s="26" t="s">
        <v>10421</v>
      </c>
      <c r="C724" s="26" t="s">
        <v>10422</v>
      </c>
      <c r="D724" s="26" t="s">
        <v>10423</v>
      </c>
      <c r="E724" s="26" t="s">
        <v>10424</v>
      </c>
      <c r="F724" s="26" t="s">
        <v>7701</v>
      </c>
      <c r="G724" s="26" t="s">
        <v>197</v>
      </c>
      <c r="H724" s="26" t="str">
        <f>IF(LEFT(I724,4)="JK13","PULWAMA",IF(LEFT(I724,4)="JK01","SRINAGAR",IF(LEFT(I724,4)="JK04","BUDGAM",IF(LEFT(I724,4)="JK03","ANANTNAG",IF(LEFT(I724,4)="JK05","BARAMULLA",IF(LEFT(I724,4)="26BH","BHARAT",IF(LEFT(I724,4)="25BH","BHARAT",IF(LEFT(I724,4)="JK12","POONCH",IF(LEFT(I724,4)="JK16","GANDERBAL",IF(LEFT(I724,4)="JK18","KULGAM",IF(LEFT(I724,4)="JK22","SHOPIAN",IF(LEFT(I724,4)="JK02","JAMMU",IF(LEFT(I724,4)="JK09","KUPWARA",IF(LEFT(I724,4)="JK15","BANDIPORA",IF(LEFT(I724,4)="JK17","KISHTWAR",IF(LEFT(I724,4)="LA01","KARGIL",IF(LEFT(I724,1)="T","TEMP","NEW")))))))))))))))))</f>
        <v>SRINAGAR</v>
      </c>
      <c r="I724" s="26" t="s">
        <v>10438</v>
      </c>
      <c r="J724" s="27">
        <v>46146</v>
      </c>
      <c r="K724" s="26">
        <v>7780954751</v>
      </c>
      <c r="L724" s="26" t="s">
        <v>26</v>
      </c>
      <c r="M724" s="28"/>
      <c r="N724" s="27"/>
      <c r="O724" s="26"/>
      <c r="P724" s="29"/>
      <c r="Q724" s="26"/>
      <c r="R724" s="26"/>
    </row>
    <row r="725" spans="1:18" x14ac:dyDescent="0.25">
      <c r="A725" s="26">
        <f t="shared" si="30"/>
        <v>724</v>
      </c>
      <c r="B725" s="26" t="s">
        <v>10431</v>
      </c>
      <c r="C725" s="26" t="s">
        <v>10432</v>
      </c>
      <c r="D725" s="26" t="s">
        <v>10433</v>
      </c>
      <c r="E725" s="26" t="s">
        <v>10434</v>
      </c>
      <c r="F725" s="26" t="s">
        <v>116</v>
      </c>
      <c r="G725" s="26" t="s">
        <v>172</v>
      </c>
      <c r="H725" s="26" t="str">
        <f t="shared" si="32"/>
        <v>SRINAGAR</v>
      </c>
      <c r="I725" s="26" t="s">
        <v>10437</v>
      </c>
      <c r="J725" s="27">
        <v>46146</v>
      </c>
      <c r="K725" s="26">
        <v>9596999599</v>
      </c>
      <c r="L725" s="26" t="s">
        <v>191</v>
      </c>
      <c r="M725" s="28"/>
      <c r="N725" s="27"/>
      <c r="O725" s="26" t="s">
        <v>23</v>
      </c>
      <c r="P725" s="29">
        <v>46146</v>
      </c>
      <c r="Q725" s="26" t="s">
        <v>6454</v>
      </c>
      <c r="R725" s="26"/>
    </row>
    <row r="726" spans="1:18" x14ac:dyDescent="0.25">
      <c r="A726" s="26">
        <f t="shared" si="30"/>
        <v>725</v>
      </c>
      <c r="B726" s="26" t="s">
        <v>10445</v>
      </c>
      <c r="C726" s="26" t="s">
        <v>10446</v>
      </c>
      <c r="D726" s="26" t="s">
        <v>10447</v>
      </c>
      <c r="E726" s="26" t="s">
        <v>10448</v>
      </c>
      <c r="F726" s="26" t="s">
        <v>12</v>
      </c>
      <c r="G726" s="26" t="s">
        <v>197</v>
      </c>
      <c r="H726" s="26" t="str">
        <f t="shared" si="32"/>
        <v>SRINAGAR</v>
      </c>
      <c r="I726" s="26" t="s">
        <v>10454</v>
      </c>
      <c r="J726" s="27">
        <v>46146</v>
      </c>
      <c r="K726" s="26">
        <v>7889743548</v>
      </c>
      <c r="L726" s="26" t="s">
        <v>135</v>
      </c>
      <c r="M726" s="28"/>
      <c r="N726" s="27"/>
      <c r="O726" s="26"/>
      <c r="P726" s="29"/>
      <c r="Q726" s="26"/>
      <c r="R726" s="26"/>
    </row>
    <row r="727" spans="1:18" x14ac:dyDescent="0.25">
      <c r="A727" s="26">
        <f t="shared" si="30"/>
        <v>726</v>
      </c>
      <c r="B727" s="26" t="s">
        <v>10449</v>
      </c>
      <c r="C727" s="26" t="s">
        <v>10450</v>
      </c>
      <c r="D727" s="26" t="s">
        <v>10451</v>
      </c>
      <c r="E727" s="26" t="s">
        <v>10452</v>
      </c>
      <c r="F727" s="26" t="s">
        <v>10453</v>
      </c>
      <c r="G727" s="26" t="s">
        <v>196</v>
      </c>
      <c r="H727" s="26" t="str">
        <f t="shared" si="32"/>
        <v>SRINAGAR</v>
      </c>
      <c r="I727" s="26" t="s">
        <v>10455</v>
      </c>
      <c r="J727" s="27">
        <v>46146</v>
      </c>
      <c r="K727" s="26">
        <v>9858831088</v>
      </c>
      <c r="L727" s="26" t="s">
        <v>163</v>
      </c>
      <c r="M727" s="28"/>
      <c r="N727" s="27"/>
      <c r="O727" s="26"/>
      <c r="P727" s="29"/>
      <c r="Q727" s="26"/>
      <c r="R727" s="26"/>
    </row>
    <row r="728" spans="1:18" x14ac:dyDescent="0.25">
      <c r="A728" s="26">
        <f t="shared" si="30"/>
        <v>727</v>
      </c>
      <c r="B728" s="26"/>
      <c r="C728" s="26"/>
      <c r="D728" s="26"/>
      <c r="E728" s="26"/>
      <c r="F728" s="26"/>
      <c r="G728" s="26"/>
      <c r="H728" s="26" t="str">
        <f t="shared" si="32"/>
        <v>NEW</v>
      </c>
      <c r="I728" s="26"/>
      <c r="J728" s="27"/>
      <c r="K728" s="26"/>
      <c r="L728" s="26"/>
      <c r="M728" s="28"/>
      <c r="N728" s="27"/>
      <c r="O728" s="26"/>
      <c r="P728" s="29"/>
      <c r="Q728" s="26"/>
      <c r="R728" s="26"/>
    </row>
    <row r="729" spans="1:18" x14ac:dyDescent="0.25">
      <c r="A729" s="26">
        <f t="shared" si="30"/>
        <v>728</v>
      </c>
      <c r="B729" s="48"/>
      <c r="C729" s="48"/>
      <c r="D729" s="48"/>
      <c r="E729" s="48"/>
      <c r="F729" s="48"/>
      <c r="G729" s="48"/>
      <c r="H729" s="49" t="str">
        <f t="shared" ref="H729:H732" si="33">IF(LEFT(I729,4)="JK13","PULWAMA",IF(LEFT(I729,4)="JK01","SRINAGAR",IF(LEFT(I729,4)="JK04","BUDGAM",IF(LEFT(I729,4)="JK03","ANANTNAG",IF(LEFT(I729,4)="JK05","BARAMULLA",IF(LEFT(I729,4)="26BH","BHARAT",IF(LEFT(I729,4)="25BH","BHARAT",IF(LEFT(I729,4)="JK12","POONCH",IF(LEFT(I729,4)="JK16","GANDERBAL",IF(LEFT(I729,4)="JK18","KULGAM",IF(LEFT(I729,4)="JK22","SHOPIAN",IF(LEFT(I729,4)="JK02","JAMMU",IF(LEFT(I729,4)="JK09","KUPWARA",IF(LEFT(I729,4)="JK15","BANDIPORA",IF(LEFT(I729,4)="JK17","KISHTWAR",IF(LEFT(I729,4)="LA01","KARGIL",IF(LEFT(I729,1)="T","TEMP","NEW")))))))))))))))))</f>
        <v>NEW</v>
      </c>
      <c r="I729" s="48"/>
      <c r="J729" s="50"/>
      <c r="K729" s="51"/>
      <c r="L729" s="48"/>
      <c r="M729" s="52"/>
      <c r="N729" s="50"/>
      <c r="O729" s="48"/>
      <c r="P729" s="53"/>
      <c r="Q729" s="48"/>
      <c r="R729" s="48"/>
    </row>
    <row r="730" spans="1:18" x14ac:dyDescent="0.25">
      <c r="A730" s="26">
        <f t="shared" si="30"/>
        <v>729</v>
      </c>
      <c r="B730" s="48"/>
      <c r="C730" s="48"/>
      <c r="D730" s="48"/>
      <c r="E730" s="48"/>
      <c r="F730" s="48"/>
      <c r="G730" s="48"/>
      <c r="H730" s="49" t="str">
        <f t="shared" si="33"/>
        <v>NEW</v>
      </c>
      <c r="I730" s="48"/>
      <c r="J730" s="50"/>
      <c r="K730" s="51"/>
      <c r="L730" s="48"/>
      <c r="M730" s="52"/>
      <c r="N730" s="50"/>
      <c r="O730" s="48"/>
      <c r="P730" s="53"/>
      <c r="Q730" s="48"/>
      <c r="R730" s="48"/>
    </row>
    <row r="731" spans="1:18" x14ac:dyDescent="0.25">
      <c r="A731" s="26">
        <f t="shared" si="30"/>
        <v>730</v>
      </c>
      <c r="B731" s="48"/>
      <c r="C731" s="48"/>
      <c r="D731" s="48"/>
      <c r="E731" s="48"/>
      <c r="F731" s="48"/>
      <c r="G731" s="48"/>
      <c r="H731" s="49" t="str">
        <f t="shared" si="33"/>
        <v>NEW</v>
      </c>
      <c r="I731" s="48"/>
      <c r="J731" s="50"/>
      <c r="K731" s="51"/>
      <c r="L731" s="48"/>
      <c r="M731" s="52"/>
      <c r="N731" s="50"/>
      <c r="O731" s="48"/>
      <c r="P731" s="53"/>
      <c r="Q731" s="48"/>
      <c r="R731" s="48"/>
    </row>
    <row r="732" spans="1:18" x14ac:dyDescent="0.25">
      <c r="A732" s="26">
        <f t="shared" si="30"/>
        <v>731</v>
      </c>
      <c r="B732" s="48"/>
      <c r="C732" s="48"/>
      <c r="D732" s="48"/>
      <c r="E732" s="48"/>
      <c r="F732" s="48"/>
      <c r="G732" s="48"/>
      <c r="H732" s="49" t="str">
        <f t="shared" si="33"/>
        <v>NEW</v>
      </c>
      <c r="I732" s="48"/>
      <c r="J732" s="50"/>
      <c r="K732" s="51"/>
      <c r="L732" s="48"/>
      <c r="M732" s="52"/>
      <c r="N732" s="50"/>
      <c r="O732" s="48"/>
      <c r="P732" s="53"/>
      <c r="Q732" s="48"/>
      <c r="R732" s="48"/>
    </row>
    <row r="733" spans="1:18" ht="15.75" x14ac:dyDescent="0.25">
      <c r="A733" s="26"/>
      <c r="B733" s="26"/>
      <c r="C733" s="26"/>
      <c r="D733" s="26"/>
      <c r="E733" s="26"/>
      <c r="F733" s="26"/>
      <c r="G733" s="26"/>
      <c r="H733" s="1"/>
      <c r="I733" s="26"/>
      <c r="J733" s="12"/>
      <c r="K733" s="26"/>
      <c r="L733" s="26"/>
      <c r="M733" t="s">
        <v>43</v>
      </c>
    </row>
    <row r="734" spans="1:18" ht="15.75" x14ac:dyDescent="0.25">
      <c r="A734" s="26"/>
      <c r="B734" s="26"/>
      <c r="C734" s="26"/>
      <c r="D734" s="26"/>
      <c r="E734" s="26"/>
      <c r="F734" s="26"/>
      <c r="G734" s="26"/>
      <c r="H734" s="1"/>
      <c r="I734" s="13"/>
      <c r="K734" s="26"/>
      <c r="L734" s="26"/>
    </row>
    <row r="735" spans="1:18" x14ac:dyDescent="0.25">
      <c r="K735" s="26"/>
    </row>
    <row r="736" spans="1:18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x14ac:dyDescent="0.25">
      <c r="K809" s="26"/>
    </row>
    <row r="810" spans="11:11" x14ac:dyDescent="0.25">
      <c r="K810" s="26"/>
    </row>
    <row r="811" spans="11:11" x14ac:dyDescent="0.25">
      <c r="K811" s="26"/>
    </row>
    <row r="812" spans="11:11" x14ac:dyDescent="0.25">
      <c r="K812" s="26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ht="15.75" x14ac:dyDescent="0.25">
      <c r="K858" s="12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x14ac:dyDescent="0.25">
      <c r="K862" s="25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</sheetData>
  <conditionalFormatting sqref="A564:A712 A645:F645 K652:K670 G664:J666 G667:H668 I667:J670 F669:H669 G670:H670 I670:I691 B673:G714 L679:R697 H683:H691 J683:J691 A692:J692 F693:J693 I693:I698 F694:H694 J694 F695:J695 G696:H696 J696:J697 H697 M698:R701 H698:J725 L702:R707 M708:R708 A713:B713 I733 K735:K812 A714:G726 L709:R732 A728:J732 A727 G727:H727 K701:K728 B720:G727 H726 J726:J727 I724:I727">
    <cfRule type="expression" dxfId="25" priority="3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33:G734 K733:L734">
    <cfRule type="expression" dxfId="24" priority="17">
      <formula>CELL("row")=ROW()</formula>
    </cfRule>
  </conditionalFormatting>
  <conditionalFormatting sqref="B257:G290 B291:B300 C291:G301">
    <cfRule type="expression" dxfId="23" priority="15">
      <formula>CELL("row")=ROW()</formula>
    </cfRule>
  </conditionalFormatting>
  <conditionalFormatting sqref="F398">
    <cfRule type="expression" dxfId="22" priority="10">
      <formula>CELL("row")=ROW()</formula>
    </cfRule>
  </conditionalFormatting>
  <conditionalFormatting sqref="F420">
    <cfRule type="expression" dxfId="21" priority="9">
      <formula>CELL("row")=ROW()</formula>
    </cfRule>
  </conditionalFormatting>
  <conditionalFormatting sqref="F326:G326">
    <cfRule type="expression" dxfId="20" priority="12">
      <formula>CELL("row")=ROW()</formula>
    </cfRule>
  </conditionalFormatting>
  <conditionalFormatting sqref="G266">
    <cfRule type="expression" dxfId="19" priority="14">
      <formula>CELL("row")=ROW()</formula>
    </cfRule>
  </conditionalFormatting>
  <conditionalFormatting sqref="I558">
    <cfRule type="expression" dxfId="18" priority="5">
      <formula>CELL("row")=ROW()</formula>
    </cfRule>
  </conditionalFormatting>
  <conditionalFormatting sqref="K672:K697 K698:L700 L701">
    <cfRule type="expression" dxfId="17" priority="2">
      <formula>CELL("row")=ROW()</formula>
    </cfRule>
  </conditionalFormatting>
  <conditionalFormatting sqref="L532:L535">
    <cfRule type="expression" dxfId="16" priority="7">
      <formula>CELL("row")=ROW()</formula>
    </cfRule>
  </conditionalFormatting>
  <conditionalFormatting sqref="M733:O734">
    <cfRule type="expression" dxfId="15" priority="26">
      <formula>ROW(O93)=HighlightRow</formula>
    </cfRule>
  </conditionalFormatting>
  <conditionalFormatting sqref="P733:Q734">
    <cfRule type="expression" dxfId="14" priority="30">
      <formula>ROW(S93)=HighlightRow</formula>
    </cfRule>
  </conditionalFormatting>
  <conditionalFormatting sqref="S105:XFD105">
    <cfRule type="expression" dxfId="13" priority="31">
      <formula>ROW(T94)=HighlightRow</formula>
    </cfRule>
  </conditionalFormatting>
  <conditionalFormatting sqref="S106:XFD114">
    <cfRule type="expression" dxfId="12" priority="28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31" zoomScaleNormal="100" workbookViewId="0">
      <selection activeCell="B943" sqref="B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69"/>
  <sheetViews>
    <sheetView topLeftCell="A446" zoomScaleNormal="100" workbookViewId="0">
      <selection activeCell="B461" sqref="B461:E46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/>
      <c r="D453" s="26" t="s">
        <v>10390</v>
      </c>
      <c r="E453" s="26" t="s">
        <v>10377</v>
      </c>
      <c r="F453" s="14"/>
      <c r="G453" s="14" t="s">
        <v>337</v>
      </c>
      <c r="H453" s="12"/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67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6" t="s">
        <v>9979</v>
      </c>
      <c r="C458" s="26">
        <v>9906985830</v>
      </c>
      <c r="D458" s="26" t="s">
        <v>10436</v>
      </c>
      <c r="E458" s="26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6" t="s">
        <v>10439</v>
      </c>
      <c r="C459" s="26">
        <v>9682376321</v>
      </c>
      <c r="D459" s="26" t="s">
        <v>10440</v>
      </c>
      <c r="E459" s="26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6" t="s">
        <v>4017</v>
      </c>
      <c r="C460" s="26">
        <v>7006635824</v>
      </c>
      <c r="D460" s="26" t="s">
        <v>10441</v>
      </c>
      <c r="E460" s="26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6" t="s">
        <v>10428</v>
      </c>
      <c r="C461" s="26">
        <v>9596000703</v>
      </c>
      <c r="D461" s="26" t="s">
        <v>10442</v>
      </c>
      <c r="E461" s="26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6" t="s">
        <v>10434</v>
      </c>
      <c r="C462" s="26">
        <v>9596999599</v>
      </c>
      <c r="D462" s="26" t="s">
        <v>10443</v>
      </c>
      <c r="E462" s="26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6" t="s">
        <v>10364</v>
      </c>
      <c r="C463" s="26"/>
      <c r="D463" s="26" t="s">
        <v>10444</v>
      </c>
      <c r="E463" s="26" t="s">
        <v>10381</v>
      </c>
      <c r="F463" s="14">
        <v>46146</v>
      </c>
      <c r="G463" s="14"/>
      <c r="H463" s="12"/>
    </row>
    <row r="464" spans="1:8" ht="15.75" x14ac:dyDescent="0.25">
      <c r="A464" s="12">
        <f t="shared" si="7"/>
        <v>462</v>
      </c>
      <c r="B464" s="12"/>
      <c r="C464" s="12"/>
      <c r="D464" s="12"/>
      <c r="E464" s="12"/>
      <c r="F464" s="14"/>
      <c r="G464" s="14"/>
      <c r="H464" s="12"/>
    </row>
    <row r="465" spans="1:8" ht="15.75" x14ac:dyDescent="0.25">
      <c r="A465" s="12">
        <f t="shared" si="7"/>
        <v>463</v>
      </c>
      <c r="B465" s="12"/>
      <c r="C465" s="12"/>
      <c r="D465" s="12"/>
      <c r="E465" s="12"/>
      <c r="F465" s="14"/>
      <c r="G465" s="14"/>
      <c r="H465" s="12"/>
    </row>
    <row r="466" spans="1:8" ht="15.75" x14ac:dyDescent="0.25">
      <c r="A466" s="12">
        <f t="shared" si="7"/>
        <v>464</v>
      </c>
      <c r="B466" s="12"/>
      <c r="C466" s="12"/>
      <c r="D466" s="12"/>
      <c r="E466" s="12"/>
      <c r="F466" s="14"/>
      <c r="G466" s="14"/>
      <c r="H466" s="12"/>
    </row>
    <row r="467" spans="1:8" ht="15.75" x14ac:dyDescent="0.25">
      <c r="A467" s="12">
        <f t="shared" si="7"/>
        <v>465</v>
      </c>
      <c r="B467" s="12"/>
      <c r="C467" s="12"/>
      <c r="D467" s="12"/>
      <c r="E467" s="12"/>
      <c r="F467" s="14"/>
      <c r="G467" s="14"/>
      <c r="H467" s="12"/>
    </row>
    <row r="468" spans="1:8" x14ac:dyDescent="0.25">
      <c r="B468" s="26"/>
      <c r="C468" s="26"/>
      <c r="D468" s="26"/>
      <c r="E468" s="26"/>
    </row>
    <row r="469" spans="1:8" x14ac:dyDescent="0.25">
      <c r="B469" s="26"/>
      <c r="C469" s="26"/>
      <c r="D469" s="26"/>
      <c r="E469" s="26"/>
    </row>
  </sheetData>
  <mergeCells count="1">
    <mergeCell ref="A1:H1"/>
  </mergeCells>
  <phoneticPr fontId="27" type="noConversion"/>
  <conditionalFormatting sqref="B252:C252 B311:E469">
    <cfRule type="expression" dxfId="11" priority="22">
      <formula>CELL("row")=ROW()</formula>
    </cfRule>
  </conditionalFormatting>
  <conditionalFormatting sqref="B192:D193 D194:D195 B196:D211">
    <cfRule type="expression" dxfId="10" priority="28">
      <formula>CELL("row")=ROW()</formula>
    </cfRule>
  </conditionalFormatting>
  <conditionalFormatting sqref="B3:E309 B304:C313 D310:E310">
    <cfRule type="expression" dxfId="9" priority="49">
      <formula>CELL("row")=ROW()</formula>
    </cfRule>
  </conditionalFormatting>
  <conditionalFormatting sqref="C104">
    <cfRule type="expression" dxfId="8" priority="48">
      <formula>CELL("row")=ROW()</formula>
    </cfRule>
  </conditionalFormatting>
  <conditionalFormatting sqref="C123">
    <cfRule type="expression" dxfId="7" priority="45">
      <formula>CELL("row")=ROW()</formula>
    </cfRule>
  </conditionalFormatting>
  <conditionalFormatting sqref="C208:C209">
    <cfRule type="expression" dxfId="6" priority="26">
      <formula>CELL("row")=ROW()</formula>
    </cfRule>
  </conditionalFormatting>
  <conditionalFormatting sqref="C418:C423">
    <cfRule type="expression" dxfId="5" priority="4">
      <formula>CELL("row")=ROW()</formula>
    </cfRule>
  </conditionalFormatting>
  <conditionalFormatting sqref="C239:E244 C252:E252">
    <cfRule type="expression" dxfId="4" priority="20">
      <formula>CELL("row")=ROW()</formula>
    </cfRule>
  </conditionalFormatting>
  <conditionalFormatting sqref="D422:D423">
    <cfRule type="expression" dxfId="3" priority="3">
      <formula>CELL("row")=ROW()</formula>
    </cfRule>
  </conditionalFormatting>
  <conditionalFormatting sqref="E123">
    <cfRule type="expression" dxfId="2" priority="46">
      <formula>CELL("row")=ROW()</formula>
    </cfRule>
  </conditionalFormatting>
  <conditionalFormatting sqref="E289:E295">
    <cfRule type="expression" dxfId="1" priority="10">
      <formula>CELL("row")=ROW()</formula>
    </cfRule>
  </conditionalFormatting>
  <conditionalFormatting sqref="E416">
    <cfRule type="expression" dxfId="0" priority="7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2026-05-04T12:33:08Z</dcterms:modified>
</cp:coreProperties>
</file>